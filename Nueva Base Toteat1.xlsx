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hidePivotFieldList="1"/>
  <mc:AlternateContent xmlns:mc="http://schemas.openxmlformats.org/markup-compatibility/2006">
    <mc:Choice Requires="x15">
      <x15ac:absPath xmlns:x15ac="http://schemas.microsoft.com/office/spreadsheetml/2010/11/ac" url="/Users/macbook/Desktop/IA Portafolio/MOONGCOOK/"/>
    </mc:Choice>
  </mc:AlternateContent>
  <xr:revisionPtr revIDLastSave="0" documentId="13_ncr:1_{6D5540EB-6D80-A84A-9D7A-3D82FE805B25}" xr6:coauthVersionLast="47" xr6:coauthVersionMax="47" xr10:uidLastSave="{00000000-0000-0000-0000-000000000000}"/>
  <bookViews>
    <workbookView xWindow="32880" yWindow="3900" windowWidth="28800" windowHeight="16220" activeTab="3" xr2:uid="{4FA09D3D-60A3-48DD-918B-437BEA4CA8AC}"/>
  </bookViews>
  <sheets>
    <sheet name="Hoja9" sheetId="9" r:id="rId1"/>
    <sheet name="RAIZ" sheetId="15" r:id="rId2"/>
    <sheet name="DIFERENCIAS" sheetId="10" r:id="rId3"/>
    <sheet name="VENTAS X UND. NEG." sheetId="1" r:id="rId4"/>
    <sheet name="Jer-Tip-Emp" sheetId="11" r:id="rId5"/>
  </sheets>
  <definedNames>
    <definedName name="_xlnm._FilterDatabase" localSheetId="4" hidden="1">'Jer-Tip-Emp'!$A$1:$H$244</definedName>
    <definedName name="_xlnm._FilterDatabase" localSheetId="3" hidden="1">'VENTAS X UND. NEG.'!$A$1:$O$1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77" i="15" l="1"/>
  <c r="X77" i="15"/>
  <c r="Y74" i="15"/>
  <c r="X74" i="15"/>
  <c r="Y71" i="15"/>
  <c r="X71" i="15"/>
  <c r="Y68" i="15"/>
  <c r="X68" i="15"/>
  <c r="S77" i="15"/>
  <c r="R77" i="15"/>
  <c r="S74" i="15"/>
  <c r="S71" i="15"/>
  <c r="R71" i="15"/>
  <c r="S68" i="15"/>
  <c r="R68" i="15"/>
  <c r="Y51" i="15"/>
  <c r="X51" i="15"/>
  <c r="Y48" i="15"/>
  <c r="X48" i="15"/>
  <c r="Y45" i="15"/>
  <c r="X45" i="15"/>
  <c r="Y42" i="15"/>
  <c r="X42" i="15"/>
  <c r="S51" i="15"/>
  <c r="R51" i="15"/>
  <c r="S48" i="15"/>
  <c r="R48" i="15"/>
  <c r="S45" i="15"/>
  <c r="R45" i="15"/>
  <c r="S42" i="15"/>
  <c r="R42" i="15"/>
  <c r="M77" i="15"/>
  <c r="L77" i="15"/>
  <c r="M74" i="15"/>
  <c r="L74" i="15"/>
  <c r="M71" i="15"/>
  <c r="L71" i="15"/>
  <c r="M68" i="15"/>
  <c r="L68" i="15"/>
  <c r="M51" i="15"/>
  <c r="L51" i="15"/>
  <c r="M48" i="15"/>
  <c r="L48" i="15"/>
  <c r="M45" i="15"/>
  <c r="L45" i="15"/>
  <c r="M42" i="15"/>
  <c r="L42" i="15"/>
  <c r="H61" i="15"/>
  <c r="G61" i="15"/>
  <c r="H58" i="15"/>
  <c r="G58" i="15"/>
  <c r="M31" i="15"/>
  <c r="L31" i="15"/>
  <c r="M28" i="15"/>
  <c r="L28" i="15"/>
  <c r="M25" i="15"/>
  <c r="L25" i="15"/>
  <c r="M22" i="15"/>
  <c r="L22" i="15"/>
  <c r="H19" i="15"/>
  <c r="G19" i="15"/>
  <c r="H16" i="15"/>
  <c r="G16" i="15"/>
  <c r="M13" i="15"/>
  <c r="L13" i="15"/>
  <c r="M10" i="15"/>
  <c r="L10" i="15"/>
  <c r="M7" i="15"/>
  <c r="L7" i="15"/>
  <c r="M4" i="15"/>
  <c r="L4" i="15"/>
  <c r="I17" i="10" l="1"/>
  <c r="H17" i="10"/>
  <c r="J17" i="10" s="1"/>
  <c r="J6" i="10"/>
  <c r="J7" i="10"/>
  <c r="J8" i="10"/>
  <c r="J9" i="10"/>
  <c r="J10" i="10"/>
  <c r="J11" i="10"/>
  <c r="J12" i="10"/>
  <c r="J13" i="10"/>
  <c r="J14" i="10"/>
  <c r="J15" i="10"/>
  <c r="J16" i="10"/>
  <c r="J5" i="10"/>
  <c r="O2775" i="1" l="1"/>
  <c r="N2775" i="1"/>
  <c r="M2775" i="1"/>
  <c r="L2775" i="1"/>
  <c r="J2775" i="1"/>
  <c r="K2775" i="1" s="1"/>
  <c r="O2774" i="1"/>
  <c r="N2774" i="1"/>
  <c r="M2774" i="1"/>
  <c r="L2774" i="1"/>
  <c r="J2774" i="1"/>
  <c r="K2774" i="1" s="1"/>
  <c r="O2773" i="1"/>
  <c r="N2773" i="1"/>
  <c r="M2773" i="1"/>
  <c r="L2773" i="1"/>
  <c r="J2773" i="1"/>
  <c r="K2773" i="1" s="1"/>
  <c r="O2772" i="1"/>
  <c r="N2772" i="1"/>
  <c r="M2772" i="1"/>
  <c r="L2772" i="1"/>
  <c r="J2772" i="1"/>
  <c r="K2772" i="1" s="1"/>
  <c r="O2771" i="1"/>
  <c r="N2771" i="1"/>
  <c r="M2771" i="1"/>
  <c r="L2771" i="1"/>
  <c r="J2771" i="1"/>
  <c r="K2771" i="1" s="1"/>
  <c r="O2770" i="1"/>
  <c r="N2770" i="1"/>
  <c r="M2770" i="1"/>
  <c r="L2770" i="1"/>
  <c r="J2770" i="1"/>
  <c r="K2770" i="1" s="1"/>
  <c r="O2769" i="1"/>
  <c r="N2769" i="1"/>
  <c r="M2769" i="1"/>
  <c r="L2769" i="1"/>
  <c r="J2769" i="1"/>
  <c r="K2769" i="1" s="1"/>
  <c r="O2768" i="1"/>
  <c r="N2768" i="1"/>
  <c r="M2768" i="1"/>
  <c r="L2768" i="1"/>
  <c r="J2768" i="1"/>
  <c r="K2768" i="1" s="1"/>
  <c r="O2767" i="1"/>
  <c r="N2767" i="1"/>
  <c r="M2767" i="1"/>
  <c r="L2767" i="1"/>
  <c r="J2767" i="1"/>
  <c r="K2767" i="1" s="1"/>
  <c r="O2766" i="1"/>
  <c r="N2766" i="1"/>
  <c r="M2766" i="1"/>
  <c r="L2766" i="1"/>
  <c r="J2766" i="1"/>
  <c r="K2766" i="1" s="1"/>
  <c r="O2765" i="1"/>
  <c r="N2765" i="1"/>
  <c r="M2765" i="1"/>
  <c r="L2765" i="1"/>
  <c r="J2765" i="1"/>
  <c r="K2765" i="1" s="1"/>
  <c r="O2764" i="1"/>
  <c r="N2764" i="1"/>
  <c r="M2764" i="1"/>
  <c r="L2764" i="1"/>
  <c r="J2764" i="1"/>
  <c r="K2764" i="1" s="1"/>
  <c r="O2763" i="1"/>
  <c r="N2763" i="1"/>
  <c r="M2763" i="1"/>
  <c r="L2763" i="1"/>
  <c r="J2763" i="1"/>
  <c r="K2763" i="1" s="1"/>
  <c r="O2762" i="1"/>
  <c r="N2762" i="1"/>
  <c r="M2762" i="1"/>
  <c r="L2762" i="1"/>
  <c r="J2762" i="1"/>
  <c r="K2762" i="1" s="1"/>
  <c r="O2761" i="1"/>
  <c r="N2761" i="1"/>
  <c r="M2761" i="1"/>
  <c r="L2761" i="1"/>
  <c r="J2761" i="1"/>
  <c r="K2761" i="1" s="1"/>
  <c r="O2760" i="1"/>
  <c r="N2760" i="1"/>
  <c r="M2760" i="1"/>
  <c r="L2760" i="1"/>
  <c r="J2760" i="1"/>
  <c r="K2760" i="1" s="1"/>
  <c r="O2759" i="1"/>
  <c r="N2759" i="1"/>
  <c r="M2759" i="1"/>
  <c r="L2759" i="1"/>
  <c r="J2759" i="1"/>
  <c r="K2759" i="1" s="1"/>
  <c r="O2758" i="1"/>
  <c r="N2758" i="1"/>
  <c r="M2758" i="1"/>
  <c r="L2758" i="1"/>
  <c r="J2758" i="1"/>
  <c r="K2758" i="1" s="1"/>
  <c r="O2757" i="1"/>
  <c r="N2757" i="1"/>
  <c r="M2757" i="1"/>
  <c r="L2757" i="1"/>
  <c r="J2757" i="1"/>
  <c r="K2757" i="1" s="1"/>
  <c r="O2756" i="1"/>
  <c r="N2756" i="1"/>
  <c r="M2756" i="1"/>
  <c r="L2756" i="1"/>
  <c r="J2756" i="1"/>
  <c r="K2756" i="1" s="1"/>
  <c r="O2755" i="1"/>
  <c r="N2755" i="1"/>
  <c r="M2755" i="1"/>
  <c r="L2755" i="1"/>
  <c r="J2755" i="1"/>
  <c r="K2755" i="1" s="1"/>
  <c r="O2754" i="1"/>
  <c r="N2754" i="1"/>
  <c r="M2754" i="1"/>
  <c r="L2754" i="1"/>
  <c r="J2754" i="1"/>
  <c r="K2754" i="1" s="1"/>
  <c r="O2753" i="1"/>
  <c r="N2753" i="1"/>
  <c r="M2753" i="1"/>
  <c r="L2753" i="1"/>
  <c r="J2753" i="1"/>
  <c r="K2753" i="1" s="1"/>
  <c r="O2752" i="1"/>
  <c r="N2752" i="1"/>
  <c r="M2752" i="1"/>
  <c r="L2752" i="1"/>
  <c r="J2752" i="1"/>
  <c r="K2752" i="1" s="1"/>
  <c r="O2751" i="1"/>
  <c r="N2751" i="1"/>
  <c r="M2751" i="1"/>
  <c r="L2751" i="1"/>
  <c r="J2751" i="1"/>
  <c r="K2751" i="1" s="1"/>
  <c r="O2750" i="1"/>
  <c r="N2750" i="1"/>
  <c r="M2750" i="1"/>
  <c r="L2750" i="1"/>
  <c r="J2750" i="1"/>
  <c r="K2750" i="1" s="1"/>
  <c r="O2749" i="1"/>
  <c r="N2749" i="1"/>
  <c r="M2749" i="1"/>
  <c r="L2749" i="1"/>
  <c r="J2749" i="1"/>
  <c r="K2749" i="1" s="1"/>
  <c r="O2748" i="1"/>
  <c r="N2748" i="1"/>
  <c r="M2748" i="1"/>
  <c r="L2748" i="1"/>
  <c r="J2748" i="1"/>
  <c r="K2748" i="1" s="1"/>
  <c r="O2747" i="1"/>
  <c r="N2747" i="1"/>
  <c r="M2747" i="1"/>
  <c r="L2747" i="1"/>
  <c r="J2747" i="1"/>
  <c r="K2747" i="1" s="1"/>
  <c r="O2746" i="1"/>
  <c r="N2746" i="1"/>
  <c r="M2746" i="1"/>
  <c r="L2746" i="1"/>
  <c r="J2746" i="1"/>
  <c r="K2746" i="1" s="1"/>
  <c r="O2745" i="1"/>
  <c r="N2745" i="1"/>
  <c r="M2745" i="1"/>
  <c r="L2745" i="1"/>
  <c r="J2745" i="1"/>
  <c r="K2745" i="1" s="1"/>
  <c r="O2744" i="1"/>
  <c r="N2744" i="1"/>
  <c r="M2744" i="1"/>
  <c r="L2744" i="1"/>
  <c r="J2744" i="1"/>
  <c r="K2744" i="1" s="1"/>
  <c r="O2743" i="1"/>
  <c r="N2743" i="1"/>
  <c r="M2743" i="1"/>
  <c r="L2743" i="1"/>
  <c r="J2743" i="1"/>
  <c r="K2743" i="1" s="1"/>
  <c r="O2742" i="1"/>
  <c r="N2742" i="1"/>
  <c r="M2742" i="1"/>
  <c r="L2742" i="1"/>
  <c r="J2742" i="1"/>
  <c r="K2742" i="1" s="1"/>
  <c r="O2741" i="1"/>
  <c r="N2741" i="1"/>
  <c r="M2741" i="1"/>
  <c r="L2741" i="1"/>
  <c r="J2741" i="1"/>
  <c r="K2741" i="1" s="1"/>
  <c r="O2740" i="1"/>
  <c r="N2740" i="1"/>
  <c r="M2740" i="1"/>
  <c r="L2740" i="1"/>
  <c r="J2740" i="1"/>
  <c r="K2740" i="1" s="1"/>
  <c r="O2739" i="1"/>
  <c r="N2739" i="1"/>
  <c r="M2739" i="1"/>
  <c r="L2739" i="1"/>
  <c r="J2739" i="1"/>
  <c r="K2739" i="1" s="1"/>
  <c r="O2738" i="1"/>
  <c r="N2738" i="1"/>
  <c r="M2738" i="1"/>
  <c r="L2738" i="1"/>
  <c r="J2738" i="1"/>
  <c r="K2738" i="1" s="1"/>
  <c r="O2737" i="1"/>
  <c r="N2737" i="1"/>
  <c r="M2737" i="1"/>
  <c r="L2737" i="1"/>
  <c r="J2737" i="1"/>
  <c r="K2737" i="1" s="1"/>
  <c r="O2736" i="1"/>
  <c r="N2736" i="1"/>
  <c r="M2736" i="1"/>
  <c r="L2736" i="1"/>
  <c r="J2736" i="1"/>
  <c r="K2736" i="1" s="1"/>
  <c r="O2735" i="1"/>
  <c r="N2735" i="1"/>
  <c r="M2735" i="1"/>
  <c r="L2735" i="1"/>
  <c r="J2735" i="1"/>
  <c r="K2735" i="1" s="1"/>
  <c r="O2734" i="1"/>
  <c r="N2734" i="1"/>
  <c r="M2734" i="1"/>
  <c r="L2734" i="1"/>
  <c r="J2734" i="1"/>
  <c r="K2734" i="1" s="1"/>
  <c r="O2733" i="1"/>
  <c r="N2733" i="1"/>
  <c r="M2733" i="1"/>
  <c r="L2733" i="1"/>
  <c r="J2733" i="1"/>
  <c r="K2733" i="1" s="1"/>
  <c r="O2732" i="1"/>
  <c r="N2732" i="1"/>
  <c r="M2732" i="1"/>
  <c r="L2732" i="1"/>
  <c r="J2732" i="1"/>
  <c r="K2732" i="1" s="1"/>
  <c r="O2731" i="1"/>
  <c r="N2731" i="1"/>
  <c r="M2731" i="1"/>
  <c r="L2731" i="1"/>
  <c r="J2731" i="1"/>
  <c r="K2731" i="1" s="1"/>
  <c r="O2730" i="1"/>
  <c r="N2730" i="1"/>
  <c r="M2730" i="1"/>
  <c r="L2730" i="1"/>
  <c r="J2730" i="1"/>
  <c r="K2730" i="1" s="1"/>
  <c r="O2729" i="1"/>
  <c r="N2729" i="1"/>
  <c r="M2729" i="1"/>
  <c r="L2729" i="1"/>
  <c r="J2729" i="1"/>
  <c r="K2729" i="1" s="1"/>
  <c r="O2728" i="1"/>
  <c r="N2728" i="1"/>
  <c r="M2728" i="1"/>
  <c r="L2728" i="1"/>
  <c r="J2728" i="1"/>
  <c r="K2728" i="1" s="1"/>
  <c r="O2727" i="1"/>
  <c r="N2727" i="1"/>
  <c r="M2727" i="1"/>
  <c r="L2727" i="1"/>
  <c r="J2727" i="1"/>
  <c r="K2727" i="1" s="1"/>
  <c r="O2726" i="1"/>
  <c r="N2726" i="1"/>
  <c r="M2726" i="1"/>
  <c r="L2726" i="1"/>
  <c r="J2726" i="1"/>
  <c r="K2726" i="1" s="1"/>
  <c r="O2725" i="1"/>
  <c r="N2725" i="1"/>
  <c r="M2725" i="1"/>
  <c r="L2725" i="1"/>
  <c r="J2725" i="1"/>
  <c r="K2725" i="1" s="1"/>
  <c r="O2724" i="1"/>
  <c r="N2724" i="1"/>
  <c r="M2724" i="1"/>
  <c r="L2724" i="1"/>
  <c r="J2724" i="1"/>
  <c r="K2724" i="1" s="1"/>
  <c r="O2723" i="1"/>
  <c r="N2723" i="1"/>
  <c r="M2723" i="1"/>
  <c r="L2723" i="1"/>
  <c r="J2723" i="1"/>
  <c r="K2723" i="1" s="1"/>
  <c r="O2722" i="1"/>
  <c r="N2722" i="1"/>
  <c r="M2722" i="1"/>
  <c r="L2722" i="1"/>
  <c r="J2722" i="1"/>
  <c r="K2722" i="1" s="1"/>
  <c r="O2721" i="1"/>
  <c r="N2721" i="1"/>
  <c r="M2721" i="1"/>
  <c r="L2721" i="1"/>
  <c r="J2721" i="1"/>
  <c r="K2721" i="1" s="1"/>
  <c r="O2720" i="1"/>
  <c r="N2720" i="1"/>
  <c r="M2720" i="1"/>
  <c r="L2720" i="1"/>
  <c r="J2720" i="1"/>
  <c r="K2720" i="1" s="1"/>
  <c r="O2719" i="1"/>
  <c r="N2719" i="1"/>
  <c r="M2719" i="1"/>
  <c r="L2719" i="1"/>
  <c r="J2719" i="1"/>
  <c r="K2719" i="1" s="1"/>
  <c r="O2718" i="1"/>
  <c r="N2718" i="1"/>
  <c r="M2718" i="1"/>
  <c r="L2718" i="1"/>
  <c r="J2718" i="1"/>
  <c r="K2718" i="1" s="1"/>
  <c r="O2717" i="1"/>
  <c r="N2717" i="1"/>
  <c r="M2717" i="1"/>
  <c r="L2717" i="1"/>
  <c r="J2717" i="1"/>
  <c r="K2717" i="1" s="1"/>
  <c r="O2716" i="1"/>
  <c r="N2716" i="1"/>
  <c r="M2716" i="1"/>
  <c r="L2716" i="1"/>
  <c r="J2716" i="1"/>
  <c r="K2716" i="1" s="1"/>
  <c r="O2715" i="1"/>
  <c r="N2715" i="1"/>
  <c r="M2715" i="1"/>
  <c r="L2715" i="1"/>
  <c r="J2715" i="1"/>
  <c r="K2715" i="1" s="1"/>
  <c r="O2714" i="1"/>
  <c r="N2714" i="1"/>
  <c r="M2714" i="1"/>
  <c r="L2714" i="1"/>
  <c r="J2714" i="1"/>
  <c r="K2714" i="1" s="1"/>
  <c r="O2713" i="1"/>
  <c r="N2713" i="1"/>
  <c r="M2713" i="1"/>
  <c r="L2713" i="1"/>
  <c r="J2713" i="1"/>
  <c r="K2713" i="1" s="1"/>
  <c r="O2712" i="1"/>
  <c r="N2712" i="1"/>
  <c r="M2712" i="1"/>
  <c r="L2712" i="1"/>
  <c r="J2712" i="1"/>
  <c r="K2712" i="1" s="1"/>
  <c r="O2711" i="1"/>
  <c r="N2711" i="1"/>
  <c r="M2711" i="1"/>
  <c r="L2711" i="1"/>
  <c r="J2711" i="1"/>
  <c r="K2711" i="1" s="1"/>
  <c r="O2710" i="1"/>
  <c r="N2710" i="1"/>
  <c r="M2710" i="1"/>
  <c r="L2710" i="1"/>
  <c r="J2710" i="1"/>
  <c r="K2710" i="1" s="1"/>
  <c r="O2709" i="1"/>
  <c r="N2709" i="1"/>
  <c r="M2709" i="1"/>
  <c r="L2709" i="1"/>
  <c r="J2709" i="1"/>
  <c r="K2709" i="1" s="1"/>
  <c r="O2708" i="1"/>
  <c r="N2708" i="1"/>
  <c r="M2708" i="1"/>
  <c r="L2708" i="1"/>
  <c r="J2708" i="1"/>
  <c r="K2708" i="1" s="1"/>
  <c r="O2707" i="1"/>
  <c r="N2707" i="1"/>
  <c r="M2707" i="1"/>
  <c r="L2707" i="1"/>
  <c r="J2707" i="1"/>
  <c r="K2707" i="1" s="1"/>
  <c r="O2706" i="1"/>
  <c r="N2706" i="1"/>
  <c r="M2706" i="1"/>
  <c r="L2706" i="1"/>
  <c r="J2706" i="1"/>
  <c r="K2706" i="1" s="1"/>
  <c r="O2705" i="1"/>
  <c r="N2705" i="1"/>
  <c r="M2705" i="1"/>
  <c r="L2705" i="1"/>
  <c r="J2705" i="1"/>
  <c r="K2705" i="1" s="1"/>
  <c r="O2704" i="1"/>
  <c r="N2704" i="1"/>
  <c r="M2704" i="1"/>
  <c r="L2704" i="1"/>
  <c r="J2704" i="1"/>
  <c r="K2704" i="1" s="1"/>
  <c r="O2703" i="1"/>
  <c r="N2703" i="1"/>
  <c r="M2703" i="1"/>
  <c r="L2703" i="1"/>
  <c r="J2703" i="1"/>
  <c r="K2703" i="1" s="1"/>
  <c r="O2702" i="1"/>
  <c r="N2702" i="1"/>
  <c r="M2702" i="1"/>
  <c r="L2702" i="1"/>
  <c r="J2702" i="1"/>
  <c r="K2702" i="1" s="1"/>
  <c r="O2701" i="1"/>
  <c r="N2701" i="1"/>
  <c r="M2701" i="1"/>
  <c r="L2701" i="1"/>
  <c r="J2701" i="1"/>
  <c r="K2701" i="1" s="1"/>
  <c r="O2700" i="1"/>
  <c r="N2700" i="1"/>
  <c r="M2700" i="1"/>
  <c r="L2700" i="1"/>
  <c r="J2700" i="1"/>
  <c r="K2700" i="1" s="1"/>
  <c r="O2699" i="1"/>
  <c r="N2699" i="1"/>
  <c r="M2699" i="1"/>
  <c r="L2699" i="1"/>
  <c r="J2699" i="1"/>
  <c r="K2699" i="1" s="1"/>
  <c r="O2698" i="1"/>
  <c r="N2698" i="1"/>
  <c r="M2698" i="1"/>
  <c r="L2698" i="1"/>
  <c r="J2698" i="1"/>
  <c r="K2698" i="1" s="1"/>
  <c r="O2697" i="1"/>
  <c r="N2697" i="1"/>
  <c r="M2697" i="1"/>
  <c r="L2697" i="1"/>
  <c r="J2697" i="1"/>
  <c r="K2697" i="1" s="1"/>
  <c r="O2696" i="1"/>
  <c r="N2696" i="1"/>
  <c r="M2696" i="1"/>
  <c r="L2696" i="1"/>
  <c r="J2696" i="1"/>
  <c r="K2696" i="1" s="1"/>
  <c r="O2695" i="1"/>
  <c r="N2695" i="1"/>
  <c r="M2695" i="1"/>
  <c r="L2695" i="1"/>
  <c r="J2695" i="1"/>
  <c r="K2695" i="1" s="1"/>
  <c r="O2694" i="1"/>
  <c r="N2694" i="1"/>
  <c r="M2694" i="1"/>
  <c r="L2694" i="1"/>
  <c r="J2694" i="1"/>
  <c r="K2694" i="1" s="1"/>
  <c r="O2693" i="1"/>
  <c r="N2693" i="1"/>
  <c r="M2693" i="1"/>
  <c r="L2693" i="1"/>
  <c r="J2693" i="1"/>
  <c r="K2693" i="1" s="1"/>
  <c r="O2692" i="1"/>
  <c r="N2692" i="1"/>
  <c r="M2692" i="1"/>
  <c r="L2692" i="1"/>
  <c r="J2692" i="1"/>
  <c r="K2692" i="1" s="1"/>
  <c r="O2691" i="1"/>
  <c r="N2691" i="1"/>
  <c r="M2691" i="1"/>
  <c r="L2691" i="1"/>
  <c r="J2691" i="1"/>
  <c r="K2691" i="1" s="1"/>
  <c r="O2690" i="1"/>
  <c r="N2690" i="1"/>
  <c r="M2690" i="1"/>
  <c r="L2690" i="1"/>
  <c r="J2690" i="1"/>
  <c r="K2690" i="1" s="1"/>
  <c r="O2689" i="1"/>
  <c r="N2689" i="1"/>
  <c r="M2689" i="1"/>
  <c r="L2689" i="1"/>
  <c r="J2689" i="1"/>
  <c r="K2689" i="1" s="1"/>
  <c r="O2688" i="1"/>
  <c r="N2688" i="1"/>
  <c r="M2688" i="1"/>
  <c r="L2688" i="1"/>
  <c r="J2688" i="1"/>
  <c r="K2688" i="1" s="1"/>
  <c r="O2687" i="1"/>
  <c r="N2687" i="1"/>
  <c r="M2687" i="1"/>
  <c r="L2687" i="1"/>
  <c r="J2687" i="1"/>
  <c r="K2687" i="1" s="1"/>
  <c r="O2686" i="1"/>
  <c r="N2686" i="1"/>
  <c r="M2686" i="1"/>
  <c r="L2686" i="1"/>
  <c r="J2686" i="1"/>
  <c r="K2686" i="1" s="1"/>
  <c r="O2685" i="1"/>
  <c r="N2685" i="1"/>
  <c r="M2685" i="1"/>
  <c r="L2685" i="1"/>
  <c r="J2685" i="1"/>
  <c r="K2685" i="1" s="1"/>
  <c r="O2684" i="1"/>
  <c r="N2684" i="1"/>
  <c r="M2684" i="1"/>
  <c r="L2684" i="1"/>
  <c r="J2684" i="1"/>
  <c r="K2684" i="1" s="1"/>
  <c r="O2683" i="1"/>
  <c r="N2683" i="1"/>
  <c r="M2683" i="1"/>
  <c r="L2683" i="1"/>
  <c r="J2683" i="1"/>
  <c r="K2683" i="1" s="1"/>
  <c r="O2682" i="1"/>
  <c r="N2682" i="1"/>
  <c r="M2682" i="1"/>
  <c r="L2682" i="1"/>
  <c r="J2682" i="1"/>
  <c r="K2682" i="1" s="1"/>
  <c r="O2681" i="1"/>
  <c r="N2681" i="1"/>
  <c r="M2681" i="1"/>
  <c r="L2681" i="1"/>
  <c r="J2681" i="1"/>
  <c r="K2681" i="1" s="1"/>
  <c r="O2680" i="1"/>
  <c r="N2680" i="1"/>
  <c r="M2680" i="1"/>
  <c r="L2680" i="1"/>
  <c r="J2680" i="1"/>
  <c r="K2680" i="1" s="1"/>
  <c r="O2679" i="1"/>
  <c r="N2679" i="1"/>
  <c r="M2679" i="1"/>
  <c r="L2679" i="1"/>
  <c r="J2679" i="1"/>
  <c r="K2679" i="1" s="1"/>
  <c r="O2678" i="1"/>
  <c r="N2678" i="1"/>
  <c r="M2678" i="1"/>
  <c r="L2678" i="1"/>
  <c r="J2678" i="1"/>
  <c r="K2678" i="1" s="1"/>
  <c r="O2677" i="1"/>
  <c r="N2677" i="1"/>
  <c r="M2677" i="1"/>
  <c r="L2677" i="1"/>
  <c r="J2677" i="1"/>
  <c r="K2677" i="1" s="1"/>
  <c r="O2676" i="1"/>
  <c r="N2676" i="1"/>
  <c r="M2676" i="1"/>
  <c r="L2676" i="1"/>
  <c r="J2676" i="1"/>
  <c r="K2676" i="1" s="1"/>
  <c r="O2675" i="1"/>
  <c r="N2675" i="1"/>
  <c r="M2675" i="1"/>
  <c r="L2675" i="1"/>
  <c r="J2675" i="1"/>
  <c r="K2675" i="1" s="1"/>
  <c r="O2674" i="1"/>
  <c r="N2674" i="1"/>
  <c r="M2674" i="1"/>
  <c r="L2674" i="1"/>
  <c r="J2674" i="1"/>
  <c r="K2674" i="1" s="1"/>
  <c r="O2673" i="1"/>
  <c r="N2673" i="1"/>
  <c r="M2673" i="1"/>
  <c r="L2673" i="1"/>
  <c r="J2673" i="1"/>
  <c r="K2673" i="1" s="1"/>
  <c r="O2672" i="1"/>
  <c r="N2672" i="1"/>
  <c r="M2672" i="1"/>
  <c r="L2672" i="1"/>
  <c r="J2672" i="1"/>
  <c r="K2672" i="1" s="1"/>
  <c r="O2671" i="1"/>
  <c r="N2671" i="1"/>
  <c r="M2671" i="1"/>
  <c r="L2671" i="1"/>
  <c r="J2671" i="1"/>
  <c r="K2671" i="1" s="1"/>
  <c r="O2670" i="1"/>
  <c r="N2670" i="1"/>
  <c r="M2670" i="1"/>
  <c r="L2670" i="1"/>
  <c r="J2670" i="1"/>
  <c r="K2670" i="1" s="1"/>
  <c r="O2669" i="1"/>
  <c r="N2669" i="1"/>
  <c r="M2669" i="1"/>
  <c r="L2669" i="1"/>
  <c r="J2669" i="1"/>
  <c r="K2669" i="1" s="1"/>
  <c r="O2668" i="1"/>
  <c r="N2668" i="1"/>
  <c r="M2668" i="1"/>
  <c r="L2668" i="1"/>
  <c r="J2668" i="1"/>
  <c r="K2668" i="1" s="1"/>
  <c r="O2667" i="1"/>
  <c r="N2667" i="1"/>
  <c r="M2667" i="1"/>
  <c r="L2667" i="1"/>
  <c r="J2667" i="1"/>
  <c r="K2667" i="1" s="1"/>
  <c r="O2666" i="1"/>
  <c r="N2666" i="1"/>
  <c r="M2666" i="1"/>
  <c r="L2666" i="1"/>
  <c r="J2666" i="1"/>
  <c r="K2666" i="1" s="1"/>
  <c r="O2665" i="1"/>
  <c r="N2665" i="1"/>
  <c r="M2665" i="1"/>
  <c r="L2665" i="1"/>
  <c r="J2665" i="1"/>
  <c r="K2665" i="1" s="1"/>
  <c r="O2664" i="1"/>
  <c r="N2664" i="1"/>
  <c r="M2664" i="1"/>
  <c r="L2664" i="1"/>
  <c r="J2664" i="1"/>
  <c r="K2664" i="1" s="1"/>
  <c r="O2663" i="1"/>
  <c r="N2663" i="1"/>
  <c r="M2663" i="1"/>
  <c r="L2663" i="1"/>
  <c r="J2663" i="1"/>
  <c r="K2663" i="1" s="1"/>
  <c r="O2662" i="1"/>
  <c r="N2662" i="1"/>
  <c r="M2662" i="1"/>
  <c r="L2662" i="1"/>
  <c r="J2662" i="1"/>
  <c r="K2662" i="1" s="1"/>
  <c r="O2661" i="1"/>
  <c r="N2661" i="1"/>
  <c r="M2661" i="1"/>
  <c r="L2661" i="1"/>
  <c r="J2661" i="1"/>
  <c r="K2661" i="1" s="1"/>
  <c r="O2660" i="1"/>
  <c r="N2660" i="1"/>
  <c r="M2660" i="1"/>
  <c r="L2660" i="1"/>
  <c r="J2660" i="1"/>
  <c r="K2660" i="1" s="1"/>
  <c r="O2659" i="1"/>
  <c r="N2659" i="1"/>
  <c r="M2659" i="1"/>
  <c r="L2659" i="1"/>
  <c r="J2659" i="1"/>
  <c r="K2659" i="1" s="1"/>
  <c r="O2658" i="1"/>
  <c r="N2658" i="1"/>
  <c r="M2658" i="1"/>
  <c r="L2658" i="1"/>
  <c r="J2658" i="1"/>
  <c r="K2658" i="1" s="1"/>
  <c r="O2657" i="1"/>
  <c r="N2657" i="1"/>
  <c r="M2657" i="1"/>
  <c r="L2657" i="1"/>
  <c r="J2657" i="1"/>
  <c r="K2657" i="1" s="1"/>
  <c r="O2656" i="1"/>
  <c r="N2656" i="1"/>
  <c r="M2656" i="1"/>
  <c r="L2656" i="1"/>
  <c r="J2656" i="1"/>
  <c r="K2656" i="1" s="1"/>
  <c r="O2655" i="1"/>
  <c r="N2655" i="1"/>
  <c r="M2655" i="1"/>
  <c r="L2655" i="1"/>
  <c r="J2655" i="1"/>
  <c r="K2655" i="1" s="1"/>
  <c r="O2654" i="1"/>
  <c r="N2654" i="1"/>
  <c r="M2654" i="1"/>
  <c r="L2654" i="1"/>
  <c r="J2654" i="1"/>
  <c r="K2654" i="1" s="1"/>
  <c r="O2653" i="1"/>
  <c r="N2653" i="1"/>
  <c r="M2653" i="1"/>
  <c r="L2653" i="1"/>
  <c r="J2653" i="1"/>
  <c r="K2653" i="1" s="1"/>
  <c r="O2652" i="1"/>
  <c r="N2652" i="1"/>
  <c r="M2652" i="1"/>
  <c r="L2652" i="1"/>
  <c r="J2652" i="1"/>
  <c r="K2652" i="1" s="1"/>
  <c r="O2651" i="1"/>
  <c r="N2651" i="1"/>
  <c r="M2651" i="1"/>
  <c r="L2651" i="1"/>
  <c r="J2651" i="1"/>
  <c r="K2651" i="1" s="1"/>
  <c r="O2650" i="1"/>
  <c r="N2650" i="1"/>
  <c r="M2650" i="1"/>
  <c r="L2650" i="1"/>
  <c r="J2650" i="1"/>
  <c r="K2650" i="1" s="1"/>
  <c r="O2649" i="1"/>
  <c r="N2649" i="1"/>
  <c r="M2649" i="1"/>
  <c r="L2649" i="1"/>
  <c r="J2649" i="1"/>
  <c r="K2649" i="1" s="1"/>
  <c r="O2648" i="1"/>
  <c r="N2648" i="1"/>
  <c r="M2648" i="1"/>
  <c r="L2648" i="1"/>
  <c r="J2648" i="1"/>
  <c r="K2648" i="1" s="1"/>
  <c r="O2647" i="1"/>
  <c r="N2647" i="1"/>
  <c r="M2647" i="1"/>
  <c r="L2647" i="1"/>
  <c r="J2647" i="1"/>
  <c r="K2647" i="1" s="1"/>
  <c r="O2646" i="1"/>
  <c r="N2646" i="1"/>
  <c r="M2646" i="1"/>
  <c r="L2646" i="1"/>
  <c r="J2646" i="1"/>
  <c r="K2646" i="1" s="1"/>
  <c r="O2645" i="1"/>
  <c r="N2645" i="1"/>
  <c r="M2645" i="1"/>
  <c r="L2645" i="1"/>
  <c r="J2645" i="1"/>
  <c r="K2645" i="1" s="1"/>
  <c r="O2644" i="1"/>
  <c r="N2644" i="1"/>
  <c r="M2644" i="1"/>
  <c r="L2644" i="1"/>
  <c r="J2644" i="1"/>
  <c r="K2644" i="1" s="1"/>
  <c r="O2643" i="1"/>
  <c r="N2643" i="1"/>
  <c r="M2643" i="1"/>
  <c r="L2643" i="1"/>
  <c r="J2643" i="1"/>
  <c r="K2643" i="1" s="1"/>
  <c r="O2642" i="1"/>
  <c r="N2642" i="1"/>
  <c r="M2642" i="1"/>
  <c r="L2642" i="1"/>
  <c r="J2642" i="1"/>
  <c r="K2642" i="1" s="1"/>
  <c r="O2641" i="1"/>
  <c r="N2641" i="1"/>
  <c r="M2641" i="1"/>
  <c r="L2641" i="1"/>
  <c r="J2641" i="1"/>
  <c r="K2641" i="1" s="1"/>
  <c r="O2640" i="1"/>
  <c r="N2640" i="1"/>
  <c r="M2640" i="1"/>
  <c r="L2640" i="1"/>
  <c r="J2640" i="1"/>
  <c r="K2640" i="1" s="1"/>
  <c r="O2639" i="1"/>
  <c r="N2639" i="1"/>
  <c r="M2639" i="1"/>
  <c r="L2639" i="1"/>
  <c r="J2639" i="1"/>
  <c r="K2639" i="1" s="1"/>
  <c r="O2638" i="1"/>
  <c r="N2638" i="1"/>
  <c r="M2638" i="1"/>
  <c r="L2638" i="1"/>
  <c r="J2638" i="1"/>
  <c r="K2638" i="1" s="1"/>
  <c r="O2637" i="1"/>
  <c r="N2637" i="1"/>
  <c r="M2637" i="1"/>
  <c r="L2637" i="1"/>
  <c r="J2637" i="1"/>
  <c r="K2637" i="1" s="1"/>
  <c r="O2636" i="1"/>
  <c r="N2636" i="1"/>
  <c r="M2636" i="1"/>
  <c r="L2636" i="1"/>
  <c r="J2636" i="1"/>
  <c r="K2636" i="1" s="1"/>
  <c r="O2635" i="1"/>
  <c r="N2635" i="1"/>
  <c r="M2635" i="1"/>
  <c r="L2635" i="1"/>
  <c r="J2635" i="1"/>
  <c r="K2635" i="1" s="1"/>
  <c r="O2634" i="1"/>
  <c r="N2634" i="1"/>
  <c r="M2634" i="1"/>
  <c r="L2634" i="1"/>
  <c r="J2634" i="1"/>
  <c r="K2634" i="1" s="1"/>
  <c r="O2633" i="1"/>
  <c r="N2633" i="1"/>
  <c r="M2633" i="1"/>
  <c r="L2633" i="1"/>
  <c r="J2633" i="1"/>
  <c r="K2633" i="1" s="1"/>
  <c r="O2632" i="1"/>
  <c r="N2632" i="1"/>
  <c r="M2632" i="1"/>
  <c r="L2632" i="1"/>
  <c r="J2632" i="1"/>
  <c r="K2632" i="1" s="1"/>
  <c r="O2631" i="1"/>
  <c r="N2631" i="1"/>
  <c r="M2631" i="1"/>
  <c r="L2631" i="1"/>
  <c r="J2631" i="1"/>
  <c r="K2631" i="1" s="1"/>
  <c r="O2630" i="1"/>
  <c r="N2630" i="1"/>
  <c r="M2630" i="1"/>
  <c r="L2630" i="1"/>
  <c r="J2630" i="1"/>
  <c r="K2630" i="1" s="1"/>
  <c r="O2629" i="1"/>
  <c r="N2629" i="1"/>
  <c r="M2629" i="1"/>
  <c r="L2629" i="1"/>
  <c r="J2629" i="1"/>
  <c r="K2629" i="1" s="1"/>
  <c r="O2628" i="1"/>
  <c r="N2628" i="1"/>
  <c r="M2628" i="1"/>
  <c r="L2628" i="1"/>
  <c r="J2628" i="1"/>
  <c r="K2628" i="1" s="1"/>
  <c r="O2627" i="1"/>
  <c r="N2627" i="1"/>
  <c r="M2627" i="1"/>
  <c r="L2627" i="1"/>
  <c r="J2627" i="1"/>
  <c r="K2627" i="1" s="1"/>
  <c r="O2626" i="1"/>
  <c r="N2626" i="1"/>
  <c r="M2626" i="1"/>
  <c r="L2626" i="1"/>
  <c r="J2626" i="1"/>
  <c r="K2626" i="1" s="1"/>
  <c r="O2625" i="1"/>
  <c r="N2625" i="1"/>
  <c r="M2625" i="1"/>
  <c r="L2625" i="1"/>
  <c r="J2625" i="1"/>
  <c r="K2625" i="1" s="1"/>
  <c r="O2624" i="1"/>
  <c r="N2624" i="1"/>
  <c r="M2624" i="1"/>
  <c r="L2624" i="1"/>
  <c r="J2624" i="1"/>
  <c r="K2624" i="1" s="1"/>
  <c r="O2623" i="1"/>
  <c r="N2623" i="1"/>
  <c r="M2623" i="1"/>
  <c r="L2623" i="1"/>
  <c r="J2623" i="1"/>
  <c r="K2623" i="1" s="1"/>
  <c r="O2622" i="1"/>
  <c r="N2622" i="1"/>
  <c r="M2622" i="1"/>
  <c r="L2622" i="1"/>
  <c r="J2622" i="1"/>
  <c r="K2622" i="1" s="1"/>
  <c r="O2621" i="1"/>
  <c r="N2621" i="1"/>
  <c r="M2621" i="1"/>
  <c r="L2621" i="1"/>
  <c r="J2621" i="1"/>
  <c r="K2621" i="1" s="1"/>
  <c r="O2620" i="1"/>
  <c r="N2620" i="1"/>
  <c r="M2620" i="1"/>
  <c r="L2620" i="1"/>
  <c r="J2620" i="1"/>
  <c r="K2620" i="1" s="1"/>
  <c r="O2619" i="1"/>
  <c r="N2619" i="1"/>
  <c r="M2619" i="1"/>
  <c r="L2619" i="1"/>
  <c r="J2619" i="1"/>
  <c r="K2619" i="1" s="1"/>
  <c r="O2618" i="1"/>
  <c r="N2618" i="1"/>
  <c r="M2618" i="1"/>
  <c r="L2618" i="1"/>
  <c r="J2618" i="1"/>
  <c r="K2618" i="1" s="1"/>
  <c r="O2617" i="1"/>
  <c r="N2617" i="1"/>
  <c r="M2617" i="1"/>
  <c r="L2617" i="1"/>
  <c r="J2617" i="1"/>
  <c r="K2617" i="1" s="1"/>
  <c r="O2616" i="1"/>
  <c r="N2616" i="1"/>
  <c r="M2616" i="1"/>
  <c r="L2616" i="1"/>
  <c r="J2616" i="1"/>
  <c r="K2616" i="1" s="1"/>
  <c r="O2615" i="1"/>
  <c r="N2615" i="1"/>
  <c r="M2615" i="1"/>
  <c r="L2615" i="1"/>
  <c r="J2615" i="1"/>
  <c r="K2615" i="1" s="1"/>
  <c r="O2614" i="1"/>
  <c r="N2614" i="1"/>
  <c r="M2614" i="1"/>
  <c r="L2614" i="1"/>
  <c r="J2614" i="1"/>
  <c r="K2614" i="1" s="1"/>
  <c r="O2613" i="1"/>
  <c r="N2613" i="1"/>
  <c r="M2613" i="1"/>
  <c r="L2613" i="1"/>
  <c r="J2613" i="1"/>
  <c r="K2613" i="1" s="1"/>
  <c r="O2612" i="1"/>
  <c r="N2612" i="1"/>
  <c r="M2612" i="1"/>
  <c r="L2612" i="1"/>
  <c r="J2612" i="1"/>
  <c r="K2612" i="1" s="1"/>
  <c r="O2611" i="1"/>
  <c r="N2611" i="1"/>
  <c r="M2611" i="1"/>
  <c r="L2611" i="1"/>
  <c r="J2611" i="1"/>
  <c r="K2611" i="1" s="1"/>
  <c r="O2610" i="1"/>
  <c r="N2610" i="1"/>
  <c r="M2610" i="1"/>
  <c r="L2610" i="1"/>
  <c r="J2610" i="1"/>
  <c r="K2610" i="1" s="1"/>
  <c r="O2609" i="1"/>
  <c r="N2609" i="1"/>
  <c r="M2609" i="1"/>
  <c r="L2609" i="1"/>
  <c r="J2609" i="1"/>
  <c r="K2609" i="1" s="1"/>
  <c r="O2608" i="1"/>
  <c r="N2608" i="1"/>
  <c r="M2608" i="1"/>
  <c r="L2608" i="1"/>
  <c r="J2608" i="1"/>
  <c r="K2608" i="1" s="1"/>
  <c r="O2607" i="1"/>
  <c r="N2607" i="1"/>
  <c r="M2607" i="1"/>
  <c r="L2607" i="1"/>
  <c r="J2607" i="1"/>
  <c r="K2607" i="1" s="1"/>
  <c r="O2606" i="1"/>
  <c r="N2606" i="1"/>
  <c r="M2606" i="1"/>
  <c r="L2606" i="1"/>
  <c r="J2606" i="1"/>
  <c r="K2606" i="1" s="1"/>
  <c r="O2605" i="1"/>
  <c r="N2605" i="1"/>
  <c r="M2605" i="1"/>
  <c r="L2605" i="1"/>
  <c r="J2605" i="1"/>
  <c r="K2605" i="1" s="1"/>
  <c r="O2604" i="1"/>
  <c r="N2604" i="1"/>
  <c r="M2604" i="1"/>
  <c r="L2604" i="1"/>
  <c r="J2604" i="1"/>
  <c r="K2604" i="1" s="1"/>
  <c r="O2603" i="1"/>
  <c r="N2603" i="1"/>
  <c r="M2603" i="1"/>
  <c r="L2603" i="1"/>
  <c r="J2603" i="1"/>
  <c r="K2603" i="1" s="1"/>
  <c r="O2602" i="1"/>
  <c r="N2602" i="1"/>
  <c r="M2602" i="1"/>
  <c r="L2602" i="1"/>
  <c r="J2602" i="1"/>
  <c r="K2602" i="1" s="1"/>
  <c r="O2601" i="1"/>
  <c r="N2601" i="1"/>
  <c r="M2601" i="1"/>
  <c r="L2601" i="1"/>
  <c r="J2601" i="1"/>
  <c r="K2601" i="1" s="1"/>
  <c r="O2600" i="1"/>
  <c r="N2600" i="1"/>
  <c r="M2600" i="1"/>
  <c r="L2600" i="1"/>
  <c r="J2600" i="1"/>
  <c r="K2600" i="1" s="1"/>
  <c r="O2599" i="1"/>
  <c r="N2599" i="1"/>
  <c r="M2599" i="1"/>
  <c r="L2599" i="1"/>
  <c r="J2599" i="1"/>
  <c r="K2599" i="1" s="1"/>
  <c r="O2598" i="1"/>
  <c r="N2598" i="1"/>
  <c r="M2598" i="1"/>
  <c r="L2598" i="1"/>
  <c r="J2598" i="1"/>
  <c r="K2598" i="1" s="1"/>
  <c r="O2597" i="1"/>
  <c r="N2597" i="1"/>
  <c r="M2597" i="1"/>
  <c r="L2597" i="1"/>
  <c r="J2597" i="1"/>
  <c r="K2597" i="1" s="1"/>
  <c r="O2596" i="1"/>
  <c r="N2596" i="1"/>
  <c r="M2596" i="1"/>
  <c r="L2596" i="1"/>
  <c r="J2596" i="1"/>
  <c r="K2596" i="1" s="1"/>
  <c r="O2595" i="1"/>
  <c r="N2595" i="1"/>
  <c r="M2595" i="1"/>
  <c r="L2595" i="1"/>
  <c r="J2595" i="1"/>
  <c r="K2595" i="1" s="1"/>
  <c r="O2594" i="1"/>
  <c r="N2594" i="1"/>
  <c r="M2594" i="1"/>
  <c r="L2594" i="1"/>
  <c r="J2594" i="1"/>
  <c r="K2594" i="1" s="1"/>
  <c r="O2593" i="1"/>
  <c r="N2593" i="1"/>
  <c r="M2593" i="1"/>
  <c r="L2593" i="1"/>
  <c r="J2593" i="1"/>
  <c r="K2593" i="1" s="1"/>
  <c r="O2592" i="1"/>
  <c r="N2592" i="1"/>
  <c r="M2592" i="1"/>
  <c r="L2592" i="1"/>
  <c r="J2592" i="1"/>
  <c r="K2592" i="1" s="1"/>
  <c r="O2591" i="1"/>
  <c r="N2591" i="1"/>
  <c r="M2591" i="1"/>
  <c r="L2591" i="1"/>
  <c r="J2591" i="1"/>
  <c r="K2591" i="1" s="1"/>
  <c r="O2590" i="1"/>
  <c r="N2590" i="1"/>
  <c r="M2590" i="1"/>
  <c r="L2590" i="1"/>
  <c r="J2590" i="1"/>
  <c r="K2590" i="1" s="1"/>
  <c r="O2589" i="1"/>
  <c r="N2589" i="1"/>
  <c r="M2589" i="1"/>
  <c r="L2589" i="1"/>
  <c r="J2589" i="1"/>
  <c r="K2589" i="1" s="1"/>
  <c r="O2588" i="1"/>
  <c r="N2588" i="1"/>
  <c r="M2588" i="1"/>
  <c r="L2588" i="1"/>
  <c r="J2588" i="1"/>
  <c r="K2588" i="1" s="1"/>
  <c r="O2587" i="1"/>
  <c r="N2587" i="1"/>
  <c r="M2587" i="1"/>
  <c r="L2587" i="1"/>
  <c r="J2587" i="1"/>
  <c r="K2587" i="1" s="1"/>
  <c r="O2586" i="1"/>
  <c r="N2586" i="1"/>
  <c r="M2586" i="1"/>
  <c r="L2586" i="1"/>
  <c r="J2586" i="1"/>
  <c r="K2586" i="1" s="1"/>
  <c r="O2585" i="1"/>
  <c r="N2585" i="1"/>
  <c r="M2585" i="1"/>
  <c r="L2585" i="1"/>
  <c r="J2585" i="1"/>
  <c r="K2585" i="1" s="1"/>
  <c r="O2584" i="1"/>
  <c r="N2584" i="1"/>
  <c r="M2584" i="1"/>
  <c r="L2584" i="1"/>
  <c r="J2584" i="1"/>
  <c r="K2584" i="1" s="1"/>
  <c r="O2583" i="1"/>
  <c r="N2583" i="1"/>
  <c r="M2583" i="1"/>
  <c r="L2583" i="1"/>
  <c r="J2583" i="1"/>
  <c r="K2583" i="1" s="1"/>
  <c r="O2582" i="1"/>
  <c r="N2582" i="1"/>
  <c r="M2582" i="1"/>
  <c r="L2582" i="1"/>
  <c r="J2582" i="1"/>
  <c r="K2582" i="1" s="1"/>
  <c r="O2581" i="1"/>
  <c r="N2581" i="1"/>
  <c r="M2581" i="1"/>
  <c r="L2581" i="1"/>
  <c r="J2581" i="1"/>
  <c r="K2581" i="1" s="1"/>
  <c r="O2580" i="1"/>
  <c r="N2580" i="1"/>
  <c r="M2580" i="1"/>
  <c r="L2580" i="1"/>
  <c r="J2580" i="1"/>
  <c r="K2580" i="1" s="1"/>
  <c r="O2579" i="1"/>
  <c r="N2579" i="1"/>
  <c r="M2579" i="1"/>
  <c r="L2579" i="1"/>
  <c r="J2579" i="1"/>
  <c r="K2579" i="1" s="1"/>
  <c r="O2578" i="1"/>
  <c r="N2578" i="1"/>
  <c r="M2578" i="1"/>
  <c r="L2578" i="1"/>
  <c r="J2578" i="1"/>
  <c r="K2578" i="1" s="1"/>
  <c r="O2577" i="1"/>
  <c r="N2577" i="1"/>
  <c r="M2577" i="1"/>
  <c r="L2577" i="1"/>
  <c r="J2577" i="1"/>
  <c r="K2577" i="1" s="1"/>
  <c r="O2576" i="1"/>
  <c r="N2576" i="1"/>
  <c r="M2576" i="1"/>
  <c r="L2576" i="1"/>
  <c r="J2576" i="1"/>
  <c r="K2576" i="1" s="1"/>
  <c r="O2575" i="1"/>
  <c r="N2575" i="1"/>
  <c r="M2575" i="1"/>
  <c r="L2575" i="1"/>
  <c r="J2575" i="1"/>
  <c r="K2575" i="1" s="1"/>
  <c r="O2574" i="1"/>
  <c r="N2574" i="1"/>
  <c r="M2574" i="1"/>
  <c r="L2574" i="1"/>
  <c r="J2574" i="1"/>
  <c r="K2574" i="1" s="1"/>
  <c r="O2573" i="1"/>
  <c r="N2573" i="1"/>
  <c r="M2573" i="1"/>
  <c r="L2573" i="1"/>
  <c r="J2573" i="1"/>
  <c r="K2573" i="1" s="1"/>
  <c r="O2572" i="1"/>
  <c r="N2572" i="1"/>
  <c r="M2572" i="1"/>
  <c r="L2572" i="1"/>
  <c r="J2572" i="1"/>
  <c r="K2572" i="1" s="1"/>
  <c r="O2571" i="1"/>
  <c r="N2571" i="1"/>
  <c r="M2571" i="1"/>
  <c r="L2571" i="1"/>
  <c r="J2571" i="1"/>
  <c r="K2571" i="1" s="1"/>
  <c r="O2570" i="1"/>
  <c r="N2570" i="1"/>
  <c r="M2570" i="1"/>
  <c r="L2570" i="1"/>
  <c r="J2570" i="1"/>
  <c r="K2570" i="1" s="1"/>
  <c r="O2569" i="1"/>
  <c r="N2569" i="1"/>
  <c r="M2569" i="1"/>
  <c r="L2569" i="1"/>
  <c r="J2569" i="1"/>
  <c r="K2569" i="1" s="1"/>
  <c r="O2568" i="1"/>
  <c r="N2568" i="1"/>
  <c r="M2568" i="1"/>
  <c r="L2568" i="1"/>
  <c r="J2568" i="1"/>
  <c r="K2568" i="1" s="1"/>
  <c r="O2567" i="1"/>
  <c r="N2567" i="1"/>
  <c r="M2567" i="1"/>
  <c r="L2567" i="1"/>
  <c r="J2567" i="1"/>
  <c r="K2567" i="1" s="1"/>
  <c r="O2566" i="1"/>
  <c r="N2566" i="1"/>
  <c r="M2566" i="1"/>
  <c r="L2566" i="1"/>
  <c r="J2566" i="1"/>
  <c r="K2566" i="1" s="1"/>
  <c r="O2565" i="1"/>
  <c r="N2565" i="1"/>
  <c r="M2565" i="1"/>
  <c r="L2565" i="1"/>
  <c r="J2565" i="1"/>
  <c r="K2565" i="1" s="1"/>
  <c r="O2564" i="1"/>
  <c r="N2564" i="1"/>
  <c r="M2564" i="1"/>
  <c r="L2564" i="1"/>
  <c r="J2564" i="1"/>
  <c r="K2564" i="1" s="1"/>
  <c r="O2563" i="1"/>
  <c r="N2563" i="1"/>
  <c r="M2563" i="1"/>
  <c r="L2563" i="1"/>
  <c r="J2563" i="1"/>
  <c r="K2563" i="1" s="1"/>
  <c r="O2562" i="1"/>
  <c r="N2562" i="1"/>
  <c r="M2562" i="1"/>
  <c r="L2562" i="1"/>
  <c r="J2562" i="1"/>
  <c r="K2562" i="1" s="1"/>
  <c r="O2561" i="1"/>
  <c r="N2561" i="1"/>
  <c r="M2561" i="1"/>
  <c r="L2561" i="1"/>
  <c r="J2561" i="1"/>
  <c r="K2561" i="1" s="1"/>
  <c r="O2560" i="1"/>
  <c r="N2560" i="1"/>
  <c r="M2560" i="1"/>
  <c r="L2560" i="1"/>
  <c r="J2560" i="1"/>
  <c r="K2560" i="1" s="1"/>
  <c r="O2559" i="1"/>
  <c r="N2559" i="1"/>
  <c r="M2559" i="1"/>
  <c r="L2559" i="1"/>
  <c r="J2559" i="1"/>
  <c r="K2559" i="1" s="1"/>
  <c r="O2558" i="1"/>
  <c r="N2558" i="1"/>
  <c r="M2558" i="1"/>
  <c r="L2558" i="1"/>
  <c r="J2558" i="1"/>
  <c r="K2558" i="1" s="1"/>
  <c r="O2557" i="1"/>
  <c r="N2557" i="1"/>
  <c r="M2557" i="1"/>
  <c r="L2557" i="1"/>
  <c r="J2557" i="1"/>
  <c r="K2557" i="1" s="1"/>
  <c r="O2556" i="1"/>
  <c r="N2556" i="1"/>
  <c r="M2556" i="1"/>
  <c r="L2556" i="1"/>
  <c r="J2556" i="1"/>
  <c r="K2556" i="1" s="1"/>
  <c r="O2555" i="1"/>
  <c r="N2555" i="1"/>
  <c r="M2555" i="1"/>
  <c r="L2555" i="1"/>
  <c r="J2555" i="1"/>
  <c r="K2555" i="1" s="1"/>
  <c r="O2554" i="1"/>
  <c r="N2554" i="1"/>
  <c r="M2554" i="1"/>
  <c r="L2554" i="1"/>
  <c r="J2554" i="1"/>
  <c r="K2554" i="1" s="1"/>
  <c r="O2553" i="1"/>
  <c r="N2553" i="1"/>
  <c r="M2553" i="1"/>
  <c r="L2553" i="1"/>
  <c r="J2553" i="1"/>
  <c r="K2553" i="1" s="1"/>
  <c r="O2552" i="1"/>
  <c r="N2552" i="1"/>
  <c r="M2552" i="1"/>
  <c r="L2552" i="1"/>
  <c r="J2552" i="1"/>
  <c r="K2552" i="1" s="1"/>
  <c r="O2551" i="1"/>
  <c r="N2551" i="1"/>
  <c r="M2551" i="1"/>
  <c r="L2551" i="1"/>
  <c r="J2551" i="1"/>
  <c r="K2551" i="1" s="1"/>
  <c r="O2550" i="1"/>
  <c r="N2550" i="1"/>
  <c r="M2550" i="1"/>
  <c r="L2550" i="1"/>
  <c r="J2550" i="1"/>
  <c r="K2550" i="1" s="1"/>
  <c r="O2549" i="1"/>
  <c r="N2549" i="1"/>
  <c r="M2549" i="1"/>
  <c r="L2549" i="1"/>
  <c r="J2549" i="1"/>
  <c r="K2549" i="1" s="1"/>
  <c r="O2548" i="1"/>
  <c r="N2548" i="1"/>
  <c r="M2548" i="1"/>
  <c r="L2548" i="1"/>
  <c r="J2548" i="1"/>
  <c r="K2548" i="1" s="1"/>
  <c r="O2547" i="1"/>
  <c r="N2547" i="1"/>
  <c r="M2547" i="1"/>
  <c r="L2547" i="1"/>
  <c r="J2547" i="1"/>
  <c r="K2547" i="1" s="1"/>
  <c r="O2546" i="1"/>
  <c r="N2546" i="1"/>
  <c r="M2546" i="1"/>
  <c r="L2546" i="1"/>
  <c r="J2546" i="1"/>
  <c r="K2546" i="1" s="1"/>
  <c r="O2545" i="1"/>
  <c r="N2545" i="1"/>
  <c r="M2545" i="1"/>
  <c r="L2545" i="1"/>
  <c r="J2545" i="1"/>
  <c r="K2545" i="1" s="1"/>
  <c r="O2544" i="1"/>
  <c r="N2544" i="1"/>
  <c r="M2544" i="1"/>
  <c r="L2544" i="1"/>
  <c r="J2544" i="1"/>
  <c r="K2544" i="1" s="1"/>
  <c r="O2543" i="1"/>
  <c r="N2543" i="1"/>
  <c r="M2543" i="1"/>
  <c r="L2543" i="1"/>
  <c r="J2543" i="1"/>
  <c r="K2543" i="1" s="1"/>
  <c r="O2542" i="1"/>
  <c r="N2542" i="1"/>
  <c r="M2542" i="1"/>
  <c r="L2542" i="1"/>
  <c r="J2542" i="1"/>
  <c r="K2542" i="1" s="1"/>
  <c r="O2541" i="1"/>
  <c r="N2541" i="1"/>
  <c r="M2541" i="1"/>
  <c r="L2541" i="1"/>
  <c r="J2541" i="1"/>
  <c r="K2541" i="1" s="1"/>
  <c r="O2540" i="1"/>
  <c r="N2540" i="1"/>
  <c r="M2540" i="1"/>
  <c r="L2540" i="1"/>
  <c r="J2540" i="1"/>
  <c r="K2540" i="1" s="1"/>
  <c r="O2539" i="1"/>
  <c r="N2539" i="1"/>
  <c r="M2539" i="1"/>
  <c r="L2539" i="1"/>
  <c r="J2539" i="1"/>
  <c r="K2539" i="1" s="1"/>
  <c r="O2538" i="1"/>
  <c r="N2538" i="1"/>
  <c r="M2538" i="1"/>
  <c r="L2538" i="1"/>
  <c r="J2538" i="1"/>
  <c r="K2538" i="1" s="1"/>
  <c r="O2537" i="1"/>
  <c r="N2537" i="1"/>
  <c r="M2537" i="1"/>
  <c r="L2537" i="1"/>
  <c r="J2537" i="1"/>
  <c r="K2537" i="1" s="1"/>
  <c r="O2536" i="1"/>
  <c r="N2536" i="1"/>
  <c r="M2536" i="1"/>
  <c r="L2536" i="1"/>
  <c r="J2536" i="1"/>
  <c r="K2536" i="1" s="1"/>
  <c r="O2535" i="1"/>
  <c r="N2535" i="1"/>
  <c r="M2535" i="1"/>
  <c r="L2535" i="1"/>
  <c r="J2535" i="1"/>
  <c r="K2535" i="1" s="1"/>
  <c r="O2534" i="1"/>
  <c r="N2534" i="1"/>
  <c r="M2534" i="1"/>
  <c r="L2534" i="1"/>
  <c r="J2534" i="1"/>
  <c r="K2534" i="1" s="1"/>
  <c r="O2533" i="1"/>
  <c r="N2533" i="1"/>
  <c r="M2533" i="1"/>
  <c r="L2533" i="1"/>
  <c r="J2533" i="1"/>
  <c r="K2533" i="1" s="1"/>
  <c r="O2532" i="1"/>
  <c r="N2532" i="1"/>
  <c r="M2532" i="1"/>
  <c r="L2532" i="1"/>
  <c r="J2532" i="1"/>
  <c r="K2532" i="1" s="1"/>
  <c r="O2531" i="1"/>
  <c r="N2531" i="1"/>
  <c r="M2531" i="1"/>
  <c r="L2531" i="1"/>
  <c r="J2531" i="1"/>
  <c r="K2531" i="1" s="1"/>
  <c r="O2530" i="1"/>
  <c r="N2530" i="1"/>
  <c r="M2530" i="1"/>
  <c r="L2530" i="1"/>
  <c r="J2530" i="1"/>
  <c r="K2530" i="1" s="1"/>
  <c r="O2529" i="1"/>
  <c r="N2529" i="1"/>
  <c r="M2529" i="1"/>
  <c r="L2529" i="1"/>
  <c r="J2529" i="1"/>
  <c r="K2529" i="1" s="1"/>
  <c r="O2528" i="1"/>
  <c r="N2528" i="1"/>
  <c r="M2528" i="1"/>
  <c r="L2528" i="1"/>
  <c r="J2528" i="1"/>
  <c r="K2528" i="1" s="1"/>
  <c r="O2527" i="1"/>
  <c r="N2527" i="1"/>
  <c r="M2527" i="1"/>
  <c r="L2527" i="1"/>
  <c r="J2527" i="1"/>
  <c r="K2527" i="1" s="1"/>
  <c r="O2526" i="1"/>
  <c r="N2526" i="1"/>
  <c r="M2526" i="1"/>
  <c r="L2526" i="1"/>
  <c r="J2526" i="1"/>
  <c r="K2526" i="1" s="1"/>
  <c r="O2525" i="1"/>
  <c r="N2525" i="1"/>
  <c r="M2525" i="1"/>
  <c r="L2525" i="1"/>
  <c r="J2525" i="1"/>
  <c r="K2525" i="1" s="1"/>
  <c r="O2524" i="1"/>
  <c r="N2524" i="1"/>
  <c r="M2524" i="1"/>
  <c r="L2524" i="1"/>
  <c r="J2524" i="1"/>
  <c r="K2524" i="1" s="1"/>
  <c r="O2523" i="1"/>
  <c r="N2523" i="1"/>
  <c r="M2523" i="1"/>
  <c r="L2523" i="1"/>
  <c r="J2523" i="1"/>
  <c r="K2523" i="1" s="1"/>
  <c r="O2522" i="1"/>
  <c r="N2522" i="1"/>
  <c r="M2522" i="1"/>
  <c r="L2522" i="1"/>
  <c r="J2522" i="1"/>
  <c r="K2522" i="1" s="1"/>
  <c r="O2521" i="1"/>
  <c r="N2521" i="1"/>
  <c r="M2521" i="1"/>
  <c r="L2521" i="1"/>
  <c r="J2521" i="1"/>
  <c r="K2521" i="1" s="1"/>
  <c r="O2520" i="1"/>
  <c r="N2520" i="1"/>
  <c r="M2520" i="1"/>
  <c r="L2520" i="1"/>
  <c r="J2520" i="1"/>
  <c r="K2520" i="1" s="1"/>
  <c r="O2519" i="1"/>
  <c r="N2519" i="1"/>
  <c r="M2519" i="1"/>
  <c r="L2519" i="1"/>
  <c r="J2519" i="1"/>
  <c r="K2519" i="1" s="1"/>
  <c r="O2518" i="1"/>
  <c r="N2518" i="1"/>
  <c r="M2518" i="1"/>
  <c r="L2518" i="1"/>
  <c r="J2518" i="1"/>
  <c r="K2518" i="1" s="1"/>
  <c r="O2517" i="1"/>
  <c r="N2517" i="1"/>
  <c r="M2517" i="1"/>
  <c r="L2517" i="1"/>
  <c r="J2517" i="1"/>
  <c r="K2517" i="1" s="1"/>
  <c r="O2516" i="1"/>
  <c r="N2516" i="1"/>
  <c r="M2516" i="1"/>
  <c r="L2516" i="1"/>
  <c r="J2516" i="1"/>
  <c r="K2516" i="1" s="1"/>
  <c r="O2515" i="1"/>
  <c r="N2515" i="1"/>
  <c r="M2515" i="1"/>
  <c r="L2515" i="1"/>
  <c r="J2515" i="1"/>
  <c r="K2515" i="1" s="1"/>
  <c r="O2514" i="1"/>
  <c r="N2514" i="1"/>
  <c r="M2514" i="1"/>
  <c r="L2514" i="1"/>
  <c r="J2514" i="1"/>
  <c r="K2514" i="1" s="1"/>
  <c r="O2513" i="1"/>
  <c r="N2513" i="1"/>
  <c r="M2513" i="1"/>
  <c r="L2513" i="1"/>
  <c r="J2513" i="1"/>
  <c r="K2513" i="1" s="1"/>
  <c r="O2512" i="1"/>
  <c r="N2512" i="1"/>
  <c r="M2512" i="1"/>
  <c r="L2512" i="1"/>
  <c r="J2512" i="1"/>
  <c r="K2512" i="1" s="1"/>
  <c r="O2511" i="1"/>
  <c r="N2511" i="1"/>
  <c r="M2511" i="1"/>
  <c r="L2511" i="1"/>
  <c r="J2511" i="1"/>
  <c r="K2511" i="1" s="1"/>
  <c r="O2510" i="1"/>
  <c r="N2510" i="1"/>
  <c r="M2510" i="1"/>
  <c r="L2510" i="1"/>
  <c r="J2510" i="1"/>
  <c r="K2510" i="1" s="1"/>
  <c r="O2509" i="1"/>
  <c r="N2509" i="1"/>
  <c r="M2509" i="1"/>
  <c r="L2509" i="1"/>
  <c r="J2509" i="1"/>
  <c r="K2509" i="1" s="1"/>
  <c r="O2508" i="1"/>
  <c r="N2508" i="1"/>
  <c r="M2508" i="1"/>
  <c r="L2508" i="1"/>
  <c r="J2508" i="1"/>
  <c r="K2508" i="1" s="1"/>
  <c r="O2507" i="1"/>
  <c r="N2507" i="1"/>
  <c r="M2507" i="1"/>
  <c r="L2507" i="1"/>
  <c r="J2507" i="1"/>
  <c r="K2507" i="1" s="1"/>
  <c r="O2506" i="1"/>
  <c r="N2506" i="1"/>
  <c r="M2506" i="1"/>
  <c r="L2506" i="1"/>
  <c r="J2506" i="1"/>
  <c r="K2506" i="1" s="1"/>
  <c r="O2505" i="1"/>
  <c r="N2505" i="1"/>
  <c r="M2505" i="1"/>
  <c r="L2505" i="1"/>
  <c r="J2505" i="1"/>
  <c r="K2505" i="1" s="1"/>
  <c r="O2504" i="1"/>
  <c r="N2504" i="1"/>
  <c r="M2504" i="1"/>
  <c r="L2504" i="1"/>
  <c r="J2504" i="1"/>
  <c r="K2504" i="1" s="1"/>
  <c r="O2503" i="1"/>
  <c r="N2503" i="1"/>
  <c r="M2503" i="1"/>
  <c r="L2503" i="1"/>
  <c r="J2503" i="1"/>
  <c r="K2503" i="1" s="1"/>
  <c r="O2502" i="1"/>
  <c r="N2502" i="1"/>
  <c r="M2502" i="1"/>
  <c r="L2502" i="1"/>
  <c r="J2502" i="1"/>
  <c r="K2502" i="1" s="1"/>
  <c r="O2501" i="1"/>
  <c r="N2501" i="1"/>
  <c r="M2501" i="1"/>
  <c r="L2501" i="1"/>
  <c r="J2501" i="1"/>
  <c r="K2501" i="1" s="1"/>
  <c r="O2500" i="1"/>
  <c r="N2500" i="1"/>
  <c r="M2500" i="1"/>
  <c r="L2500" i="1"/>
  <c r="J2500" i="1"/>
  <c r="K2500" i="1" s="1"/>
  <c r="O2499" i="1"/>
  <c r="N2499" i="1"/>
  <c r="M2499" i="1"/>
  <c r="L2499" i="1"/>
  <c r="J2499" i="1"/>
  <c r="K2499" i="1" s="1"/>
  <c r="O2498" i="1"/>
  <c r="N2498" i="1"/>
  <c r="M2498" i="1"/>
  <c r="L2498" i="1"/>
  <c r="J2498" i="1"/>
  <c r="K2498" i="1" s="1"/>
  <c r="O2497" i="1"/>
  <c r="N2497" i="1"/>
  <c r="M2497" i="1"/>
  <c r="L2497" i="1"/>
  <c r="J2497" i="1"/>
  <c r="K2497" i="1" s="1"/>
  <c r="O2496" i="1"/>
  <c r="N2496" i="1"/>
  <c r="M2496" i="1"/>
  <c r="L2496" i="1"/>
  <c r="J2496" i="1"/>
  <c r="K2496" i="1" s="1"/>
  <c r="O2495" i="1"/>
  <c r="N2495" i="1"/>
  <c r="M2495" i="1"/>
  <c r="L2495" i="1"/>
  <c r="J2495" i="1"/>
  <c r="K2495" i="1" s="1"/>
  <c r="O2494" i="1"/>
  <c r="N2494" i="1"/>
  <c r="M2494" i="1"/>
  <c r="L2494" i="1"/>
  <c r="J2494" i="1"/>
  <c r="K2494" i="1" s="1"/>
  <c r="O2493" i="1"/>
  <c r="N2493" i="1"/>
  <c r="M2493" i="1"/>
  <c r="L2493" i="1"/>
  <c r="J2493" i="1"/>
  <c r="K2493" i="1" s="1"/>
  <c r="O2492" i="1"/>
  <c r="N2492" i="1"/>
  <c r="M2492" i="1"/>
  <c r="L2492" i="1"/>
  <c r="J2492" i="1"/>
  <c r="K2492" i="1" s="1"/>
  <c r="O2491" i="1"/>
  <c r="N2491" i="1"/>
  <c r="M2491" i="1"/>
  <c r="L2491" i="1"/>
  <c r="J2491" i="1"/>
  <c r="K2491" i="1" s="1"/>
  <c r="O2490" i="1"/>
  <c r="N2490" i="1"/>
  <c r="M2490" i="1"/>
  <c r="L2490" i="1"/>
  <c r="J2490" i="1"/>
  <c r="K2490" i="1" s="1"/>
  <c r="O2489" i="1"/>
  <c r="N2489" i="1"/>
  <c r="M2489" i="1"/>
  <c r="L2489" i="1"/>
  <c r="J2489" i="1"/>
  <c r="K2489" i="1" s="1"/>
  <c r="O2488" i="1"/>
  <c r="N2488" i="1"/>
  <c r="M2488" i="1"/>
  <c r="L2488" i="1"/>
  <c r="J2488" i="1"/>
  <c r="K2488" i="1" s="1"/>
  <c r="O2487" i="1"/>
  <c r="N2487" i="1"/>
  <c r="M2487" i="1"/>
  <c r="L2487" i="1"/>
  <c r="J2487" i="1"/>
  <c r="K2487" i="1" s="1"/>
  <c r="O2486" i="1"/>
  <c r="N2486" i="1"/>
  <c r="M2486" i="1"/>
  <c r="L2486" i="1"/>
  <c r="J2486" i="1"/>
  <c r="K2486" i="1" s="1"/>
  <c r="O2485" i="1"/>
  <c r="N2485" i="1"/>
  <c r="M2485" i="1"/>
  <c r="L2485" i="1"/>
  <c r="J2485" i="1"/>
  <c r="K2485" i="1" s="1"/>
  <c r="O2484" i="1"/>
  <c r="N2484" i="1"/>
  <c r="M2484" i="1"/>
  <c r="L2484" i="1"/>
  <c r="J2484" i="1"/>
  <c r="K2484" i="1" s="1"/>
  <c r="O2483" i="1"/>
  <c r="N2483" i="1"/>
  <c r="M2483" i="1"/>
  <c r="L2483" i="1"/>
  <c r="J2483" i="1"/>
  <c r="K2483" i="1" s="1"/>
  <c r="O2482" i="1"/>
  <c r="N2482" i="1"/>
  <c r="M2482" i="1"/>
  <c r="L2482" i="1"/>
  <c r="J2482" i="1"/>
  <c r="K2482" i="1" s="1"/>
  <c r="O2481" i="1"/>
  <c r="N2481" i="1"/>
  <c r="M2481" i="1"/>
  <c r="L2481" i="1"/>
  <c r="J2481" i="1"/>
  <c r="K2481" i="1" s="1"/>
  <c r="O2480" i="1"/>
  <c r="N2480" i="1"/>
  <c r="M2480" i="1"/>
  <c r="L2480" i="1"/>
  <c r="J2480" i="1"/>
  <c r="K2480" i="1" s="1"/>
  <c r="O2479" i="1"/>
  <c r="N2479" i="1"/>
  <c r="M2479" i="1"/>
  <c r="L2479" i="1"/>
  <c r="J2479" i="1"/>
  <c r="K2479" i="1" s="1"/>
  <c r="O2478" i="1"/>
  <c r="N2478" i="1"/>
  <c r="M2478" i="1"/>
  <c r="L2478" i="1"/>
  <c r="J2478" i="1"/>
  <c r="K2478" i="1" s="1"/>
  <c r="O2477" i="1"/>
  <c r="N2477" i="1"/>
  <c r="M2477" i="1"/>
  <c r="L2477" i="1"/>
  <c r="J2477" i="1"/>
  <c r="K2477" i="1" s="1"/>
  <c r="O2476" i="1"/>
  <c r="N2476" i="1"/>
  <c r="M2476" i="1"/>
  <c r="L2476" i="1"/>
  <c r="J2476" i="1"/>
  <c r="K2476" i="1" s="1"/>
  <c r="O2475" i="1"/>
  <c r="N2475" i="1"/>
  <c r="M2475" i="1"/>
  <c r="L2475" i="1"/>
  <c r="J2475" i="1"/>
  <c r="K2475" i="1" s="1"/>
  <c r="O2474" i="1"/>
  <c r="N2474" i="1"/>
  <c r="M2474" i="1"/>
  <c r="L2474" i="1"/>
  <c r="J2474" i="1"/>
  <c r="K2474" i="1" s="1"/>
  <c r="O2473" i="1"/>
  <c r="N2473" i="1"/>
  <c r="M2473" i="1"/>
  <c r="L2473" i="1"/>
  <c r="J2473" i="1"/>
  <c r="K2473" i="1" s="1"/>
  <c r="O2472" i="1"/>
  <c r="N2472" i="1"/>
  <c r="M2472" i="1"/>
  <c r="L2472" i="1"/>
  <c r="J2472" i="1"/>
  <c r="K2472" i="1" s="1"/>
  <c r="O2471" i="1"/>
  <c r="N2471" i="1"/>
  <c r="M2471" i="1"/>
  <c r="L2471" i="1"/>
  <c r="J2471" i="1"/>
  <c r="K2471" i="1" s="1"/>
  <c r="O2470" i="1"/>
  <c r="N2470" i="1"/>
  <c r="M2470" i="1"/>
  <c r="L2470" i="1"/>
  <c r="J2470" i="1"/>
  <c r="K2470" i="1" s="1"/>
  <c r="O2469" i="1"/>
  <c r="N2469" i="1"/>
  <c r="M2469" i="1"/>
  <c r="L2469" i="1"/>
  <c r="J2469" i="1"/>
  <c r="K2469" i="1" s="1"/>
  <c r="O2468" i="1"/>
  <c r="N2468" i="1"/>
  <c r="M2468" i="1"/>
  <c r="L2468" i="1"/>
  <c r="J2468" i="1"/>
  <c r="K2468" i="1" s="1"/>
  <c r="O2467" i="1"/>
  <c r="N2467" i="1"/>
  <c r="M2467" i="1"/>
  <c r="L2467" i="1"/>
  <c r="J2467" i="1"/>
  <c r="K2467" i="1" s="1"/>
  <c r="O2466" i="1"/>
  <c r="N2466" i="1"/>
  <c r="M2466" i="1"/>
  <c r="L2466" i="1"/>
  <c r="J2466" i="1"/>
  <c r="K2466" i="1" s="1"/>
  <c r="O2465" i="1"/>
  <c r="N2465" i="1"/>
  <c r="M2465" i="1"/>
  <c r="L2465" i="1"/>
  <c r="J2465" i="1"/>
  <c r="K2465" i="1" s="1"/>
  <c r="O2464" i="1"/>
  <c r="N2464" i="1"/>
  <c r="M2464" i="1"/>
  <c r="L2464" i="1"/>
  <c r="J2464" i="1"/>
  <c r="K2464" i="1" s="1"/>
  <c r="O2463" i="1"/>
  <c r="N2463" i="1"/>
  <c r="M2463" i="1"/>
  <c r="L2463" i="1"/>
  <c r="J2463" i="1"/>
  <c r="K2463" i="1" s="1"/>
  <c r="O2462" i="1"/>
  <c r="N2462" i="1"/>
  <c r="M2462" i="1"/>
  <c r="L2462" i="1"/>
  <c r="J2462" i="1"/>
  <c r="K2462" i="1" s="1"/>
  <c r="O2461" i="1"/>
  <c r="N2461" i="1"/>
  <c r="M2461" i="1"/>
  <c r="L2461" i="1"/>
  <c r="J2461" i="1"/>
  <c r="K2461" i="1" s="1"/>
  <c r="O2460" i="1"/>
  <c r="N2460" i="1"/>
  <c r="M2460" i="1"/>
  <c r="L2460" i="1"/>
  <c r="J2460" i="1"/>
  <c r="K2460" i="1" s="1"/>
  <c r="O2459" i="1"/>
  <c r="N2459" i="1"/>
  <c r="M2459" i="1"/>
  <c r="L2459" i="1"/>
  <c r="J2459" i="1"/>
  <c r="K2459" i="1" s="1"/>
  <c r="O2458" i="1"/>
  <c r="N2458" i="1"/>
  <c r="M2458" i="1"/>
  <c r="L2458" i="1"/>
  <c r="J2458" i="1"/>
  <c r="K2458" i="1" s="1"/>
  <c r="O2457" i="1"/>
  <c r="N2457" i="1"/>
  <c r="M2457" i="1"/>
  <c r="L2457" i="1"/>
  <c r="J2457" i="1"/>
  <c r="K2457" i="1" s="1"/>
  <c r="O2456" i="1"/>
  <c r="N2456" i="1"/>
  <c r="M2456" i="1"/>
  <c r="L2456" i="1"/>
  <c r="J2456" i="1"/>
  <c r="K2456" i="1" s="1"/>
  <c r="O2455" i="1"/>
  <c r="N2455" i="1"/>
  <c r="M2455" i="1"/>
  <c r="L2455" i="1"/>
  <c r="J2455" i="1"/>
  <c r="K2455" i="1" s="1"/>
  <c r="O2454" i="1"/>
  <c r="N2454" i="1"/>
  <c r="M2454" i="1"/>
  <c r="L2454" i="1"/>
  <c r="J2454" i="1"/>
  <c r="K2454" i="1" s="1"/>
  <c r="O2453" i="1"/>
  <c r="N2453" i="1"/>
  <c r="M2453" i="1"/>
  <c r="L2453" i="1"/>
  <c r="J2453" i="1"/>
  <c r="K2453" i="1" s="1"/>
  <c r="O2452" i="1"/>
  <c r="N2452" i="1"/>
  <c r="M2452" i="1"/>
  <c r="L2452" i="1"/>
  <c r="J2452" i="1"/>
  <c r="K2452" i="1" s="1"/>
  <c r="O2451" i="1"/>
  <c r="N2451" i="1"/>
  <c r="M2451" i="1"/>
  <c r="L2451" i="1"/>
  <c r="J2451" i="1"/>
  <c r="K2451" i="1" s="1"/>
  <c r="O2450" i="1"/>
  <c r="N2450" i="1"/>
  <c r="M2450" i="1"/>
  <c r="L2450" i="1"/>
  <c r="J2450" i="1"/>
  <c r="K2450" i="1" s="1"/>
  <c r="O2449" i="1"/>
  <c r="N2449" i="1"/>
  <c r="M2449" i="1"/>
  <c r="L2449" i="1"/>
  <c r="J2449" i="1"/>
  <c r="K2449" i="1" s="1"/>
  <c r="O2448" i="1"/>
  <c r="N2448" i="1"/>
  <c r="M2448" i="1"/>
  <c r="L2448" i="1"/>
  <c r="J2448" i="1"/>
  <c r="K2448" i="1" s="1"/>
  <c r="O2447" i="1"/>
  <c r="N2447" i="1"/>
  <c r="M2447" i="1"/>
  <c r="L2447" i="1"/>
  <c r="J2447" i="1"/>
  <c r="K2447" i="1" s="1"/>
  <c r="O2446" i="1"/>
  <c r="N2446" i="1"/>
  <c r="M2446" i="1"/>
  <c r="L2446" i="1"/>
  <c r="J2446" i="1"/>
  <c r="K2446" i="1" s="1"/>
  <c r="O2445" i="1"/>
  <c r="N2445" i="1"/>
  <c r="M2445" i="1"/>
  <c r="L2445" i="1"/>
  <c r="J2445" i="1"/>
  <c r="K2445" i="1" s="1"/>
  <c r="O2444" i="1"/>
  <c r="N2444" i="1"/>
  <c r="M2444" i="1"/>
  <c r="L2444" i="1"/>
  <c r="J2444" i="1"/>
  <c r="K2444" i="1" s="1"/>
  <c r="O2443" i="1"/>
  <c r="N2443" i="1"/>
  <c r="M2443" i="1"/>
  <c r="L2443" i="1"/>
  <c r="J2443" i="1"/>
  <c r="K2443" i="1" s="1"/>
  <c r="O2442" i="1"/>
  <c r="N2442" i="1"/>
  <c r="M2442" i="1"/>
  <c r="L2442" i="1"/>
  <c r="J2442" i="1"/>
  <c r="K2442" i="1" s="1"/>
  <c r="O2441" i="1"/>
  <c r="N2441" i="1"/>
  <c r="M2441" i="1"/>
  <c r="L2441" i="1"/>
  <c r="J2441" i="1"/>
  <c r="K2441" i="1" s="1"/>
  <c r="O2440" i="1"/>
  <c r="N2440" i="1"/>
  <c r="M2440" i="1"/>
  <c r="L2440" i="1"/>
  <c r="J2440" i="1"/>
  <c r="K2440" i="1" s="1"/>
  <c r="O2439" i="1"/>
  <c r="N2439" i="1"/>
  <c r="M2439" i="1"/>
  <c r="L2439" i="1"/>
  <c r="J2439" i="1"/>
  <c r="K2439" i="1" s="1"/>
  <c r="O2438" i="1"/>
  <c r="N2438" i="1"/>
  <c r="M2438" i="1"/>
  <c r="L2438" i="1"/>
  <c r="J2438" i="1"/>
  <c r="K2438" i="1" s="1"/>
  <c r="O2437" i="1"/>
  <c r="N2437" i="1"/>
  <c r="M2437" i="1"/>
  <c r="L2437" i="1"/>
  <c r="J2437" i="1"/>
  <c r="K2437" i="1" s="1"/>
  <c r="O2436" i="1"/>
  <c r="N2436" i="1"/>
  <c r="M2436" i="1"/>
  <c r="L2436" i="1"/>
  <c r="J2436" i="1"/>
  <c r="K2436" i="1" s="1"/>
  <c r="O2435" i="1"/>
  <c r="N2435" i="1"/>
  <c r="M2435" i="1"/>
  <c r="L2435" i="1"/>
  <c r="J2435" i="1"/>
  <c r="K2435" i="1" s="1"/>
  <c r="O2434" i="1"/>
  <c r="N2434" i="1"/>
  <c r="M2434" i="1"/>
  <c r="L2434" i="1"/>
  <c r="J2434" i="1"/>
  <c r="K2434" i="1" s="1"/>
  <c r="O2433" i="1"/>
  <c r="N2433" i="1"/>
  <c r="M2433" i="1"/>
  <c r="L2433" i="1"/>
  <c r="J2433" i="1"/>
  <c r="K2433" i="1" s="1"/>
  <c r="O2432" i="1"/>
  <c r="N2432" i="1"/>
  <c r="M2432" i="1"/>
  <c r="L2432" i="1"/>
  <c r="J2432" i="1"/>
  <c r="K2432" i="1" s="1"/>
  <c r="O2431" i="1"/>
  <c r="N2431" i="1"/>
  <c r="M2431" i="1"/>
  <c r="L2431" i="1"/>
  <c r="J2431" i="1"/>
  <c r="K2431" i="1" s="1"/>
  <c r="O2430" i="1"/>
  <c r="N2430" i="1"/>
  <c r="M2430" i="1"/>
  <c r="L2430" i="1"/>
  <c r="J2430" i="1"/>
  <c r="K2430" i="1" s="1"/>
  <c r="O2429" i="1"/>
  <c r="N2429" i="1"/>
  <c r="M2429" i="1"/>
  <c r="L2429" i="1"/>
  <c r="J2429" i="1"/>
  <c r="K2429" i="1" s="1"/>
  <c r="O2428" i="1"/>
  <c r="N2428" i="1"/>
  <c r="M2428" i="1"/>
  <c r="L2428" i="1"/>
  <c r="J2428" i="1"/>
  <c r="K2428" i="1" s="1"/>
  <c r="O2427" i="1"/>
  <c r="N2427" i="1"/>
  <c r="M2427" i="1"/>
  <c r="L2427" i="1"/>
  <c r="J2427" i="1"/>
  <c r="K2427" i="1" s="1"/>
  <c r="O2426" i="1"/>
  <c r="N2426" i="1"/>
  <c r="M2426" i="1"/>
  <c r="L2426" i="1"/>
  <c r="J2426" i="1"/>
  <c r="K2426" i="1" s="1"/>
  <c r="O2425" i="1"/>
  <c r="N2425" i="1"/>
  <c r="M2425" i="1"/>
  <c r="L2425" i="1"/>
  <c r="J2425" i="1"/>
  <c r="K2425" i="1" s="1"/>
  <c r="O2424" i="1"/>
  <c r="N2424" i="1"/>
  <c r="M2424" i="1"/>
  <c r="L2424" i="1"/>
  <c r="J2424" i="1"/>
  <c r="K2424" i="1" s="1"/>
  <c r="O2423" i="1"/>
  <c r="N2423" i="1"/>
  <c r="M2423" i="1"/>
  <c r="L2423" i="1"/>
  <c r="J2423" i="1"/>
  <c r="K2423" i="1" s="1"/>
  <c r="O2422" i="1"/>
  <c r="N2422" i="1"/>
  <c r="M2422" i="1"/>
  <c r="L2422" i="1"/>
  <c r="J2422" i="1"/>
  <c r="K2422" i="1" s="1"/>
  <c r="O2421" i="1"/>
  <c r="N2421" i="1"/>
  <c r="M2421" i="1"/>
  <c r="L2421" i="1"/>
  <c r="J2421" i="1"/>
  <c r="K2421" i="1" s="1"/>
  <c r="O2420" i="1"/>
  <c r="N2420" i="1"/>
  <c r="M2420" i="1"/>
  <c r="L2420" i="1"/>
  <c r="J2420" i="1"/>
  <c r="K2420" i="1" s="1"/>
  <c r="O2419" i="1"/>
  <c r="N2419" i="1"/>
  <c r="M2419" i="1"/>
  <c r="L2419" i="1"/>
  <c r="J2419" i="1"/>
  <c r="K2419" i="1" s="1"/>
  <c r="O2418" i="1"/>
  <c r="N2418" i="1"/>
  <c r="M2418" i="1"/>
  <c r="L2418" i="1"/>
  <c r="J2418" i="1"/>
  <c r="K2418" i="1" s="1"/>
  <c r="O2417" i="1"/>
  <c r="N2417" i="1"/>
  <c r="M2417" i="1"/>
  <c r="L2417" i="1"/>
  <c r="J2417" i="1"/>
  <c r="K2417" i="1" s="1"/>
  <c r="O2416" i="1"/>
  <c r="N2416" i="1"/>
  <c r="M2416" i="1"/>
  <c r="L2416" i="1"/>
  <c r="J2416" i="1"/>
  <c r="K2416" i="1" s="1"/>
  <c r="O2415" i="1"/>
  <c r="N2415" i="1"/>
  <c r="M2415" i="1"/>
  <c r="L2415" i="1"/>
  <c r="J2415" i="1"/>
  <c r="K2415" i="1" s="1"/>
  <c r="O2414" i="1"/>
  <c r="N2414" i="1"/>
  <c r="M2414" i="1"/>
  <c r="L2414" i="1"/>
  <c r="J2414" i="1"/>
  <c r="K2414" i="1" s="1"/>
  <c r="O2413" i="1"/>
  <c r="N2413" i="1"/>
  <c r="M2413" i="1"/>
  <c r="L2413" i="1"/>
  <c r="J2413" i="1"/>
  <c r="K2413" i="1" s="1"/>
  <c r="O2412" i="1"/>
  <c r="N2412" i="1"/>
  <c r="M2412" i="1"/>
  <c r="L2412" i="1"/>
  <c r="J2412" i="1"/>
  <c r="K2412" i="1" s="1"/>
  <c r="O2411" i="1"/>
  <c r="N2411" i="1"/>
  <c r="M2411" i="1"/>
  <c r="L2411" i="1"/>
  <c r="J2411" i="1"/>
  <c r="K2411" i="1" s="1"/>
  <c r="O2410" i="1"/>
  <c r="N2410" i="1"/>
  <c r="M2410" i="1"/>
  <c r="L2410" i="1"/>
  <c r="J2410" i="1"/>
  <c r="K2410" i="1" s="1"/>
  <c r="O2409" i="1"/>
  <c r="N2409" i="1"/>
  <c r="M2409" i="1"/>
  <c r="L2409" i="1"/>
  <c r="J2409" i="1"/>
  <c r="K2409" i="1" s="1"/>
  <c r="O2408" i="1"/>
  <c r="N2408" i="1"/>
  <c r="M2408" i="1"/>
  <c r="L2408" i="1"/>
  <c r="J2408" i="1"/>
  <c r="K2408" i="1" s="1"/>
  <c r="O2407" i="1"/>
  <c r="N2407" i="1"/>
  <c r="M2407" i="1"/>
  <c r="L2407" i="1"/>
  <c r="J2407" i="1"/>
  <c r="K2407" i="1" s="1"/>
  <c r="O2406" i="1"/>
  <c r="N2406" i="1"/>
  <c r="M2406" i="1"/>
  <c r="L2406" i="1"/>
  <c r="J2406" i="1"/>
  <c r="K2406" i="1" s="1"/>
  <c r="O2405" i="1"/>
  <c r="N2405" i="1"/>
  <c r="M2405" i="1"/>
  <c r="L2405" i="1"/>
  <c r="J2405" i="1"/>
  <c r="K2405" i="1" s="1"/>
  <c r="O2404" i="1"/>
  <c r="N2404" i="1"/>
  <c r="M2404" i="1"/>
  <c r="L2404" i="1"/>
  <c r="J2404" i="1"/>
  <c r="K2404" i="1" s="1"/>
  <c r="O2403" i="1"/>
  <c r="N2403" i="1"/>
  <c r="M2403" i="1"/>
  <c r="L2403" i="1"/>
  <c r="J2403" i="1"/>
  <c r="K2403" i="1" s="1"/>
  <c r="O2402" i="1"/>
  <c r="N2402" i="1"/>
  <c r="M2402" i="1"/>
  <c r="L2402" i="1"/>
  <c r="J2402" i="1"/>
  <c r="K2402" i="1" s="1"/>
  <c r="O2401" i="1"/>
  <c r="N2401" i="1"/>
  <c r="M2401" i="1"/>
  <c r="L2401" i="1"/>
  <c r="J2401" i="1"/>
  <c r="K2401" i="1" s="1"/>
  <c r="O2400" i="1"/>
  <c r="N2400" i="1"/>
  <c r="M2400" i="1"/>
  <c r="L2400" i="1"/>
  <c r="J2400" i="1"/>
  <c r="K2400" i="1" s="1"/>
  <c r="O2399" i="1"/>
  <c r="N2399" i="1"/>
  <c r="M2399" i="1"/>
  <c r="L2399" i="1"/>
  <c r="J2399" i="1"/>
  <c r="K2399" i="1" s="1"/>
  <c r="O2398" i="1"/>
  <c r="N2398" i="1"/>
  <c r="M2398" i="1"/>
  <c r="L2398" i="1"/>
  <c r="J2398" i="1"/>
  <c r="K2398" i="1" s="1"/>
  <c r="O2397" i="1"/>
  <c r="N2397" i="1"/>
  <c r="M2397" i="1"/>
  <c r="L2397" i="1"/>
  <c r="J2397" i="1"/>
  <c r="K2397" i="1" s="1"/>
  <c r="O2396" i="1"/>
  <c r="N2396" i="1"/>
  <c r="M2396" i="1"/>
  <c r="L2396" i="1"/>
  <c r="J2396" i="1"/>
  <c r="K2396" i="1" s="1"/>
  <c r="O2395" i="1"/>
  <c r="N2395" i="1"/>
  <c r="M2395" i="1"/>
  <c r="L2395" i="1"/>
  <c r="J2395" i="1"/>
  <c r="K2395" i="1" s="1"/>
  <c r="O2394" i="1"/>
  <c r="N2394" i="1"/>
  <c r="M2394" i="1"/>
  <c r="L2394" i="1"/>
  <c r="J2394" i="1"/>
  <c r="K2394" i="1" s="1"/>
  <c r="O2393" i="1"/>
  <c r="N2393" i="1"/>
  <c r="M2393" i="1"/>
  <c r="L2393" i="1"/>
  <c r="J2393" i="1"/>
  <c r="K2393" i="1" s="1"/>
  <c r="O2392" i="1"/>
  <c r="N2392" i="1"/>
  <c r="M2392" i="1"/>
  <c r="L2392" i="1"/>
  <c r="J2392" i="1"/>
  <c r="K2392" i="1" s="1"/>
  <c r="O2391" i="1"/>
  <c r="N2391" i="1"/>
  <c r="M2391" i="1"/>
  <c r="L2391" i="1"/>
  <c r="J2391" i="1"/>
  <c r="K2391" i="1" s="1"/>
  <c r="O2390" i="1"/>
  <c r="N2390" i="1"/>
  <c r="M2390" i="1"/>
  <c r="L2390" i="1"/>
  <c r="J2390" i="1"/>
  <c r="K2390" i="1" s="1"/>
  <c r="O2389" i="1"/>
  <c r="N2389" i="1"/>
  <c r="M2389" i="1"/>
  <c r="L2389" i="1"/>
  <c r="J2389" i="1"/>
  <c r="K2389" i="1" s="1"/>
  <c r="O2388" i="1"/>
  <c r="N2388" i="1"/>
  <c r="M2388" i="1"/>
  <c r="L2388" i="1"/>
  <c r="J2388" i="1"/>
  <c r="K2388" i="1" s="1"/>
  <c r="O2387" i="1"/>
  <c r="N2387" i="1"/>
  <c r="M2387" i="1"/>
  <c r="L2387" i="1"/>
  <c r="J2387" i="1"/>
  <c r="K2387" i="1" s="1"/>
  <c r="O2386" i="1"/>
  <c r="N2386" i="1"/>
  <c r="M2386" i="1"/>
  <c r="L2386" i="1"/>
  <c r="J2386" i="1"/>
  <c r="K2386" i="1" s="1"/>
  <c r="O2385" i="1"/>
  <c r="N2385" i="1"/>
  <c r="M2385" i="1"/>
  <c r="L2385" i="1"/>
  <c r="J2385" i="1"/>
  <c r="K2385" i="1" s="1"/>
  <c r="O2384" i="1"/>
  <c r="N2384" i="1"/>
  <c r="M2384" i="1"/>
  <c r="L2384" i="1"/>
  <c r="J2384" i="1"/>
  <c r="K2384" i="1" s="1"/>
  <c r="O2383" i="1"/>
  <c r="N2383" i="1"/>
  <c r="M2383" i="1"/>
  <c r="L2383" i="1"/>
  <c r="J2383" i="1"/>
  <c r="K2383" i="1" s="1"/>
  <c r="O2382" i="1"/>
  <c r="N2382" i="1"/>
  <c r="M2382" i="1"/>
  <c r="L2382" i="1"/>
  <c r="J2382" i="1"/>
  <c r="K2382" i="1" s="1"/>
  <c r="O2381" i="1"/>
  <c r="N2381" i="1"/>
  <c r="M2381" i="1"/>
  <c r="L2381" i="1"/>
  <c r="J2381" i="1"/>
  <c r="K2381" i="1" s="1"/>
  <c r="O2380" i="1"/>
  <c r="N2380" i="1"/>
  <c r="M2380" i="1"/>
  <c r="L2380" i="1"/>
  <c r="J2380" i="1"/>
  <c r="K2380" i="1" s="1"/>
  <c r="O2379" i="1"/>
  <c r="N2379" i="1"/>
  <c r="M2379" i="1"/>
  <c r="L2379" i="1"/>
  <c r="J2379" i="1"/>
  <c r="K2379" i="1" s="1"/>
  <c r="O2378" i="1"/>
  <c r="N2378" i="1"/>
  <c r="M2378" i="1"/>
  <c r="L2378" i="1"/>
  <c r="J2378" i="1"/>
  <c r="K2378" i="1" s="1"/>
  <c r="O2377" i="1"/>
  <c r="N2377" i="1"/>
  <c r="M2377" i="1"/>
  <c r="L2377" i="1"/>
  <c r="J2377" i="1"/>
  <c r="K2377" i="1" s="1"/>
  <c r="O2376" i="1"/>
  <c r="N2376" i="1"/>
  <c r="M2376" i="1"/>
  <c r="L2376" i="1"/>
  <c r="J2376" i="1"/>
  <c r="K2376" i="1" s="1"/>
  <c r="O2375" i="1"/>
  <c r="N2375" i="1"/>
  <c r="M2375" i="1"/>
  <c r="L2375" i="1"/>
  <c r="J2375" i="1"/>
  <c r="K2375" i="1" s="1"/>
  <c r="O2374" i="1"/>
  <c r="N2374" i="1"/>
  <c r="M2374" i="1"/>
  <c r="L2374" i="1"/>
  <c r="J2374" i="1"/>
  <c r="K2374" i="1" s="1"/>
  <c r="O2373" i="1"/>
  <c r="N2373" i="1"/>
  <c r="M2373" i="1"/>
  <c r="L2373" i="1"/>
  <c r="J2373" i="1"/>
  <c r="K2373" i="1" s="1"/>
  <c r="O2372" i="1"/>
  <c r="N2372" i="1"/>
  <c r="M2372" i="1"/>
  <c r="L2372" i="1"/>
  <c r="J2372" i="1"/>
  <c r="K2372" i="1" s="1"/>
  <c r="O2371" i="1"/>
  <c r="N2371" i="1"/>
  <c r="M2371" i="1"/>
  <c r="L2371" i="1"/>
  <c r="J2371" i="1"/>
  <c r="K2371" i="1" s="1"/>
  <c r="O2370" i="1"/>
  <c r="N2370" i="1"/>
  <c r="M2370" i="1"/>
  <c r="L2370" i="1"/>
  <c r="J2370" i="1"/>
  <c r="K2370" i="1" s="1"/>
  <c r="O2369" i="1"/>
  <c r="N2369" i="1"/>
  <c r="M2369" i="1"/>
  <c r="L2369" i="1"/>
  <c r="J2369" i="1"/>
  <c r="K2369" i="1" s="1"/>
  <c r="O2368" i="1"/>
  <c r="N2368" i="1"/>
  <c r="M2368" i="1"/>
  <c r="L2368" i="1"/>
  <c r="J2368" i="1"/>
  <c r="K2368" i="1" s="1"/>
  <c r="O2367" i="1"/>
  <c r="N2367" i="1"/>
  <c r="M2367" i="1"/>
  <c r="L2367" i="1"/>
  <c r="J2367" i="1"/>
  <c r="K2367" i="1" s="1"/>
  <c r="O2366" i="1"/>
  <c r="N2366" i="1"/>
  <c r="M2366" i="1"/>
  <c r="L2366" i="1"/>
  <c r="J2366" i="1"/>
  <c r="K2366" i="1" s="1"/>
  <c r="O2365" i="1"/>
  <c r="N2365" i="1"/>
  <c r="M2365" i="1"/>
  <c r="L2365" i="1"/>
  <c r="J2365" i="1"/>
  <c r="K2365" i="1" s="1"/>
  <c r="O2364" i="1"/>
  <c r="N2364" i="1"/>
  <c r="M2364" i="1"/>
  <c r="L2364" i="1"/>
  <c r="J2364" i="1"/>
  <c r="K2364" i="1" s="1"/>
  <c r="O2363" i="1"/>
  <c r="N2363" i="1"/>
  <c r="M2363" i="1"/>
  <c r="L2363" i="1"/>
  <c r="J2363" i="1"/>
  <c r="K2363" i="1" s="1"/>
  <c r="O2362" i="1"/>
  <c r="N2362" i="1"/>
  <c r="M2362" i="1"/>
  <c r="L2362" i="1"/>
  <c r="J2362" i="1"/>
  <c r="K2362" i="1" s="1"/>
  <c r="O2361" i="1"/>
  <c r="N2361" i="1"/>
  <c r="M2361" i="1"/>
  <c r="L2361" i="1"/>
  <c r="J2361" i="1"/>
  <c r="K2361" i="1" s="1"/>
  <c r="O2360" i="1"/>
  <c r="N2360" i="1"/>
  <c r="M2360" i="1"/>
  <c r="L2360" i="1"/>
  <c r="J2360" i="1"/>
  <c r="K2360" i="1" s="1"/>
  <c r="O2359" i="1"/>
  <c r="N2359" i="1"/>
  <c r="M2359" i="1"/>
  <c r="L2359" i="1"/>
  <c r="J2359" i="1"/>
  <c r="K2359" i="1" s="1"/>
  <c r="O2358" i="1"/>
  <c r="N2358" i="1"/>
  <c r="M2358" i="1"/>
  <c r="L2358" i="1"/>
  <c r="J2358" i="1"/>
  <c r="K2358" i="1" s="1"/>
  <c r="O2357" i="1"/>
  <c r="N2357" i="1"/>
  <c r="M2357" i="1"/>
  <c r="L2357" i="1"/>
  <c r="J2357" i="1"/>
  <c r="K2357" i="1" s="1"/>
  <c r="O2356" i="1"/>
  <c r="N2356" i="1"/>
  <c r="M2356" i="1"/>
  <c r="L2356" i="1"/>
  <c r="J2356" i="1"/>
  <c r="K2356" i="1" s="1"/>
  <c r="O2355" i="1"/>
  <c r="N2355" i="1"/>
  <c r="M2355" i="1"/>
  <c r="L2355" i="1"/>
  <c r="J2355" i="1"/>
  <c r="K2355" i="1" s="1"/>
  <c r="O2354" i="1"/>
  <c r="N2354" i="1"/>
  <c r="M2354" i="1"/>
  <c r="L2354" i="1"/>
  <c r="J2354" i="1"/>
  <c r="K2354" i="1" s="1"/>
  <c r="O2353" i="1"/>
  <c r="N2353" i="1"/>
  <c r="M2353" i="1"/>
  <c r="L2353" i="1"/>
  <c r="J2353" i="1"/>
  <c r="K2353" i="1" s="1"/>
  <c r="O2352" i="1"/>
  <c r="N2352" i="1"/>
  <c r="M2352" i="1"/>
  <c r="L2352" i="1"/>
  <c r="J2352" i="1"/>
  <c r="K2352" i="1" s="1"/>
  <c r="O2351" i="1"/>
  <c r="N2351" i="1"/>
  <c r="M2351" i="1"/>
  <c r="L2351" i="1"/>
  <c r="J2351" i="1"/>
  <c r="K2351" i="1" s="1"/>
  <c r="O2350" i="1"/>
  <c r="N2350" i="1"/>
  <c r="M2350" i="1"/>
  <c r="L2350" i="1"/>
  <c r="J2350" i="1"/>
  <c r="K2350" i="1" s="1"/>
  <c r="O2349" i="1"/>
  <c r="N2349" i="1"/>
  <c r="M2349" i="1"/>
  <c r="L2349" i="1"/>
  <c r="J2349" i="1"/>
  <c r="K2349" i="1" s="1"/>
  <c r="O2348" i="1"/>
  <c r="N2348" i="1"/>
  <c r="M2348" i="1"/>
  <c r="L2348" i="1"/>
  <c r="J2348" i="1"/>
  <c r="K2348" i="1" s="1"/>
  <c r="O2347" i="1"/>
  <c r="N2347" i="1"/>
  <c r="M2347" i="1"/>
  <c r="L2347" i="1"/>
  <c r="J2347" i="1"/>
  <c r="K2347" i="1" s="1"/>
  <c r="O2346" i="1"/>
  <c r="N2346" i="1"/>
  <c r="M2346" i="1"/>
  <c r="L2346" i="1"/>
  <c r="J2346" i="1"/>
  <c r="K2346" i="1" s="1"/>
  <c r="O2345" i="1"/>
  <c r="N2345" i="1"/>
  <c r="M2345" i="1"/>
  <c r="L2345" i="1"/>
  <c r="J2345" i="1"/>
  <c r="K2345" i="1" s="1"/>
  <c r="O2344" i="1"/>
  <c r="N2344" i="1"/>
  <c r="M2344" i="1"/>
  <c r="L2344" i="1"/>
  <c r="J2344" i="1"/>
  <c r="K2344" i="1" s="1"/>
  <c r="O2343" i="1"/>
  <c r="N2343" i="1"/>
  <c r="M2343" i="1"/>
  <c r="L2343" i="1"/>
  <c r="J2343" i="1"/>
  <c r="K2343" i="1" s="1"/>
  <c r="O2342" i="1"/>
  <c r="N2342" i="1"/>
  <c r="M2342" i="1"/>
  <c r="L2342" i="1"/>
  <c r="J2342" i="1"/>
  <c r="K2342" i="1" s="1"/>
  <c r="O2341" i="1"/>
  <c r="N2341" i="1"/>
  <c r="M2341" i="1"/>
  <c r="L2341" i="1"/>
  <c r="J2341" i="1"/>
  <c r="K2341" i="1" s="1"/>
  <c r="O2340" i="1"/>
  <c r="N2340" i="1"/>
  <c r="M2340" i="1"/>
  <c r="L2340" i="1"/>
  <c r="J2340" i="1"/>
  <c r="K2340" i="1" s="1"/>
  <c r="O2339" i="1"/>
  <c r="N2339" i="1"/>
  <c r="M2339" i="1"/>
  <c r="L2339" i="1"/>
  <c r="J2339" i="1"/>
  <c r="K2339" i="1" s="1"/>
  <c r="O2338" i="1"/>
  <c r="N2338" i="1"/>
  <c r="M2338" i="1"/>
  <c r="L2338" i="1"/>
  <c r="J2338" i="1"/>
  <c r="K2338" i="1" s="1"/>
  <c r="O2337" i="1"/>
  <c r="N2337" i="1"/>
  <c r="M2337" i="1"/>
  <c r="L2337" i="1"/>
  <c r="J2337" i="1"/>
  <c r="K2337" i="1" s="1"/>
  <c r="O2336" i="1"/>
  <c r="N2336" i="1"/>
  <c r="M2336" i="1"/>
  <c r="L2336" i="1"/>
  <c r="J2336" i="1"/>
  <c r="K2336" i="1" s="1"/>
  <c r="O2335" i="1"/>
  <c r="N2335" i="1"/>
  <c r="M2335" i="1"/>
  <c r="L2335" i="1"/>
  <c r="J2335" i="1"/>
  <c r="K2335" i="1" s="1"/>
  <c r="O2334" i="1"/>
  <c r="N2334" i="1"/>
  <c r="M2334" i="1"/>
  <c r="L2334" i="1"/>
  <c r="J2334" i="1"/>
  <c r="K2334" i="1" s="1"/>
  <c r="O2333" i="1"/>
  <c r="N2333" i="1"/>
  <c r="M2333" i="1"/>
  <c r="L2333" i="1"/>
  <c r="J2333" i="1"/>
  <c r="K2333" i="1" s="1"/>
  <c r="O2332" i="1"/>
  <c r="N2332" i="1"/>
  <c r="M2332" i="1"/>
  <c r="L2332" i="1"/>
  <c r="J2332" i="1"/>
  <c r="K2332" i="1" s="1"/>
  <c r="O2331" i="1"/>
  <c r="N2331" i="1"/>
  <c r="M2331" i="1"/>
  <c r="L2331" i="1"/>
  <c r="J2331" i="1"/>
  <c r="K2331" i="1" s="1"/>
  <c r="O2330" i="1"/>
  <c r="N2330" i="1"/>
  <c r="M2330" i="1"/>
  <c r="L2330" i="1"/>
  <c r="J2330" i="1"/>
  <c r="K2330" i="1" s="1"/>
  <c r="O2329" i="1"/>
  <c r="N2329" i="1"/>
  <c r="M2329" i="1"/>
  <c r="L2329" i="1"/>
  <c r="J2329" i="1"/>
  <c r="K2329" i="1" s="1"/>
  <c r="O2328" i="1"/>
  <c r="N2328" i="1"/>
  <c r="M2328" i="1"/>
  <c r="L2328" i="1"/>
  <c r="J2328" i="1"/>
  <c r="K2328" i="1" s="1"/>
  <c r="O2327" i="1"/>
  <c r="N2327" i="1"/>
  <c r="M2327" i="1"/>
  <c r="L2327" i="1"/>
  <c r="J2327" i="1"/>
  <c r="K2327" i="1" s="1"/>
  <c r="O2326" i="1"/>
  <c r="N2326" i="1"/>
  <c r="M2326" i="1"/>
  <c r="L2326" i="1"/>
  <c r="J2326" i="1"/>
  <c r="K2326" i="1" s="1"/>
  <c r="O2325" i="1"/>
  <c r="N2325" i="1"/>
  <c r="M2325" i="1"/>
  <c r="L2325" i="1"/>
  <c r="J2325" i="1"/>
  <c r="K2325" i="1" s="1"/>
  <c r="O2324" i="1"/>
  <c r="N2324" i="1"/>
  <c r="M2324" i="1"/>
  <c r="L2324" i="1"/>
  <c r="J2324" i="1"/>
  <c r="K2324" i="1" s="1"/>
  <c r="O2323" i="1"/>
  <c r="N2323" i="1"/>
  <c r="M2323" i="1"/>
  <c r="L2323" i="1"/>
  <c r="J2323" i="1"/>
  <c r="K2323" i="1" s="1"/>
  <c r="O2322" i="1"/>
  <c r="N2322" i="1"/>
  <c r="M2322" i="1"/>
  <c r="L2322" i="1"/>
  <c r="J2322" i="1"/>
  <c r="K2322" i="1" s="1"/>
  <c r="O2321" i="1"/>
  <c r="N2321" i="1"/>
  <c r="M2321" i="1"/>
  <c r="L2321" i="1"/>
  <c r="J2321" i="1"/>
  <c r="K2321" i="1" s="1"/>
  <c r="O2320" i="1"/>
  <c r="N2320" i="1"/>
  <c r="M2320" i="1"/>
  <c r="L2320" i="1"/>
  <c r="J2320" i="1"/>
  <c r="K2320" i="1" s="1"/>
  <c r="O2319" i="1"/>
  <c r="N2319" i="1"/>
  <c r="M2319" i="1"/>
  <c r="L2319" i="1"/>
  <c r="J2319" i="1"/>
  <c r="K2319" i="1" s="1"/>
  <c r="O2318" i="1"/>
  <c r="N2318" i="1"/>
  <c r="M2318" i="1"/>
  <c r="L2318" i="1"/>
  <c r="J2318" i="1"/>
  <c r="K2318" i="1" s="1"/>
  <c r="O2317" i="1"/>
  <c r="N2317" i="1"/>
  <c r="M2317" i="1"/>
  <c r="L2317" i="1"/>
  <c r="J2317" i="1"/>
  <c r="K2317" i="1" s="1"/>
  <c r="O2316" i="1"/>
  <c r="N2316" i="1"/>
  <c r="M2316" i="1"/>
  <c r="L2316" i="1"/>
  <c r="J2316" i="1"/>
  <c r="K2316" i="1" s="1"/>
  <c r="O2315" i="1"/>
  <c r="N2315" i="1"/>
  <c r="M2315" i="1"/>
  <c r="L2315" i="1"/>
  <c r="J2315" i="1"/>
  <c r="K2315" i="1" s="1"/>
  <c r="O2314" i="1"/>
  <c r="N2314" i="1"/>
  <c r="M2314" i="1"/>
  <c r="L2314" i="1"/>
  <c r="J2314" i="1"/>
  <c r="K2314" i="1" s="1"/>
  <c r="O2313" i="1"/>
  <c r="N2313" i="1"/>
  <c r="M2313" i="1"/>
  <c r="L2313" i="1"/>
  <c r="J2313" i="1"/>
  <c r="K2313" i="1" s="1"/>
  <c r="O2312" i="1"/>
  <c r="N2312" i="1"/>
  <c r="M2312" i="1"/>
  <c r="L2312" i="1"/>
  <c r="J2312" i="1"/>
  <c r="K2312" i="1" s="1"/>
  <c r="O2311" i="1"/>
  <c r="N2311" i="1"/>
  <c r="M2311" i="1"/>
  <c r="L2311" i="1"/>
  <c r="J2311" i="1"/>
  <c r="K2311" i="1" s="1"/>
  <c r="O2310" i="1"/>
  <c r="N2310" i="1"/>
  <c r="M2310" i="1"/>
  <c r="L2310" i="1"/>
  <c r="J2310" i="1"/>
  <c r="K2310" i="1" s="1"/>
  <c r="O2309" i="1"/>
  <c r="N2309" i="1"/>
  <c r="M2309" i="1"/>
  <c r="L2309" i="1"/>
  <c r="J2309" i="1"/>
  <c r="K2309" i="1" s="1"/>
  <c r="O2308" i="1"/>
  <c r="N2308" i="1"/>
  <c r="M2308" i="1"/>
  <c r="L2308" i="1"/>
  <c r="J2308" i="1"/>
  <c r="K2308" i="1" s="1"/>
  <c r="O2307" i="1"/>
  <c r="N2307" i="1"/>
  <c r="M2307" i="1"/>
  <c r="L2307" i="1"/>
  <c r="J2307" i="1"/>
  <c r="K2307" i="1" s="1"/>
  <c r="O2306" i="1"/>
  <c r="N2306" i="1"/>
  <c r="M2306" i="1"/>
  <c r="L2306" i="1"/>
  <c r="J2306" i="1"/>
  <c r="K2306" i="1" s="1"/>
  <c r="O2305" i="1"/>
  <c r="N2305" i="1"/>
  <c r="M2305" i="1"/>
  <c r="L2305" i="1"/>
  <c r="J2305" i="1"/>
  <c r="K2305" i="1" s="1"/>
  <c r="O2304" i="1"/>
  <c r="N2304" i="1"/>
  <c r="M2304" i="1"/>
  <c r="L2304" i="1"/>
  <c r="J2304" i="1"/>
  <c r="K2304" i="1" s="1"/>
  <c r="O2303" i="1"/>
  <c r="N2303" i="1"/>
  <c r="M2303" i="1"/>
  <c r="L2303" i="1"/>
  <c r="J2303" i="1"/>
  <c r="K2303" i="1" s="1"/>
  <c r="O2302" i="1"/>
  <c r="N2302" i="1"/>
  <c r="M2302" i="1"/>
  <c r="L2302" i="1"/>
  <c r="J2302" i="1"/>
  <c r="K2302" i="1" s="1"/>
  <c r="O2301" i="1"/>
  <c r="N2301" i="1"/>
  <c r="M2301" i="1"/>
  <c r="L2301" i="1"/>
  <c r="J2301" i="1"/>
  <c r="K2301" i="1" s="1"/>
  <c r="O2300" i="1"/>
  <c r="N2300" i="1"/>
  <c r="M2300" i="1"/>
  <c r="L2300" i="1"/>
  <c r="J2300" i="1"/>
  <c r="K2300" i="1" s="1"/>
  <c r="O2299" i="1"/>
  <c r="N2299" i="1"/>
  <c r="M2299" i="1"/>
  <c r="L2299" i="1"/>
  <c r="J2299" i="1"/>
  <c r="K2299" i="1" s="1"/>
  <c r="O2298" i="1"/>
  <c r="N2298" i="1"/>
  <c r="M2298" i="1"/>
  <c r="L2298" i="1"/>
  <c r="J2298" i="1"/>
  <c r="K2298" i="1" s="1"/>
  <c r="O2297" i="1"/>
  <c r="N2297" i="1"/>
  <c r="M2297" i="1"/>
  <c r="L2297" i="1"/>
  <c r="J2297" i="1"/>
  <c r="K2297" i="1" s="1"/>
  <c r="O2296" i="1"/>
  <c r="N2296" i="1"/>
  <c r="M2296" i="1"/>
  <c r="L2296" i="1"/>
  <c r="J2296" i="1"/>
  <c r="K2296" i="1" s="1"/>
  <c r="O2295" i="1"/>
  <c r="N2295" i="1"/>
  <c r="M2295" i="1"/>
  <c r="L2295" i="1"/>
  <c r="J2295" i="1"/>
  <c r="K2295" i="1" s="1"/>
  <c r="O2294" i="1"/>
  <c r="N2294" i="1"/>
  <c r="M2294" i="1"/>
  <c r="L2294" i="1"/>
  <c r="J2294" i="1"/>
  <c r="K2294" i="1" s="1"/>
  <c r="O2293" i="1"/>
  <c r="N2293" i="1"/>
  <c r="M2293" i="1"/>
  <c r="L2293" i="1"/>
  <c r="J2293" i="1"/>
  <c r="K2293" i="1" s="1"/>
  <c r="O2292" i="1"/>
  <c r="N2292" i="1"/>
  <c r="M2292" i="1"/>
  <c r="L2292" i="1"/>
  <c r="J2292" i="1"/>
  <c r="K2292" i="1" s="1"/>
  <c r="O2291" i="1"/>
  <c r="N2291" i="1"/>
  <c r="M2291" i="1"/>
  <c r="L2291" i="1"/>
  <c r="J2291" i="1"/>
  <c r="K2291" i="1" s="1"/>
  <c r="O2290" i="1"/>
  <c r="N2290" i="1"/>
  <c r="M2290" i="1"/>
  <c r="L2290" i="1"/>
  <c r="J2290" i="1"/>
  <c r="K2290" i="1" s="1"/>
  <c r="O2289" i="1"/>
  <c r="N2289" i="1"/>
  <c r="M2289" i="1"/>
  <c r="L2289" i="1"/>
  <c r="J2289" i="1"/>
  <c r="K2289" i="1" s="1"/>
  <c r="O2288" i="1"/>
  <c r="N2288" i="1"/>
  <c r="M2288" i="1"/>
  <c r="L2288" i="1"/>
  <c r="J2288" i="1"/>
  <c r="K2288" i="1" s="1"/>
  <c r="O2287" i="1"/>
  <c r="N2287" i="1"/>
  <c r="M2287" i="1"/>
  <c r="L2287" i="1"/>
  <c r="J2287" i="1"/>
  <c r="K2287" i="1" s="1"/>
  <c r="O2286" i="1"/>
  <c r="N2286" i="1"/>
  <c r="M2286" i="1"/>
  <c r="L2286" i="1"/>
  <c r="J2286" i="1"/>
  <c r="K2286" i="1" s="1"/>
  <c r="O2285" i="1"/>
  <c r="N2285" i="1"/>
  <c r="M2285" i="1"/>
  <c r="L2285" i="1"/>
  <c r="J2285" i="1"/>
  <c r="K2285" i="1" s="1"/>
  <c r="O2284" i="1"/>
  <c r="N2284" i="1"/>
  <c r="M2284" i="1"/>
  <c r="L2284" i="1"/>
  <c r="J2284" i="1"/>
  <c r="K2284" i="1" s="1"/>
  <c r="O2283" i="1"/>
  <c r="N2283" i="1"/>
  <c r="M2283" i="1"/>
  <c r="L2283" i="1"/>
  <c r="J2283" i="1"/>
  <c r="K2283" i="1" s="1"/>
  <c r="O2282" i="1"/>
  <c r="N2282" i="1"/>
  <c r="M2282" i="1"/>
  <c r="L2282" i="1"/>
  <c r="J2282" i="1"/>
  <c r="K2282" i="1" s="1"/>
  <c r="O2281" i="1"/>
  <c r="N2281" i="1"/>
  <c r="M2281" i="1"/>
  <c r="L2281" i="1"/>
  <c r="J2281" i="1"/>
  <c r="K2281" i="1" s="1"/>
  <c r="O2280" i="1"/>
  <c r="N2280" i="1"/>
  <c r="M2280" i="1"/>
  <c r="L2280" i="1"/>
  <c r="J2280" i="1"/>
  <c r="K2280" i="1" s="1"/>
  <c r="O2279" i="1"/>
  <c r="N2279" i="1"/>
  <c r="M2279" i="1"/>
  <c r="L2279" i="1"/>
  <c r="J2279" i="1"/>
  <c r="K2279" i="1" s="1"/>
  <c r="O2278" i="1"/>
  <c r="N2278" i="1"/>
  <c r="M2278" i="1"/>
  <c r="L2278" i="1"/>
  <c r="J2278" i="1"/>
  <c r="K2278" i="1" s="1"/>
  <c r="O2277" i="1"/>
  <c r="N2277" i="1"/>
  <c r="M2277" i="1"/>
  <c r="L2277" i="1"/>
  <c r="J2277" i="1"/>
  <c r="K2277" i="1" s="1"/>
  <c r="O2276" i="1"/>
  <c r="N2276" i="1"/>
  <c r="M2276" i="1"/>
  <c r="L2276" i="1"/>
  <c r="J2276" i="1"/>
  <c r="K2276" i="1" s="1"/>
  <c r="O2275" i="1"/>
  <c r="N2275" i="1"/>
  <c r="M2275" i="1"/>
  <c r="L2275" i="1"/>
  <c r="J2275" i="1"/>
  <c r="K2275" i="1" s="1"/>
  <c r="O2274" i="1"/>
  <c r="N2274" i="1"/>
  <c r="M2274" i="1"/>
  <c r="L2274" i="1"/>
  <c r="J2274" i="1"/>
  <c r="K2274" i="1" s="1"/>
  <c r="O2273" i="1"/>
  <c r="N2273" i="1"/>
  <c r="M2273" i="1"/>
  <c r="L2273" i="1"/>
  <c r="J2273" i="1"/>
  <c r="K2273" i="1" s="1"/>
  <c r="O2272" i="1"/>
  <c r="N2272" i="1"/>
  <c r="M2272" i="1"/>
  <c r="L2272" i="1"/>
  <c r="J2272" i="1"/>
  <c r="K2272" i="1" s="1"/>
  <c r="O2271" i="1"/>
  <c r="N2271" i="1"/>
  <c r="M2271" i="1"/>
  <c r="L2271" i="1"/>
  <c r="J2271" i="1"/>
  <c r="K2271" i="1" s="1"/>
  <c r="O2270" i="1"/>
  <c r="N2270" i="1"/>
  <c r="M2270" i="1"/>
  <c r="L2270" i="1"/>
  <c r="J2270" i="1"/>
  <c r="K2270" i="1" s="1"/>
  <c r="O2269" i="1"/>
  <c r="N2269" i="1"/>
  <c r="M2269" i="1"/>
  <c r="L2269" i="1"/>
  <c r="J2269" i="1"/>
  <c r="K2269" i="1" s="1"/>
  <c r="O2268" i="1"/>
  <c r="N2268" i="1"/>
  <c r="M2268" i="1"/>
  <c r="L2268" i="1"/>
  <c r="J2268" i="1"/>
  <c r="K2268" i="1" s="1"/>
  <c r="O2267" i="1"/>
  <c r="N2267" i="1"/>
  <c r="M2267" i="1"/>
  <c r="L2267" i="1"/>
  <c r="J2267" i="1"/>
  <c r="K2267" i="1" s="1"/>
  <c r="O2266" i="1"/>
  <c r="N2266" i="1"/>
  <c r="M2266" i="1"/>
  <c r="L2266" i="1"/>
  <c r="J2266" i="1"/>
  <c r="K2266" i="1" s="1"/>
  <c r="O2265" i="1"/>
  <c r="N2265" i="1"/>
  <c r="M2265" i="1"/>
  <c r="L2265" i="1"/>
  <c r="J2265" i="1"/>
  <c r="K2265" i="1" s="1"/>
  <c r="O2264" i="1"/>
  <c r="N2264" i="1"/>
  <c r="M2264" i="1"/>
  <c r="L2264" i="1"/>
  <c r="J2264" i="1"/>
  <c r="K2264" i="1" s="1"/>
  <c r="O2263" i="1"/>
  <c r="N2263" i="1"/>
  <c r="M2263" i="1"/>
  <c r="L2263" i="1"/>
  <c r="J2263" i="1"/>
  <c r="K2263" i="1" s="1"/>
  <c r="O2262" i="1"/>
  <c r="N2262" i="1"/>
  <c r="M2262" i="1"/>
  <c r="L2262" i="1"/>
  <c r="J2262" i="1"/>
  <c r="K2262" i="1" s="1"/>
  <c r="O2261" i="1"/>
  <c r="N2261" i="1"/>
  <c r="M2261" i="1"/>
  <c r="L2261" i="1"/>
  <c r="J2261" i="1"/>
  <c r="K2261" i="1" s="1"/>
  <c r="O2260" i="1"/>
  <c r="N2260" i="1"/>
  <c r="M2260" i="1"/>
  <c r="L2260" i="1"/>
  <c r="J2260" i="1"/>
  <c r="K2260" i="1" s="1"/>
  <c r="O2259" i="1"/>
  <c r="N2259" i="1"/>
  <c r="M2259" i="1"/>
  <c r="L2259" i="1"/>
  <c r="J2259" i="1"/>
  <c r="K2259" i="1" s="1"/>
  <c r="O2258" i="1"/>
  <c r="N2258" i="1"/>
  <c r="M2258" i="1"/>
  <c r="L2258" i="1"/>
  <c r="J2258" i="1"/>
  <c r="K2258" i="1" s="1"/>
  <c r="O2257" i="1"/>
  <c r="N2257" i="1"/>
  <c r="M2257" i="1"/>
  <c r="L2257" i="1"/>
  <c r="J2257" i="1"/>
  <c r="K2257" i="1" s="1"/>
  <c r="O2256" i="1"/>
  <c r="N2256" i="1"/>
  <c r="M2256" i="1"/>
  <c r="L2256" i="1"/>
  <c r="J2256" i="1"/>
  <c r="K2256" i="1" s="1"/>
  <c r="O2255" i="1"/>
  <c r="N2255" i="1"/>
  <c r="M2255" i="1"/>
  <c r="L2255" i="1"/>
  <c r="J2255" i="1"/>
  <c r="K2255" i="1" s="1"/>
  <c r="O2254" i="1"/>
  <c r="N2254" i="1"/>
  <c r="M2254" i="1"/>
  <c r="L2254" i="1"/>
  <c r="J2254" i="1"/>
  <c r="K2254" i="1" s="1"/>
  <c r="O2253" i="1"/>
  <c r="N2253" i="1"/>
  <c r="M2253" i="1"/>
  <c r="L2253" i="1"/>
  <c r="J2253" i="1"/>
  <c r="K2253" i="1" s="1"/>
  <c r="O2252" i="1"/>
  <c r="N2252" i="1"/>
  <c r="M2252" i="1"/>
  <c r="L2252" i="1"/>
  <c r="J2252" i="1"/>
  <c r="K2252" i="1" s="1"/>
  <c r="O2251" i="1"/>
  <c r="N2251" i="1"/>
  <c r="M2251" i="1"/>
  <c r="L2251" i="1"/>
  <c r="J2251" i="1"/>
  <c r="K2251" i="1" s="1"/>
  <c r="O2250" i="1"/>
  <c r="N2250" i="1"/>
  <c r="M2250" i="1"/>
  <c r="L2250" i="1"/>
  <c r="J2250" i="1"/>
  <c r="K2250" i="1" s="1"/>
  <c r="O2249" i="1"/>
  <c r="N2249" i="1"/>
  <c r="M2249" i="1"/>
  <c r="L2249" i="1"/>
  <c r="J2249" i="1"/>
  <c r="K2249" i="1" s="1"/>
  <c r="O2248" i="1"/>
  <c r="N2248" i="1"/>
  <c r="M2248" i="1"/>
  <c r="L2248" i="1"/>
  <c r="J2248" i="1"/>
  <c r="K2248" i="1" s="1"/>
  <c r="O2247" i="1"/>
  <c r="N2247" i="1"/>
  <c r="M2247" i="1"/>
  <c r="L2247" i="1"/>
  <c r="J2247" i="1"/>
  <c r="K2247" i="1" s="1"/>
  <c r="O2246" i="1"/>
  <c r="N2246" i="1"/>
  <c r="M2246" i="1"/>
  <c r="L2246" i="1"/>
  <c r="J2246" i="1"/>
  <c r="K2246" i="1" s="1"/>
  <c r="O2245" i="1"/>
  <c r="N2245" i="1"/>
  <c r="M2245" i="1"/>
  <c r="L2245" i="1"/>
  <c r="J2245" i="1"/>
  <c r="K2245" i="1" s="1"/>
  <c r="O2244" i="1"/>
  <c r="N2244" i="1"/>
  <c r="M2244" i="1"/>
  <c r="L2244" i="1"/>
  <c r="J2244" i="1"/>
  <c r="K2244" i="1" s="1"/>
  <c r="O2243" i="1"/>
  <c r="N2243" i="1"/>
  <c r="M2243" i="1"/>
  <c r="L2243" i="1"/>
  <c r="J2243" i="1"/>
  <c r="K2243" i="1" s="1"/>
  <c r="O2242" i="1"/>
  <c r="N2242" i="1"/>
  <c r="M2242" i="1"/>
  <c r="L2242" i="1"/>
  <c r="J2242" i="1"/>
  <c r="K2242" i="1" s="1"/>
  <c r="O2241" i="1"/>
  <c r="N2241" i="1"/>
  <c r="M2241" i="1"/>
  <c r="L2241" i="1"/>
  <c r="J2241" i="1"/>
  <c r="K2241" i="1" s="1"/>
  <c r="O2240" i="1"/>
  <c r="N2240" i="1"/>
  <c r="M2240" i="1"/>
  <c r="L2240" i="1"/>
  <c r="J2240" i="1"/>
  <c r="K2240" i="1" s="1"/>
  <c r="O2239" i="1"/>
  <c r="N2239" i="1"/>
  <c r="M2239" i="1"/>
  <c r="L2239" i="1"/>
  <c r="J2239" i="1"/>
  <c r="K2239" i="1" s="1"/>
  <c r="O2238" i="1"/>
  <c r="N2238" i="1"/>
  <c r="M2238" i="1"/>
  <c r="L2238" i="1"/>
  <c r="J2238" i="1"/>
  <c r="K2238" i="1" s="1"/>
  <c r="O2237" i="1"/>
  <c r="N2237" i="1"/>
  <c r="M2237" i="1"/>
  <c r="L2237" i="1"/>
  <c r="J2237" i="1"/>
  <c r="K2237" i="1" s="1"/>
  <c r="O2236" i="1"/>
  <c r="N2236" i="1"/>
  <c r="M2236" i="1"/>
  <c r="L2236" i="1"/>
  <c r="J2236" i="1"/>
  <c r="K2236" i="1" s="1"/>
  <c r="O2235" i="1"/>
  <c r="N2235" i="1"/>
  <c r="M2235" i="1"/>
  <c r="L2235" i="1"/>
  <c r="J2235" i="1"/>
  <c r="K2235" i="1" s="1"/>
  <c r="O2234" i="1"/>
  <c r="N2234" i="1"/>
  <c r="M2234" i="1"/>
  <c r="L2234" i="1"/>
  <c r="J2234" i="1"/>
  <c r="K2234" i="1" s="1"/>
  <c r="O2233" i="1"/>
  <c r="N2233" i="1"/>
  <c r="M2233" i="1"/>
  <c r="L2233" i="1"/>
  <c r="J2233" i="1"/>
  <c r="K2233" i="1" s="1"/>
  <c r="O2232" i="1"/>
  <c r="N2232" i="1"/>
  <c r="M2232" i="1"/>
  <c r="L2232" i="1"/>
  <c r="J2232" i="1"/>
  <c r="K2232" i="1" s="1"/>
  <c r="O2231" i="1"/>
  <c r="N2231" i="1"/>
  <c r="M2231" i="1"/>
  <c r="L2231" i="1"/>
  <c r="J2231" i="1"/>
  <c r="K2231" i="1" s="1"/>
  <c r="O2230" i="1"/>
  <c r="N2230" i="1"/>
  <c r="M2230" i="1"/>
  <c r="L2230" i="1"/>
  <c r="J2230" i="1"/>
  <c r="K2230" i="1" s="1"/>
  <c r="O2229" i="1"/>
  <c r="N2229" i="1"/>
  <c r="M2229" i="1"/>
  <c r="L2229" i="1"/>
  <c r="J2229" i="1"/>
  <c r="K2229" i="1" s="1"/>
  <c r="O2228" i="1"/>
  <c r="N2228" i="1"/>
  <c r="M2228" i="1"/>
  <c r="L2228" i="1"/>
  <c r="J2228" i="1"/>
  <c r="K2228" i="1" s="1"/>
  <c r="O2227" i="1"/>
  <c r="N2227" i="1"/>
  <c r="M2227" i="1"/>
  <c r="L2227" i="1"/>
  <c r="J2227" i="1"/>
  <c r="K2227" i="1" s="1"/>
  <c r="O2226" i="1"/>
  <c r="N2226" i="1"/>
  <c r="M2226" i="1"/>
  <c r="L2226" i="1"/>
  <c r="J2226" i="1"/>
  <c r="K2226" i="1" s="1"/>
  <c r="O2225" i="1"/>
  <c r="N2225" i="1"/>
  <c r="M2225" i="1"/>
  <c r="L2225" i="1"/>
  <c r="J2225" i="1"/>
  <c r="K2225" i="1" s="1"/>
  <c r="O2224" i="1"/>
  <c r="N2224" i="1"/>
  <c r="M2224" i="1"/>
  <c r="L2224" i="1"/>
  <c r="J2224" i="1"/>
  <c r="K2224" i="1" s="1"/>
  <c r="O2223" i="1"/>
  <c r="N2223" i="1"/>
  <c r="M2223" i="1"/>
  <c r="L2223" i="1"/>
  <c r="J2223" i="1"/>
  <c r="K2223" i="1" s="1"/>
  <c r="O2222" i="1"/>
  <c r="N2222" i="1"/>
  <c r="M2222" i="1"/>
  <c r="L2222" i="1"/>
  <c r="J2222" i="1"/>
  <c r="K2222" i="1" s="1"/>
  <c r="O2221" i="1"/>
  <c r="N2221" i="1"/>
  <c r="M2221" i="1"/>
  <c r="L2221" i="1"/>
  <c r="J2221" i="1"/>
  <c r="K2221" i="1" s="1"/>
  <c r="O2220" i="1"/>
  <c r="N2220" i="1"/>
  <c r="M2220" i="1"/>
  <c r="L2220" i="1"/>
  <c r="J2220" i="1"/>
  <c r="K2220" i="1" s="1"/>
  <c r="O2219" i="1"/>
  <c r="N2219" i="1"/>
  <c r="M2219" i="1"/>
  <c r="L2219" i="1"/>
  <c r="J2219" i="1"/>
  <c r="K2219" i="1" s="1"/>
  <c r="O2218" i="1"/>
  <c r="N2218" i="1"/>
  <c r="M2218" i="1"/>
  <c r="L2218" i="1"/>
  <c r="J2218" i="1"/>
  <c r="K2218" i="1" s="1"/>
  <c r="O2217" i="1"/>
  <c r="N2217" i="1"/>
  <c r="M2217" i="1"/>
  <c r="L2217" i="1"/>
  <c r="J2217" i="1"/>
  <c r="K2217" i="1" s="1"/>
  <c r="O2216" i="1"/>
  <c r="N2216" i="1"/>
  <c r="M2216" i="1"/>
  <c r="L2216" i="1"/>
  <c r="J2216" i="1"/>
  <c r="K2216" i="1" s="1"/>
  <c r="O2215" i="1"/>
  <c r="N2215" i="1"/>
  <c r="M2215" i="1"/>
  <c r="L2215" i="1"/>
  <c r="J2215" i="1"/>
  <c r="K2215" i="1" s="1"/>
  <c r="O2214" i="1"/>
  <c r="N2214" i="1"/>
  <c r="M2214" i="1"/>
  <c r="L2214" i="1"/>
  <c r="J2214" i="1"/>
  <c r="K2214" i="1" s="1"/>
  <c r="O2213" i="1"/>
  <c r="N2213" i="1"/>
  <c r="M2213" i="1"/>
  <c r="L2213" i="1"/>
  <c r="J2213" i="1"/>
  <c r="K2213" i="1" s="1"/>
  <c r="O2212" i="1"/>
  <c r="N2212" i="1"/>
  <c r="M2212" i="1"/>
  <c r="L2212" i="1"/>
  <c r="J2212" i="1"/>
  <c r="K2212" i="1" s="1"/>
  <c r="O2211" i="1"/>
  <c r="N2211" i="1"/>
  <c r="M2211" i="1"/>
  <c r="L2211" i="1"/>
  <c r="J2211" i="1"/>
  <c r="K2211" i="1" s="1"/>
  <c r="O2210" i="1"/>
  <c r="N2210" i="1"/>
  <c r="M2210" i="1"/>
  <c r="L2210" i="1"/>
  <c r="J2210" i="1"/>
  <c r="K2210" i="1" s="1"/>
  <c r="O2209" i="1"/>
  <c r="N2209" i="1"/>
  <c r="M2209" i="1"/>
  <c r="L2209" i="1"/>
  <c r="J2209" i="1"/>
  <c r="K2209" i="1" s="1"/>
  <c r="O2208" i="1"/>
  <c r="N2208" i="1"/>
  <c r="M2208" i="1"/>
  <c r="L2208" i="1"/>
  <c r="J2208" i="1"/>
  <c r="K2208" i="1" s="1"/>
  <c r="O2207" i="1"/>
  <c r="N2207" i="1"/>
  <c r="M2207" i="1"/>
  <c r="L2207" i="1"/>
  <c r="J2207" i="1"/>
  <c r="K2207" i="1" s="1"/>
  <c r="O2206" i="1"/>
  <c r="N2206" i="1"/>
  <c r="M2206" i="1"/>
  <c r="L2206" i="1"/>
  <c r="J2206" i="1"/>
  <c r="K2206" i="1" s="1"/>
  <c r="O2205" i="1"/>
  <c r="N2205" i="1"/>
  <c r="M2205" i="1"/>
  <c r="L2205" i="1"/>
  <c r="J2205" i="1"/>
  <c r="K2205" i="1" s="1"/>
  <c r="O2204" i="1"/>
  <c r="N2204" i="1"/>
  <c r="M2204" i="1"/>
  <c r="L2204" i="1"/>
  <c r="J2204" i="1"/>
  <c r="K2204" i="1" s="1"/>
  <c r="O2203" i="1"/>
  <c r="N2203" i="1"/>
  <c r="M2203" i="1"/>
  <c r="L2203" i="1"/>
  <c r="J2203" i="1"/>
  <c r="K2203" i="1" s="1"/>
  <c r="O2202" i="1"/>
  <c r="N2202" i="1"/>
  <c r="M2202" i="1"/>
  <c r="L2202" i="1"/>
  <c r="J2202" i="1"/>
  <c r="K2202" i="1" s="1"/>
  <c r="O2201" i="1"/>
  <c r="N2201" i="1"/>
  <c r="M2201" i="1"/>
  <c r="L2201" i="1"/>
  <c r="J2201" i="1"/>
  <c r="K2201" i="1" s="1"/>
  <c r="O2200" i="1"/>
  <c r="N2200" i="1"/>
  <c r="M2200" i="1"/>
  <c r="L2200" i="1"/>
  <c r="J2200" i="1"/>
  <c r="K2200" i="1" s="1"/>
  <c r="O2199" i="1"/>
  <c r="N2199" i="1"/>
  <c r="M2199" i="1"/>
  <c r="L2199" i="1"/>
  <c r="J2199" i="1"/>
  <c r="K2199" i="1" s="1"/>
  <c r="O2198" i="1"/>
  <c r="N2198" i="1"/>
  <c r="M2198" i="1"/>
  <c r="L2198" i="1"/>
  <c r="J2198" i="1"/>
  <c r="K2198" i="1" s="1"/>
  <c r="O2197" i="1"/>
  <c r="N2197" i="1"/>
  <c r="M2197" i="1"/>
  <c r="L2197" i="1"/>
  <c r="J2197" i="1"/>
  <c r="K2197" i="1" s="1"/>
  <c r="O2196" i="1"/>
  <c r="N2196" i="1"/>
  <c r="M2196" i="1"/>
  <c r="L2196" i="1"/>
  <c r="J2196" i="1"/>
  <c r="K2196" i="1" s="1"/>
  <c r="O2195" i="1"/>
  <c r="N2195" i="1"/>
  <c r="M2195" i="1"/>
  <c r="L2195" i="1"/>
  <c r="J2195" i="1"/>
  <c r="K2195" i="1" s="1"/>
  <c r="O2194" i="1"/>
  <c r="N2194" i="1"/>
  <c r="M2194" i="1"/>
  <c r="L2194" i="1"/>
  <c r="J2194" i="1"/>
  <c r="K2194" i="1" s="1"/>
  <c r="O2193" i="1"/>
  <c r="N2193" i="1"/>
  <c r="M2193" i="1"/>
  <c r="L2193" i="1"/>
  <c r="J2193" i="1"/>
  <c r="K2193" i="1" s="1"/>
  <c r="O2192" i="1"/>
  <c r="N2192" i="1"/>
  <c r="M2192" i="1"/>
  <c r="L2192" i="1"/>
  <c r="J2192" i="1"/>
  <c r="K2192" i="1" s="1"/>
  <c r="O2191" i="1"/>
  <c r="N2191" i="1"/>
  <c r="M2191" i="1"/>
  <c r="L2191" i="1"/>
  <c r="J2191" i="1"/>
  <c r="K2191" i="1" s="1"/>
  <c r="O2190" i="1"/>
  <c r="N2190" i="1"/>
  <c r="M2190" i="1"/>
  <c r="L2190" i="1"/>
  <c r="J2190" i="1"/>
  <c r="K2190" i="1" s="1"/>
  <c r="O2189" i="1"/>
  <c r="N2189" i="1"/>
  <c r="M2189" i="1"/>
  <c r="L2189" i="1"/>
  <c r="J2189" i="1"/>
  <c r="K2189" i="1" s="1"/>
  <c r="O2188" i="1"/>
  <c r="N2188" i="1"/>
  <c r="M2188" i="1"/>
  <c r="L2188" i="1"/>
  <c r="J2188" i="1"/>
  <c r="K2188" i="1" s="1"/>
  <c r="O2187" i="1"/>
  <c r="N2187" i="1"/>
  <c r="M2187" i="1"/>
  <c r="L2187" i="1"/>
  <c r="J2187" i="1"/>
  <c r="K2187" i="1" s="1"/>
  <c r="O2186" i="1"/>
  <c r="N2186" i="1"/>
  <c r="M2186" i="1"/>
  <c r="L2186" i="1"/>
  <c r="J2186" i="1"/>
  <c r="K2186" i="1" s="1"/>
  <c r="O2185" i="1"/>
  <c r="N2185" i="1"/>
  <c r="M2185" i="1"/>
  <c r="L2185" i="1"/>
  <c r="J2185" i="1"/>
  <c r="K2185" i="1" s="1"/>
  <c r="O2184" i="1"/>
  <c r="N2184" i="1"/>
  <c r="M2184" i="1"/>
  <c r="L2184" i="1"/>
  <c r="J2184" i="1"/>
  <c r="K2184" i="1" s="1"/>
  <c r="O2183" i="1"/>
  <c r="N2183" i="1"/>
  <c r="M2183" i="1"/>
  <c r="L2183" i="1"/>
  <c r="J2183" i="1"/>
  <c r="K2183" i="1" s="1"/>
  <c r="O2182" i="1"/>
  <c r="N2182" i="1"/>
  <c r="M2182" i="1"/>
  <c r="L2182" i="1"/>
  <c r="J2182" i="1"/>
  <c r="K2182" i="1" s="1"/>
  <c r="O2181" i="1"/>
  <c r="N2181" i="1"/>
  <c r="M2181" i="1"/>
  <c r="L2181" i="1"/>
  <c r="J2181" i="1"/>
  <c r="K2181" i="1" s="1"/>
  <c r="O2180" i="1"/>
  <c r="N2180" i="1"/>
  <c r="M2180" i="1"/>
  <c r="L2180" i="1"/>
  <c r="J2180" i="1"/>
  <c r="K2180" i="1" s="1"/>
  <c r="O2179" i="1"/>
  <c r="N2179" i="1"/>
  <c r="M2179" i="1"/>
  <c r="L2179" i="1"/>
  <c r="J2179" i="1"/>
  <c r="K2179" i="1" s="1"/>
  <c r="O2178" i="1"/>
  <c r="N2178" i="1"/>
  <c r="M2178" i="1"/>
  <c r="L2178" i="1"/>
  <c r="J2178" i="1"/>
  <c r="K2178" i="1" s="1"/>
  <c r="O2177" i="1"/>
  <c r="N2177" i="1"/>
  <c r="M2177" i="1"/>
  <c r="L2177" i="1"/>
  <c r="J2177" i="1"/>
  <c r="K2177" i="1" s="1"/>
  <c r="O2176" i="1"/>
  <c r="N2176" i="1"/>
  <c r="M2176" i="1"/>
  <c r="L2176" i="1"/>
  <c r="J2176" i="1"/>
  <c r="K2176" i="1" s="1"/>
  <c r="O2175" i="1"/>
  <c r="N2175" i="1"/>
  <c r="M2175" i="1"/>
  <c r="L2175" i="1"/>
  <c r="J2175" i="1"/>
  <c r="K2175" i="1" s="1"/>
  <c r="O2174" i="1"/>
  <c r="N2174" i="1"/>
  <c r="M2174" i="1"/>
  <c r="L2174" i="1"/>
  <c r="J2174" i="1"/>
  <c r="K2174" i="1" s="1"/>
  <c r="O2173" i="1"/>
  <c r="N2173" i="1"/>
  <c r="M2173" i="1"/>
  <c r="L2173" i="1"/>
  <c r="J2173" i="1"/>
  <c r="K2173" i="1" s="1"/>
  <c r="O2172" i="1"/>
  <c r="N2172" i="1"/>
  <c r="M2172" i="1"/>
  <c r="L2172" i="1"/>
  <c r="J2172" i="1"/>
  <c r="K2172" i="1" s="1"/>
  <c r="O2171" i="1"/>
  <c r="N2171" i="1"/>
  <c r="M2171" i="1"/>
  <c r="L2171" i="1"/>
  <c r="J2171" i="1"/>
  <c r="K2171" i="1" s="1"/>
  <c r="O2170" i="1"/>
  <c r="N2170" i="1"/>
  <c r="M2170" i="1"/>
  <c r="L2170" i="1"/>
  <c r="J2170" i="1"/>
  <c r="K2170" i="1" s="1"/>
  <c r="O2169" i="1"/>
  <c r="N2169" i="1"/>
  <c r="M2169" i="1"/>
  <c r="L2169" i="1"/>
  <c r="J2169" i="1"/>
  <c r="K2169" i="1" s="1"/>
  <c r="O2168" i="1"/>
  <c r="N2168" i="1"/>
  <c r="M2168" i="1"/>
  <c r="L2168" i="1"/>
  <c r="J2168" i="1"/>
  <c r="K2168" i="1" s="1"/>
  <c r="O2167" i="1"/>
  <c r="N2167" i="1"/>
  <c r="M2167" i="1"/>
  <c r="L2167" i="1"/>
  <c r="J2167" i="1"/>
  <c r="K2167" i="1" s="1"/>
  <c r="O2166" i="1"/>
  <c r="N2166" i="1"/>
  <c r="M2166" i="1"/>
  <c r="L2166" i="1"/>
  <c r="J2166" i="1"/>
  <c r="K2166" i="1" s="1"/>
  <c r="O2165" i="1"/>
  <c r="N2165" i="1"/>
  <c r="M2165" i="1"/>
  <c r="L2165" i="1"/>
  <c r="J2165" i="1"/>
  <c r="K2165" i="1" s="1"/>
  <c r="O2164" i="1"/>
  <c r="N2164" i="1"/>
  <c r="M2164" i="1"/>
  <c r="L2164" i="1"/>
  <c r="J2164" i="1"/>
  <c r="K2164" i="1" s="1"/>
  <c r="O2163" i="1"/>
  <c r="N2163" i="1"/>
  <c r="M2163" i="1"/>
  <c r="L2163" i="1"/>
  <c r="J2163" i="1"/>
  <c r="K2163" i="1" s="1"/>
  <c r="O2162" i="1"/>
  <c r="N2162" i="1"/>
  <c r="M2162" i="1"/>
  <c r="L2162" i="1"/>
  <c r="J2162" i="1"/>
  <c r="K2162" i="1" s="1"/>
  <c r="O2161" i="1"/>
  <c r="N2161" i="1"/>
  <c r="M2161" i="1"/>
  <c r="L2161" i="1"/>
  <c r="J2161" i="1"/>
  <c r="K2161" i="1" s="1"/>
  <c r="O2160" i="1"/>
  <c r="N2160" i="1"/>
  <c r="M2160" i="1"/>
  <c r="L2160" i="1"/>
  <c r="J2160" i="1"/>
  <c r="K2160" i="1" s="1"/>
  <c r="O2159" i="1"/>
  <c r="N2159" i="1"/>
  <c r="M2159" i="1"/>
  <c r="L2159" i="1"/>
  <c r="J2159" i="1"/>
  <c r="K2159" i="1" s="1"/>
  <c r="O2158" i="1"/>
  <c r="N2158" i="1"/>
  <c r="M2158" i="1"/>
  <c r="L2158" i="1"/>
  <c r="J2158" i="1"/>
  <c r="K2158" i="1" s="1"/>
  <c r="O2157" i="1"/>
  <c r="N2157" i="1"/>
  <c r="M2157" i="1"/>
  <c r="L2157" i="1"/>
  <c r="J2157" i="1"/>
  <c r="K2157" i="1" s="1"/>
  <c r="O2156" i="1"/>
  <c r="N2156" i="1"/>
  <c r="M2156" i="1"/>
  <c r="L2156" i="1"/>
  <c r="J2156" i="1"/>
  <c r="K2156" i="1" s="1"/>
  <c r="O2155" i="1"/>
  <c r="N2155" i="1"/>
  <c r="M2155" i="1"/>
  <c r="L2155" i="1"/>
  <c r="J2155" i="1"/>
  <c r="K2155" i="1" s="1"/>
  <c r="O2154" i="1"/>
  <c r="N2154" i="1"/>
  <c r="M2154" i="1"/>
  <c r="L2154" i="1"/>
  <c r="J2154" i="1"/>
  <c r="K2154" i="1" s="1"/>
  <c r="O2153" i="1"/>
  <c r="N2153" i="1"/>
  <c r="M2153" i="1"/>
  <c r="L2153" i="1"/>
  <c r="J2153" i="1"/>
  <c r="K2153" i="1" s="1"/>
  <c r="O2152" i="1"/>
  <c r="N2152" i="1"/>
  <c r="M2152" i="1"/>
  <c r="L2152" i="1"/>
  <c r="J2152" i="1"/>
  <c r="K2152" i="1" s="1"/>
  <c r="O2151" i="1"/>
  <c r="N2151" i="1"/>
  <c r="M2151" i="1"/>
  <c r="L2151" i="1"/>
  <c r="J2151" i="1"/>
  <c r="K2151" i="1" s="1"/>
  <c r="O2150" i="1"/>
  <c r="N2150" i="1"/>
  <c r="M2150" i="1"/>
  <c r="L2150" i="1"/>
  <c r="J2150" i="1"/>
  <c r="K2150" i="1" s="1"/>
  <c r="O2149" i="1"/>
  <c r="N2149" i="1"/>
  <c r="M2149" i="1"/>
  <c r="L2149" i="1"/>
  <c r="J2149" i="1"/>
  <c r="K2149" i="1" s="1"/>
  <c r="O2148" i="1"/>
  <c r="N2148" i="1"/>
  <c r="M2148" i="1"/>
  <c r="L2148" i="1"/>
  <c r="J2148" i="1"/>
  <c r="K2148" i="1" s="1"/>
  <c r="O2147" i="1"/>
  <c r="N2147" i="1"/>
  <c r="M2147" i="1"/>
  <c r="L2147" i="1"/>
  <c r="J2147" i="1"/>
  <c r="K2147" i="1" s="1"/>
  <c r="O2146" i="1"/>
  <c r="N2146" i="1"/>
  <c r="M2146" i="1"/>
  <c r="L2146" i="1"/>
  <c r="J2146" i="1"/>
  <c r="K2146" i="1" s="1"/>
  <c r="O2145" i="1"/>
  <c r="N2145" i="1"/>
  <c r="M2145" i="1"/>
  <c r="L2145" i="1"/>
  <c r="J2145" i="1"/>
  <c r="K2145" i="1" s="1"/>
  <c r="O2144" i="1"/>
  <c r="N2144" i="1"/>
  <c r="M2144" i="1"/>
  <c r="L2144" i="1"/>
  <c r="J2144" i="1"/>
  <c r="K2144" i="1" s="1"/>
  <c r="O2143" i="1"/>
  <c r="N2143" i="1"/>
  <c r="M2143" i="1"/>
  <c r="L2143" i="1"/>
  <c r="J2143" i="1"/>
  <c r="K2143" i="1" s="1"/>
  <c r="O2142" i="1"/>
  <c r="N2142" i="1"/>
  <c r="M2142" i="1"/>
  <c r="L2142" i="1"/>
  <c r="J2142" i="1"/>
  <c r="K2142" i="1" s="1"/>
  <c r="O2141" i="1"/>
  <c r="N2141" i="1"/>
  <c r="M2141" i="1"/>
  <c r="L2141" i="1"/>
  <c r="J2141" i="1"/>
  <c r="K2141" i="1" s="1"/>
  <c r="O2140" i="1"/>
  <c r="N2140" i="1"/>
  <c r="M2140" i="1"/>
  <c r="L2140" i="1"/>
  <c r="J2140" i="1"/>
  <c r="K2140" i="1" s="1"/>
  <c r="O2139" i="1"/>
  <c r="N2139" i="1"/>
  <c r="M2139" i="1"/>
  <c r="L2139" i="1"/>
  <c r="J2139" i="1"/>
  <c r="K2139" i="1" s="1"/>
  <c r="O2138" i="1"/>
  <c r="N2138" i="1"/>
  <c r="M2138" i="1"/>
  <c r="L2138" i="1"/>
  <c r="J2138" i="1"/>
  <c r="K2138" i="1" s="1"/>
  <c r="O2137" i="1"/>
  <c r="N2137" i="1"/>
  <c r="M2137" i="1"/>
  <c r="L2137" i="1"/>
  <c r="J2137" i="1"/>
  <c r="K2137" i="1" s="1"/>
  <c r="O2136" i="1"/>
  <c r="N2136" i="1"/>
  <c r="M2136" i="1"/>
  <c r="L2136" i="1"/>
  <c r="J2136" i="1"/>
  <c r="K2136" i="1" s="1"/>
  <c r="O2135" i="1"/>
  <c r="N2135" i="1"/>
  <c r="M2135" i="1"/>
  <c r="L2135" i="1"/>
  <c r="J2135" i="1"/>
  <c r="K2135" i="1" s="1"/>
  <c r="O2134" i="1"/>
  <c r="N2134" i="1"/>
  <c r="M2134" i="1"/>
  <c r="L2134" i="1"/>
  <c r="J2134" i="1"/>
  <c r="K2134" i="1" s="1"/>
  <c r="O2133" i="1"/>
  <c r="N2133" i="1"/>
  <c r="M2133" i="1"/>
  <c r="L2133" i="1"/>
  <c r="J2133" i="1"/>
  <c r="K2133" i="1" s="1"/>
  <c r="O2132" i="1"/>
  <c r="N2132" i="1"/>
  <c r="M2132" i="1"/>
  <c r="L2132" i="1"/>
  <c r="J2132" i="1"/>
  <c r="K2132" i="1" s="1"/>
  <c r="O2131" i="1"/>
  <c r="N2131" i="1"/>
  <c r="M2131" i="1"/>
  <c r="L2131" i="1"/>
  <c r="J2131" i="1"/>
  <c r="K2131" i="1" s="1"/>
  <c r="O2130" i="1"/>
  <c r="N2130" i="1"/>
  <c r="M2130" i="1"/>
  <c r="L2130" i="1"/>
  <c r="J2130" i="1"/>
  <c r="K2130" i="1" s="1"/>
  <c r="O2129" i="1"/>
  <c r="N2129" i="1"/>
  <c r="M2129" i="1"/>
  <c r="L2129" i="1"/>
  <c r="J2129" i="1"/>
  <c r="K2129" i="1" s="1"/>
  <c r="O2128" i="1"/>
  <c r="N2128" i="1"/>
  <c r="M2128" i="1"/>
  <c r="L2128" i="1"/>
  <c r="J2128" i="1"/>
  <c r="K2128" i="1" s="1"/>
  <c r="O2127" i="1"/>
  <c r="N2127" i="1"/>
  <c r="M2127" i="1"/>
  <c r="L2127" i="1"/>
  <c r="J2127" i="1"/>
  <c r="K2127" i="1" s="1"/>
  <c r="O2126" i="1"/>
  <c r="N2126" i="1"/>
  <c r="M2126" i="1"/>
  <c r="L2126" i="1"/>
  <c r="J2126" i="1"/>
  <c r="K2126" i="1" s="1"/>
  <c r="O2125" i="1"/>
  <c r="N2125" i="1"/>
  <c r="M2125" i="1"/>
  <c r="L2125" i="1"/>
  <c r="J2125" i="1"/>
  <c r="K2125" i="1" s="1"/>
  <c r="O2124" i="1"/>
  <c r="N2124" i="1"/>
  <c r="M2124" i="1"/>
  <c r="L2124" i="1"/>
  <c r="J2124" i="1"/>
  <c r="K2124" i="1" s="1"/>
  <c r="O2123" i="1"/>
  <c r="N2123" i="1"/>
  <c r="M2123" i="1"/>
  <c r="L2123" i="1"/>
  <c r="J2123" i="1"/>
  <c r="K2123" i="1" s="1"/>
  <c r="O2122" i="1"/>
  <c r="N2122" i="1"/>
  <c r="M2122" i="1"/>
  <c r="L2122" i="1"/>
  <c r="J2122" i="1"/>
  <c r="K2122" i="1" s="1"/>
  <c r="O2121" i="1"/>
  <c r="N2121" i="1"/>
  <c r="M2121" i="1"/>
  <c r="L2121" i="1"/>
  <c r="J2121" i="1"/>
  <c r="K2121" i="1" s="1"/>
  <c r="O2120" i="1"/>
  <c r="N2120" i="1"/>
  <c r="M2120" i="1"/>
  <c r="L2120" i="1"/>
  <c r="J2120" i="1"/>
  <c r="K2120" i="1" s="1"/>
  <c r="O2119" i="1"/>
  <c r="N2119" i="1"/>
  <c r="M2119" i="1"/>
  <c r="L2119" i="1"/>
  <c r="J2119" i="1"/>
  <c r="K2119" i="1" s="1"/>
  <c r="O2118" i="1"/>
  <c r="N2118" i="1"/>
  <c r="M2118" i="1"/>
  <c r="L2118" i="1"/>
  <c r="J2118" i="1"/>
  <c r="K2118" i="1" s="1"/>
  <c r="O2117" i="1"/>
  <c r="N2117" i="1"/>
  <c r="M2117" i="1"/>
  <c r="L2117" i="1"/>
  <c r="J2117" i="1"/>
  <c r="K2117" i="1" s="1"/>
  <c r="O2116" i="1"/>
  <c r="N2116" i="1"/>
  <c r="M2116" i="1"/>
  <c r="L2116" i="1"/>
  <c r="J2116" i="1"/>
  <c r="K2116" i="1" s="1"/>
  <c r="O2115" i="1"/>
  <c r="N2115" i="1"/>
  <c r="M2115" i="1"/>
  <c r="L2115" i="1"/>
  <c r="J2115" i="1"/>
  <c r="K2115" i="1" s="1"/>
  <c r="O2114" i="1"/>
  <c r="N2114" i="1"/>
  <c r="M2114" i="1"/>
  <c r="L2114" i="1"/>
  <c r="J2114" i="1"/>
  <c r="K2114" i="1" s="1"/>
  <c r="O2113" i="1"/>
  <c r="N2113" i="1"/>
  <c r="M2113" i="1"/>
  <c r="L2113" i="1"/>
  <c r="J2113" i="1"/>
  <c r="K2113" i="1" s="1"/>
  <c r="O2112" i="1"/>
  <c r="N2112" i="1"/>
  <c r="M2112" i="1"/>
  <c r="L2112" i="1"/>
  <c r="J2112" i="1"/>
  <c r="K2112" i="1" s="1"/>
  <c r="O2111" i="1"/>
  <c r="N2111" i="1"/>
  <c r="M2111" i="1"/>
  <c r="L2111" i="1"/>
  <c r="J2111" i="1"/>
  <c r="K2111" i="1" s="1"/>
  <c r="O2110" i="1"/>
  <c r="N2110" i="1"/>
  <c r="M2110" i="1"/>
  <c r="L2110" i="1"/>
  <c r="J2110" i="1"/>
  <c r="K2110" i="1" s="1"/>
  <c r="O2109" i="1"/>
  <c r="N2109" i="1"/>
  <c r="M2109" i="1"/>
  <c r="L2109" i="1"/>
  <c r="J2109" i="1"/>
  <c r="K2109" i="1" s="1"/>
  <c r="O2108" i="1"/>
  <c r="N2108" i="1"/>
  <c r="M2108" i="1"/>
  <c r="L2108" i="1"/>
  <c r="J2108" i="1"/>
  <c r="K2108" i="1" s="1"/>
  <c r="O2107" i="1"/>
  <c r="N2107" i="1"/>
  <c r="M2107" i="1"/>
  <c r="L2107" i="1"/>
  <c r="J2107" i="1"/>
  <c r="K2107" i="1" s="1"/>
  <c r="O2106" i="1"/>
  <c r="N2106" i="1"/>
  <c r="M2106" i="1"/>
  <c r="L2106" i="1"/>
  <c r="J2106" i="1"/>
  <c r="K2106" i="1" s="1"/>
  <c r="O2105" i="1"/>
  <c r="N2105" i="1"/>
  <c r="M2105" i="1"/>
  <c r="L2105" i="1"/>
  <c r="J2105" i="1"/>
  <c r="K2105" i="1" s="1"/>
  <c r="O2104" i="1"/>
  <c r="N2104" i="1"/>
  <c r="M2104" i="1"/>
  <c r="L2104" i="1"/>
  <c r="J2104" i="1"/>
  <c r="K2104" i="1" s="1"/>
  <c r="O2103" i="1"/>
  <c r="N2103" i="1"/>
  <c r="M2103" i="1"/>
  <c r="L2103" i="1"/>
  <c r="J2103" i="1"/>
  <c r="K2103" i="1" s="1"/>
  <c r="O2102" i="1"/>
  <c r="N2102" i="1"/>
  <c r="M2102" i="1"/>
  <c r="L2102" i="1"/>
  <c r="J2102" i="1"/>
  <c r="K2102" i="1" s="1"/>
  <c r="O2101" i="1"/>
  <c r="N2101" i="1"/>
  <c r="M2101" i="1"/>
  <c r="L2101" i="1"/>
  <c r="J2101" i="1"/>
  <c r="K2101" i="1" s="1"/>
  <c r="O2100" i="1"/>
  <c r="N2100" i="1"/>
  <c r="M2100" i="1"/>
  <c r="L2100" i="1"/>
  <c r="J2100" i="1"/>
  <c r="K2100" i="1" s="1"/>
  <c r="O2099" i="1"/>
  <c r="N2099" i="1"/>
  <c r="M2099" i="1"/>
  <c r="L2099" i="1"/>
  <c r="J2099" i="1"/>
  <c r="K2099" i="1" s="1"/>
  <c r="O2098" i="1"/>
  <c r="N2098" i="1"/>
  <c r="M2098" i="1"/>
  <c r="L2098" i="1"/>
  <c r="J2098" i="1"/>
  <c r="K2098" i="1" s="1"/>
  <c r="O2097" i="1"/>
  <c r="N2097" i="1"/>
  <c r="M2097" i="1"/>
  <c r="L2097" i="1"/>
  <c r="J2097" i="1"/>
  <c r="K2097" i="1" s="1"/>
  <c r="O2096" i="1"/>
  <c r="N2096" i="1"/>
  <c r="M2096" i="1"/>
  <c r="L2096" i="1"/>
  <c r="J2096" i="1"/>
  <c r="K2096" i="1" s="1"/>
  <c r="O2095" i="1"/>
  <c r="N2095" i="1"/>
  <c r="M2095" i="1"/>
  <c r="L2095" i="1"/>
  <c r="J2095" i="1"/>
  <c r="K2095" i="1" s="1"/>
  <c r="O2094" i="1"/>
  <c r="N2094" i="1"/>
  <c r="M2094" i="1"/>
  <c r="L2094" i="1"/>
  <c r="J2094" i="1"/>
  <c r="K2094" i="1" s="1"/>
  <c r="O2093" i="1"/>
  <c r="N2093" i="1"/>
  <c r="M2093" i="1"/>
  <c r="L2093" i="1"/>
  <c r="J2093" i="1"/>
  <c r="K2093" i="1" s="1"/>
  <c r="O2092" i="1"/>
  <c r="N2092" i="1"/>
  <c r="M2092" i="1"/>
  <c r="L2092" i="1"/>
  <c r="J2092" i="1"/>
  <c r="K2092" i="1" s="1"/>
  <c r="O2091" i="1"/>
  <c r="N2091" i="1"/>
  <c r="M2091" i="1"/>
  <c r="L2091" i="1"/>
  <c r="J2091" i="1"/>
  <c r="K2091" i="1" s="1"/>
  <c r="O2090" i="1"/>
  <c r="N2090" i="1"/>
  <c r="M2090" i="1"/>
  <c r="L2090" i="1"/>
  <c r="J2090" i="1"/>
  <c r="K2090" i="1" s="1"/>
  <c r="O2089" i="1"/>
  <c r="N2089" i="1"/>
  <c r="M2089" i="1"/>
  <c r="L2089" i="1"/>
  <c r="J2089" i="1"/>
  <c r="K2089" i="1" s="1"/>
  <c r="O2088" i="1"/>
  <c r="N2088" i="1"/>
  <c r="M2088" i="1"/>
  <c r="L2088" i="1"/>
  <c r="J2088" i="1"/>
  <c r="K2088" i="1" s="1"/>
  <c r="O2087" i="1"/>
  <c r="N2087" i="1"/>
  <c r="M2087" i="1"/>
  <c r="L2087" i="1"/>
  <c r="J2087" i="1"/>
  <c r="K2087" i="1" s="1"/>
  <c r="O2086" i="1"/>
  <c r="N2086" i="1"/>
  <c r="M2086" i="1"/>
  <c r="L2086" i="1"/>
  <c r="J2086" i="1"/>
  <c r="K2086" i="1" s="1"/>
  <c r="O2085" i="1"/>
  <c r="N2085" i="1"/>
  <c r="M2085" i="1"/>
  <c r="L2085" i="1"/>
  <c r="J2085" i="1"/>
  <c r="K2085" i="1" s="1"/>
  <c r="O2084" i="1"/>
  <c r="N2084" i="1"/>
  <c r="M2084" i="1"/>
  <c r="L2084" i="1"/>
  <c r="J2084" i="1"/>
  <c r="K2084" i="1" s="1"/>
  <c r="O2083" i="1"/>
  <c r="N2083" i="1"/>
  <c r="M2083" i="1"/>
  <c r="L2083" i="1"/>
  <c r="J2083" i="1"/>
  <c r="K2083" i="1" s="1"/>
  <c r="O2082" i="1"/>
  <c r="N2082" i="1"/>
  <c r="M2082" i="1"/>
  <c r="L2082" i="1"/>
  <c r="J2082" i="1"/>
  <c r="K2082" i="1" s="1"/>
  <c r="O2081" i="1"/>
  <c r="N2081" i="1"/>
  <c r="M2081" i="1"/>
  <c r="L2081" i="1"/>
  <c r="J2081" i="1"/>
  <c r="K2081" i="1" s="1"/>
  <c r="O2080" i="1"/>
  <c r="N2080" i="1"/>
  <c r="M2080" i="1"/>
  <c r="L2080" i="1"/>
  <c r="J2080" i="1"/>
  <c r="K2080" i="1" s="1"/>
  <c r="O2079" i="1"/>
  <c r="N2079" i="1"/>
  <c r="M2079" i="1"/>
  <c r="L2079" i="1"/>
  <c r="J2079" i="1"/>
  <c r="K2079" i="1" s="1"/>
  <c r="O2078" i="1"/>
  <c r="N2078" i="1"/>
  <c r="M2078" i="1"/>
  <c r="L2078" i="1"/>
  <c r="J2078" i="1"/>
  <c r="K2078" i="1" s="1"/>
  <c r="O2077" i="1"/>
  <c r="N2077" i="1"/>
  <c r="M2077" i="1"/>
  <c r="L2077" i="1"/>
  <c r="J2077" i="1"/>
  <c r="K2077" i="1" s="1"/>
  <c r="O2076" i="1"/>
  <c r="N2076" i="1"/>
  <c r="M2076" i="1"/>
  <c r="L2076" i="1"/>
  <c r="J2076" i="1"/>
  <c r="K2076" i="1" s="1"/>
  <c r="O2075" i="1"/>
  <c r="N2075" i="1"/>
  <c r="M2075" i="1"/>
  <c r="L2075" i="1"/>
  <c r="J2075" i="1"/>
  <c r="K2075" i="1" s="1"/>
  <c r="O2074" i="1"/>
  <c r="N2074" i="1"/>
  <c r="M2074" i="1"/>
  <c r="L2074" i="1"/>
  <c r="J2074" i="1"/>
  <c r="K2074" i="1" s="1"/>
  <c r="O2073" i="1"/>
  <c r="N2073" i="1"/>
  <c r="M2073" i="1"/>
  <c r="L2073" i="1"/>
  <c r="J2073" i="1"/>
  <c r="K2073" i="1" s="1"/>
  <c r="O2072" i="1"/>
  <c r="N2072" i="1"/>
  <c r="M2072" i="1"/>
  <c r="L2072" i="1"/>
  <c r="J2072" i="1"/>
  <c r="K2072" i="1" s="1"/>
  <c r="O2071" i="1"/>
  <c r="N2071" i="1"/>
  <c r="M2071" i="1"/>
  <c r="L2071" i="1"/>
  <c r="J2071" i="1"/>
  <c r="K2071" i="1" s="1"/>
  <c r="O2070" i="1"/>
  <c r="N2070" i="1"/>
  <c r="M2070" i="1"/>
  <c r="L2070" i="1"/>
  <c r="J2070" i="1"/>
  <c r="K2070" i="1" s="1"/>
  <c r="O2069" i="1"/>
  <c r="N2069" i="1"/>
  <c r="M2069" i="1"/>
  <c r="L2069" i="1"/>
  <c r="J2069" i="1"/>
  <c r="K2069" i="1" s="1"/>
  <c r="O2068" i="1"/>
  <c r="N2068" i="1"/>
  <c r="M2068" i="1"/>
  <c r="L2068" i="1"/>
  <c r="J2068" i="1"/>
  <c r="K2068" i="1" s="1"/>
  <c r="O2067" i="1"/>
  <c r="N2067" i="1"/>
  <c r="M2067" i="1"/>
  <c r="L2067" i="1"/>
  <c r="J2067" i="1"/>
  <c r="K2067" i="1" s="1"/>
  <c r="O2066" i="1"/>
  <c r="N2066" i="1"/>
  <c r="M2066" i="1"/>
  <c r="L2066" i="1"/>
  <c r="J2066" i="1"/>
  <c r="K2066" i="1" s="1"/>
  <c r="O2065" i="1"/>
  <c r="N2065" i="1"/>
  <c r="M2065" i="1"/>
  <c r="L2065" i="1"/>
  <c r="J2065" i="1"/>
  <c r="K2065" i="1" s="1"/>
  <c r="O2064" i="1"/>
  <c r="N2064" i="1"/>
  <c r="M2064" i="1"/>
  <c r="L2064" i="1"/>
  <c r="J2064" i="1"/>
  <c r="K2064" i="1" s="1"/>
  <c r="O2063" i="1"/>
  <c r="N2063" i="1"/>
  <c r="M2063" i="1"/>
  <c r="L2063" i="1"/>
  <c r="J2063" i="1"/>
  <c r="K2063" i="1" s="1"/>
  <c r="O2062" i="1"/>
  <c r="N2062" i="1"/>
  <c r="M2062" i="1"/>
  <c r="L2062" i="1"/>
  <c r="J2062" i="1"/>
  <c r="K2062" i="1" s="1"/>
  <c r="O2061" i="1"/>
  <c r="N2061" i="1"/>
  <c r="M2061" i="1"/>
  <c r="L2061" i="1"/>
  <c r="J2061" i="1"/>
  <c r="K2061" i="1" s="1"/>
  <c r="O2060" i="1"/>
  <c r="N2060" i="1"/>
  <c r="M2060" i="1"/>
  <c r="L2060" i="1"/>
  <c r="J2060" i="1"/>
  <c r="K2060" i="1" s="1"/>
  <c r="O2059" i="1"/>
  <c r="N2059" i="1"/>
  <c r="M2059" i="1"/>
  <c r="L2059" i="1"/>
  <c r="J2059" i="1"/>
  <c r="K2059" i="1" s="1"/>
  <c r="O2058" i="1"/>
  <c r="N2058" i="1"/>
  <c r="M2058" i="1"/>
  <c r="L2058" i="1"/>
  <c r="J2058" i="1"/>
  <c r="K2058" i="1" s="1"/>
  <c r="O2057" i="1"/>
  <c r="N2057" i="1"/>
  <c r="M2057" i="1"/>
  <c r="L2057" i="1"/>
  <c r="J2057" i="1"/>
  <c r="K2057" i="1" s="1"/>
  <c r="O2056" i="1"/>
  <c r="N2056" i="1"/>
  <c r="M2056" i="1"/>
  <c r="L2056" i="1"/>
  <c r="J2056" i="1"/>
  <c r="K2056" i="1" s="1"/>
  <c r="O2055" i="1"/>
  <c r="N2055" i="1"/>
  <c r="M2055" i="1"/>
  <c r="L2055" i="1"/>
  <c r="J2055" i="1"/>
  <c r="K2055" i="1" s="1"/>
  <c r="O2054" i="1"/>
  <c r="N2054" i="1"/>
  <c r="M2054" i="1"/>
  <c r="L2054" i="1"/>
  <c r="J2054" i="1"/>
  <c r="K2054" i="1" s="1"/>
  <c r="O2053" i="1"/>
  <c r="N2053" i="1"/>
  <c r="M2053" i="1"/>
  <c r="L2053" i="1"/>
  <c r="J2053" i="1"/>
  <c r="K2053" i="1" s="1"/>
  <c r="O2052" i="1"/>
  <c r="N2052" i="1"/>
  <c r="M2052" i="1"/>
  <c r="L2052" i="1"/>
  <c r="J2052" i="1"/>
  <c r="K2052" i="1" s="1"/>
  <c r="O2051" i="1"/>
  <c r="N2051" i="1"/>
  <c r="M2051" i="1"/>
  <c r="L2051" i="1"/>
  <c r="J2051" i="1"/>
  <c r="K2051" i="1" s="1"/>
  <c r="O2050" i="1"/>
  <c r="N2050" i="1"/>
  <c r="M2050" i="1"/>
  <c r="L2050" i="1"/>
  <c r="J2050" i="1"/>
  <c r="K2050" i="1" s="1"/>
  <c r="O2049" i="1"/>
  <c r="N2049" i="1"/>
  <c r="M2049" i="1"/>
  <c r="L2049" i="1"/>
  <c r="J2049" i="1"/>
  <c r="K2049" i="1" s="1"/>
  <c r="O2048" i="1"/>
  <c r="N2048" i="1"/>
  <c r="M2048" i="1"/>
  <c r="L2048" i="1"/>
  <c r="J2048" i="1"/>
  <c r="K2048" i="1" s="1"/>
  <c r="O2047" i="1"/>
  <c r="N2047" i="1"/>
  <c r="M2047" i="1"/>
  <c r="L2047" i="1"/>
  <c r="J2047" i="1"/>
  <c r="K2047" i="1" s="1"/>
  <c r="O2046" i="1"/>
  <c r="N2046" i="1"/>
  <c r="M2046" i="1"/>
  <c r="L2046" i="1"/>
  <c r="J2046" i="1"/>
  <c r="K2046" i="1" s="1"/>
  <c r="O2045" i="1"/>
  <c r="N2045" i="1"/>
  <c r="M2045" i="1"/>
  <c r="L2045" i="1"/>
  <c r="J2045" i="1"/>
  <c r="K2045" i="1" s="1"/>
  <c r="O2044" i="1"/>
  <c r="N2044" i="1"/>
  <c r="M2044" i="1"/>
  <c r="L2044" i="1"/>
  <c r="J2044" i="1"/>
  <c r="K2044" i="1" s="1"/>
  <c r="O2043" i="1"/>
  <c r="N2043" i="1"/>
  <c r="M2043" i="1"/>
  <c r="L2043" i="1"/>
  <c r="J2043" i="1"/>
  <c r="K2043" i="1" s="1"/>
  <c r="O2042" i="1"/>
  <c r="N2042" i="1"/>
  <c r="M2042" i="1"/>
  <c r="L2042" i="1"/>
  <c r="J2042" i="1"/>
  <c r="K2042" i="1" s="1"/>
  <c r="O2041" i="1"/>
  <c r="N2041" i="1"/>
  <c r="M2041" i="1"/>
  <c r="L2041" i="1"/>
  <c r="J2041" i="1"/>
  <c r="K2041" i="1" s="1"/>
  <c r="O2040" i="1"/>
  <c r="N2040" i="1"/>
  <c r="M2040" i="1"/>
  <c r="L2040" i="1"/>
  <c r="J2040" i="1"/>
  <c r="K2040" i="1" s="1"/>
  <c r="O2039" i="1"/>
  <c r="N2039" i="1"/>
  <c r="M2039" i="1"/>
  <c r="L2039" i="1"/>
  <c r="J2039" i="1"/>
  <c r="K2039" i="1" s="1"/>
  <c r="O2038" i="1"/>
  <c r="N2038" i="1"/>
  <c r="M2038" i="1"/>
  <c r="L2038" i="1"/>
  <c r="J2038" i="1"/>
  <c r="K2038" i="1" s="1"/>
  <c r="O2037" i="1"/>
  <c r="N2037" i="1"/>
  <c r="M2037" i="1"/>
  <c r="L2037" i="1"/>
  <c r="J2037" i="1"/>
  <c r="K2037" i="1" s="1"/>
  <c r="O2036" i="1"/>
  <c r="N2036" i="1"/>
  <c r="M2036" i="1"/>
  <c r="L2036" i="1"/>
  <c r="J2036" i="1"/>
  <c r="K2036" i="1" s="1"/>
  <c r="O2035" i="1"/>
  <c r="N2035" i="1"/>
  <c r="M2035" i="1"/>
  <c r="L2035" i="1"/>
  <c r="J2035" i="1"/>
  <c r="K2035" i="1" s="1"/>
  <c r="O2034" i="1"/>
  <c r="N2034" i="1"/>
  <c r="M2034" i="1"/>
  <c r="L2034" i="1"/>
  <c r="J2034" i="1"/>
  <c r="K2034" i="1" s="1"/>
  <c r="O2033" i="1"/>
  <c r="N2033" i="1"/>
  <c r="M2033" i="1"/>
  <c r="L2033" i="1"/>
  <c r="J2033" i="1"/>
  <c r="K2033" i="1" s="1"/>
  <c r="O2032" i="1"/>
  <c r="N2032" i="1"/>
  <c r="M2032" i="1"/>
  <c r="L2032" i="1"/>
  <c r="J2032" i="1"/>
  <c r="K2032" i="1" s="1"/>
  <c r="O2031" i="1"/>
  <c r="N2031" i="1"/>
  <c r="M2031" i="1"/>
  <c r="L2031" i="1"/>
  <c r="J2031" i="1"/>
  <c r="K2031" i="1" s="1"/>
  <c r="O2030" i="1"/>
  <c r="N2030" i="1"/>
  <c r="M2030" i="1"/>
  <c r="L2030" i="1"/>
  <c r="J2030" i="1"/>
  <c r="K2030" i="1" s="1"/>
  <c r="O2029" i="1"/>
  <c r="N2029" i="1"/>
  <c r="M2029" i="1"/>
  <c r="L2029" i="1"/>
  <c r="J2029" i="1"/>
  <c r="K2029" i="1" s="1"/>
  <c r="O2028" i="1"/>
  <c r="N2028" i="1"/>
  <c r="M2028" i="1"/>
  <c r="L2028" i="1"/>
  <c r="J2028" i="1"/>
  <c r="K2028" i="1" s="1"/>
  <c r="O2027" i="1"/>
  <c r="N2027" i="1"/>
  <c r="M2027" i="1"/>
  <c r="L2027" i="1"/>
  <c r="J2027" i="1"/>
  <c r="K2027" i="1" s="1"/>
  <c r="O2026" i="1"/>
  <c r="N2026" i="1"/>
  <c r="M2026" i="1"/>
  <c r="L2026" i="1"/>
  <c r="J2026" i="1"/>
  <c r="K2026" i="1" s="1"/>
  <c r="O2025" i="1"/>
  <c r="N2025" i="1"/>
  <c r="M2025" i="1"/>
  <c r="L2025" i="1"/>
  <c r="J2025" i="1"/>
  <c r="K2025" i="1" s="1"/>
  <c r="O2024" i="1"/>
  <c r="N2024" i="1"/>
  <c r="M2024" i="1"/>
  <c r="L2024" i="1"/>
  <c r="J2024" i="1"/>
  <c r="K2024" i="1" s="1"/>
  <c r="O2023" i="1"/>
  <c r="N2023" i="1"/>
  <c r="M2023" i="1"/>
  <c r="L2023" i="1"/>
  <c r="J2023" i="1"/>
  <c r="K2023" i="1" s="1"/>
  <c r="O2022" i="1"/>
  <c r="N2022" i="1"/>
  <c r="M2022" i="1"/>
  <c r="L2022" i="1"/>
  <c r="J2022" i="1"/>
  <c r="K2022" i="1" s="1"/>
  <c r="O2021" i="1"/>
  <c r="N2021" i="1"/>
  <c r="M2021" i="1"/>
  <c r="L2021" i="1"/>
  <c r="J2021" i="1"/>
  <c r="K2021" i="1" s="1"/>
  <c r="O2020" i="1"/>
  <c r="N2020" i="1"/>
  <c r="M2020" i="1"/>
  <c r="L2020" i="1"/>
  <c r="J2020" i="1"/>
  <c r="K2020" i="1" s="1"/>
  <c r="O2019" i="1"/>
  <c r="N2019" i="1"/>
  <c r="M2019" i="1"/>
  <c r="L2019" i="1"/>
  <c r="J2019" i="1"/>
  <c r="K2019" i="1" s="1"/>
  <c r="O2018" i="1"/>
  <c r="N2018" i="1"/>
  <c r="M2018" i="1"/>
  <c r="L2018" i="1"/>
  <c r="J2018" i="1"/>
  <c r="K2018" i="1" s="1"/>
  <c r="O2017" i="1"/>
  <c r="N2017" i="1"/>
  <c r="M2017" i="1"/>
  <c r="L2017" i="1"/>
  <c r="J2017" i="1"/>
  <c r="K2017" i="1" s="1"/>
  <c r="O2016" i="1"/>
  <c r="N2016" i="1"/>
  <c r="M2016" i="1"/>
  <c r="L2016" i="1"/>
  <c r="J2016" i="1"/>
  <c r="K2016" i="1" s="1"/>
  <c r="O2015" i="1"/>
  <c r="N2015" i="1"/>
  <c r="M2015" i="1"/>
  <c r="L2015" i="1"/>
  <c r="J2015" i="1"/>
  <c r="K2015" i="1" s="1"/>
  <c r="O2014" i="1"/>
  <c r="N2014" i="1"/>
  <c r="M2014" i="1"/>
  <c r="L2014" i="1"/>
  <c r="J2014" i="1"/>
  <c r="K2014" i="1" s="1"/>
  <c r="O2013" i="1"/>
  <c r="N2013" i="1"/>
  <c r="M2013" i="1"/>
  <c r="L2013" i="1"/>
  <c r="J2013" i="1"/>
  <c r="K2013" i="1" s="1"/>
  <c r="O2012" i="1"/>
  <c r="N2012" i="1"/>
  <c r="M2012" i="1"/>
  <c r="L2012" i="1"/>
  <c r="J2012" i="1"/>
  <c r="K2012" i="1" s="1"/>
  <c r="O2011" i="1"/>
  <c r="N2011" i="1"/>
  <c r="M2011" i="1"/>
  <c r="L2011" i="1"/>
  <c r="J2011" i="1"/>
  <c r="K2011" i="1" s="1"/>
  <c r="O2010" i="1"/>
  <c r="N2010" i="1"/>
  <c r="M2010" i="1"/>
  <c r="L2010" i="1"/>
  <c r="J2010" i="1"/>
  <c r="K2010" i="1" s="1"/>
  <c r="O2009" i="1"/>
  <c r="N2009" i="1"/>
  <c r="M2009" i="1"/>
  <c r="L2009" i="1"/>
  <c r="J2009" i="1"/>
  <c r="K2009" i="1" s="1"/>
  <c r="O2008" i="1"/>
  <c r="N2008" i="1"/>
  <c r="M2008" i="1"/>
  <c r="L2008" i="1"/>
  <c r="J2008" i="1"/>
  <c r="K2008" i="1" s="1"/>
  <c r="O2007" i="1"/>
  <c r="N2007" i="1"/>
  <c r="M2007" i="1"/>
  <c r="L2007" i="1"/>
  <c r="J2007" i="1"/>
  <c r="K2007" i="1" s="1"/>
  <c r="O2006" i="1"/>
  <c r="N2006" i="1"/>
  <c r="M2006" i="1"/>
  <c r="L2006" i="1"/>
  <c r="J2006" i="1"/>
  <c r="K2006" i="1" s="1"/>
  <c r="O2005" i="1"/>
  <c r="N2005" i="1"/>
  <c r="M2005" i="1"/>
  <c r="L2005" i="1"/>
  <c r="J2005" i="1"/>
  <c r="K2005" i="1" s="1"/>
  <c r="O2004" i="1"/>
  <c r="N2004" i="1"/>
  <c r="M2004" i="1"/>
  <c r="L2004" i="1"/>
  <c r="J2004" i="1"/>
  <c r="K2004" i="1" s="1"/>
  <c r="O2003" i="1"/>
  <c r="N2003" i="1"/>
  <c r="M2003" i="1"/>
  <c r="L2003" i="1"/>
  <c r="J2003" i="1"/>
  <c r="K2003" i="1" s="1"/>
  <c r="O2002" i="1"/>
  <c r="N2002" i="1"/>
  <c r="M2002" i="1"/>
  <c r="L2002" i="1"/>
  <c r="J2002" i="1"/>
  <c r="K2002" i="1" s="1"/>
  <c r="O2001" i="1"/>
  <c r="N2001" i="1"/>
  <c r="M2001" i="1"/>
  <c r="L2001" i="1"/>
  <c r="J2001" i="1"/>
  <c r="K2001" i="1" s="1"/>
  <c r="O2000" i="1"/>
  <c r="N2000" i="1"/>
  <c r="M2000" i="1"/>
  <c r="L2000" i="1"/>
  <c r="J2000" i="1"/>
  <c r="K2000" i="1" s="1"/>
  <c r="O1999" i="1"/>
  <c r="N1999" i="1"/>
  <c r="M1999" i="1"/>
  <c r="L1999" i="1"/>
  <c r="J1999" i="1"/>
  <c r="K1999" i="1" s="1"/>
  <c r="O1998" i="1"/>
  <c r="N1998" i="1"/>
  <c r="M1998" i="1"/>
  <c r="L1998" i="1"/>
  <c r="J1998" i="1"/>
  <c r="K1998" i="1" s="1"/>
  <c r="O1997" i="1"/>
  <c r="N1997" i="1"/>
  <c r="M1997" i="1"/>
  <c r="L1997" i="1"/>
  <c r="J1997" i="1"/>
  <c r="K1997" i="1" s="1"/>
  <c r="O1996" i="1"/>
  <c r="N1996" i="1"/>
  <c r="M1996" i="1"/>
  <c r="L1996" i="1"/>
  <c r="J1996" i="1"/>
  <c r="K1996" i="1" s="1"/>
  <c r="O1995" i="1"/>
  <c r="N1995" i="1"/>
  <c r="M1995" i="1"/>
  <c r="L1995" i="1"/>
  <c r="J1995" i="1"/>
  <c r="K1995" i="1" s="1"/>
  <c r="O1994" i="1"/>
  <c r="N1994" i="1"/>
  <c r="M1994" i="1"/>
  <c r="L1994" i="1"/>
  <c r="J1994" i="1"/>
  <c r="K1994" i="1" s="1"/>
  <c r="O1993" i="1"/>
  <c r="N1993" i="1"/>
  <c r="M1993" i="1"/>
  <c r="L1993" i="1"/>
  <c r="J1993" i="1"/>
  <c r="K1993" i="1" s="1"/>
  <c r="O1992" i="1"/>
  <c r="N1992" i="1"/>
  <c r="M1992" i="1"/>
  <c r="L1992" i="1"/>
  <c r="J1992" i="1"/>
  <c r="K1992" i="1" s="1"/>
  <c r="O1991" i="1"/>
  <c r="N1991" i="1"/>
  <c r="M1991" i="1"/>
  <c r="L1991" i="1"/>
  <c r="J1991" i="1"/>
  <c r="K1991" i="1" s="1"/>
  <c r="O1990" i="1"/>
  <c r="N1990" i="1"/>
  <c r="M1990" i="1"/>
  <c r="L1990" i="1"/>
  <c r="J1990" i="1"/>
  <c r="K1990" i="1" s="1"/>
  <c r="O1989" i="1"/>
  <c r="N1989" i="1"/>
  <c r="M1989" i="1"/>
  <c r="L1989" i="1"/>
  <c r="J1989" i="1"/>
  <c r="K1989" i="1" s="1"/>
  <c r="O1988" i="1"/>
  <c r="N1988" i="1"/>
  <c r="M1988" i="1"/>
  <c r="L1988" i="1"/>
  <c r="J1988" i="1"/>
  <c r="K1988" i="1" s="1"/>
  <c r="O1987" i="1"/>
  <c r="N1987" i="1"/>
  <c r="M1987" i="1"/>
  <c r="L1987" i="1"/>
  <c r="J1987" i="1"/>
  <c r="K1987" i="1" s="1"/>
  <c r="O1986" i="1"/>
  <c r="N1986" i="1"/>
  <c r="M1986" i="1"/>
  <c r="L1986" i="1"/>
  <c r="J1986" i="1"/>
  <c r="K1986" i="1" s="1"/>
  <c r="O1985" i="1"/>
  <c r="N1985" i="1"/>
  <c r="M1985" i="1"/>
  <c r="L1985" i="1"/>
  <c r="J1985" i="1"/>
  <c r="K1985" i="1" s="1"/>
  <c r="O1984" i="1"/>
  <c r="N1984" i="1"/>
  <c r="M1984" i="1"/>
  <c r="L1984" i="1"/>
  <c r="J1984" i="1"/>
  <c r="K1984" i="1" s="1"/>
  <c r="O1983" i="1"/>
  <c r="N1983" i="1"/>
  <c r="M1983" i="1"/>
  <c r="L1983" i="1"/>
  <c r="J1983" i="1"/>
  <c r="K1983" i="1" s="1"/>
  <c r="O1982" i="1"/>
  <c r="N1982" i="1"/>
  <c r="M1982" i="1"/>
  <c r="L1982" i="1"/>
  <c r="J1982" i="1"/>
  <c r="K1982" i="1" s="1"/>
  <c r="O1981" i="1"/>
  <c r="N1981" i="1"/>
  <c r="M1981" i="1"/>
  <c r="L1981" i="1"/>
  <c r="J1981" i="1"/>
  <c r="K1981" i="1" s="1"/>
  <c r="O1980" i="1"/>
  <c r="N1980" i="1"/>
  <c r="M1980" i="1"/>
  <c r="L1980" i="1"/>
  <c r="J1980" i="1"/>
  <c r="K1980" i="1" s="1"/>
  <c r="O1979" i="1"/>
  <c r="N1979" i="1"/>
  <c r="M1979" i="1"/>
  <c r="L1979" i="1"/>
  <c r="J1979" i="1"/>
  <c r="K1979" i="1" s="1"/>
  <c r="O1978" i="1"/>
  <c r="N1978" i="1"/>
  <c r="M1978" i="1"/>
  <c r="L1978" i="1"/>
  <c r="J1978" i="1"/>
  <c r="K1978" i="1" s="1"/>
  <c r="O1977" i="1"/>
  <c r="N1977" i="1"/>
  <c r="M1977" i="1"/>
  <c r="L1977" i="1"/>
  <c r="J1977" i="1"/>
  <c r="K1977" i="1" s="1"/>
  <c r="O1976" i="1"/>
  <c r="N1976" i="1"/>
  <c r="M1976" i="1"/>
  <c r="L1976" i="1"/>
  <c r="J1976" i="1"/>
  <c r="K1976" i="1" s="1"/>
  <c r="O1975" i="1"/>
  <c r="N1975" i="1"/>
  <c r="M1975" i="1"/>
  <c r="L1975" i="1"/>
  <c r="J1975" i="1"/>
  <c r="K1975" i="1" s="1"/>
  <c r="O1974" i="1"/>
  <c r="N1974" i="1"/>
  <c r="M1974" i="1"/>
  <c r="L1974" i="1"/>
  <c r="J1974" i="1"/>
  <c r="K1974" i="1" s="1"/>
  <c r="O1973" i="1"/>
  <c r="N1973" i="1"/>
  <c r="M1973" i="1"/>
  <c r="L1973" i="1"/>
  <c r="J1973" i="1"/>
  <c r="K1973" i="1" s="1"/>
  <c r="O1972" i="1"/>
  <c r="N1972" i="1"/>
  <c r="M1972" i="1"/>
  <c r="L1972" i="1"/>
  <c r="J1972" i="1"/>
  <c r="K1972" i="1" s="1"/>
  <c r="O1971" i="1"/>
  <c r="N1971" i="1"/>
  <c r="M1971" i="1"/>
  <c r="L1971" i="1"/>
  <c r="J1971" i="1"/>
  <c r="K1971" i="1" s="1"/>
  <c r="O1970" i="1"/>
  <c r="N1970" i="1"/>
  <c r="M1970" i="1"/>
  <c r="L1970" i="1"/>
  <c r="J1970" i="1"/>
  <c r="K1970" i="1" s="1"/>
  <c r="O1969" i="1"/>
  <c r="N1969" i="1"/>
  <c r="M1969" i="1"/>
  <c r="L1969" i="1"/>
  <c r="J1969" i="1"/>
  <c r="K1969" i="1" s="1"/>
  <c r="O1968" i="1"/>
  <c r="N1968" i="1"/>
  <c r="M1968" i="1"/>
  <c r="L1968" i="1"/>
  <c r="J1968" i="1"/>
  <c r="K1968" i="1" s="1"/>
  <c r="O1967" i="1"/>
  <c r="N1967" i="1"/>
  <c r="M1967" i="1"/>
  <c r="L1967" i="1"/>
  <c r="J1967" i="1"/>
  <c r="K1967" i="1" s="1"/>
  <c r="O1966" i="1"/>
  <c r="N1966" i="1"/>
  <c r="M1966" i="1"/>
  <c r="L1966" i="1"/>
  <c r="J1966" i="1"/>
  <c r="K1966" i="1" s="1"/>
  <c r="O1965" i="1"/>
  <c r="N1965" i="1"/>
  <c r="M1965" i="1"/>
  <c r="L1965" i="1"/>
  <c r="J1965" i="1"/>
  <c r="K1965" i="1" s="1"/>
  <c r="O1964" i="1"/>
  <c r="N1964" i="1"/>
  <c r="M1964" i="1"/>
  <c r="L1964" i="1"/>
  <c r="J1964" i="1"/>
  <c r="K1964" i="1" s="1"/>
  <c r="O1963" i="1"/>
  <c r="N1963" i="1"/>
  <c r="M1963" i="1"/>
  <c r="L1963" i="1"/>
  <c r="J1963" i="1"/>
  <c r="K1963" i="1" s="1"/>
  <c r="O1962" i="1"/>
  <c r="N1962" i="1"/>
  <c r="M1962" i="1"/>
  <c r="L1962" i="1"/>
  <c r="J1962" i="1"/>
  <c r="K1962" i="1" s="1"/>
  <c r="O1961" i="1"/>
  <c r="N1961" i="1"/>
  <c r="M1961" i="1"/>
  <c r="L1961" i="1"/>
  <c r="J1961" i="1"/>
  <c r="K1961" i="1" s="1"/>
  <c r="O1960" i="1"/>
  <c r="N1960" i="1"/>
  <c r="M1960" i="1"/>
  <c r="L1960" i="1"/>
  <c r="J1960" i="1"/>
  <c r="K1960" i="1" s="1"/>
  <c r="O1959" i="1"/>
  <c r="N1959" i="1"/>
  <c r="M1959" i="1"/>
  <c r="L1959" i="1"/>
  <c r="J1959" i="1"/>
  <c r="K1959" i="1" s="1"/>
  <c r="O1958" i="1"/>
  <c r="N1958" i="1"/>
  <c r="M1958" i="1"/>
  <c r="L1958" i="1"/>
  <c r="J1958" i="1"/>
  <c r="K1958" i="1" s="1"/>
  <c r="O1957" i="1"/>
  <c r="N1957" i="1"/>
  <c r="M1957" i="1"/>
  <c r="L1957" i="1"/>
  <c r="J1957" i="1"/>
  <c r="K1957" i="1" s="1"/>
  <c r="O1956" i="1"/>
  <c r="N1956" i="1"/>
  <c r="M1956" i="1"/>
  <c r="L1956" i="1"/>
  <c r="J1956" i="1"/>
  <c r="K1956" i="1" s="1"/>
  <c r="O1955" i="1"/>
  <c r="N1955" i="1"/>
  <c r="M1955" i="1"/>
  <c r="L1955" i="1"/>
  <c r="J1955" i="1"/>
  <c r="K1955" i="1" s="1"/>
  <c r="O1954" i="1"/>
  <c r="N1954" i="1"/>
  <c r="M1954" i="1"/>
  <c r="L1954" i="1"/>
  <c r="J1954" i="1"/>
  <c r="K1954" i="1" s="1"/>
  <c r="O1953" i="1"/>
  <c r="N1953" i="1"/>
  <c r="M1953" i="1"/>
  <c r="L1953" i="1"/>
  <c r="J1953" i="1"/>
  <c r="K1953" i="1" s="1"/>
  <c r="O1952" i="1"/>
  <c r="N1952" i="1"/>
  <c r="M1952" i="1"/>
  <c r="L1952" i="1"/>
  <c r="J1952" i="1"/>
  <c r="K1952" i="1" s="1"/>
  <c r="O1951" i="1"/>
  <c r="N1951" i="1"/>
  <c r="M1951" i="1"/>
  <c r="L1951" i="1"/>
  <c r="J1951" i="1"/>
  <c r="K1951" i="1" s="1"/>
  <c r="O1950" i="1"/>
  <c r="N1950" i="1"/>
  <c r="M1950" i="1"/>
  <c r="L1950" i="1"/>
  <c r="J1950" i="1"/>
  <c r="K1950" i="1" s="1"/>
  <c r="O1949" i="1"/>
  <c r="N1949" i="1"/>
  <c r="M1949" i="1"/>
  <c r="L1949" i="1"/>
  <c r="J1949" i="1"/>
  <c r="K1949" i="1" s="1"/>
  <c r="O1948" i="1"/>
  <c r="N1948" i="1"/>
  <c r="M1948" i="1"/>
  <c r="L1948" i="1"/>
  <c r="J1948" i="1"/>
  <c r="K1948" i="1" s="1"/>
  <c r="O1947" i="1"/>
  <c r="N1947" i="1"/>
  <c r="M1947" i="1"/>
  <c r="L1947" i="1"/>
  <c r="J1947" i="1"/>
  <c r="K1947" i="1" s="1"/>
  <c r="O1946" i="1"/>
  <c r="N1946" i="1"/>
  <c r="M1946" i="1"/>
  <c r="L1946" i="1"/>
  <c r="J1946" i="1"/>
  <c r="K1946" i="1" s="1"/>
  <c r="O1945" i="1"/>
  <c r="N1945" i="1"/>
  <c r="M1945" i="1"/>
  <c r="L1945" i="1"/>
  <c r="J1945" i="1"/>
  <c r="K1945" i="1" s="1"/>
  <c r="O1944" i="1"/>
  <c r="N1944" i="1"/>
  <c r="M1944" i="1"/>
  <c r="L1944" i="1"/>
  <c r="J1944" i="1"/>
  <c r="K1944" i="1" s="1"/>
  <c r="O1943" i="1"/>
  <c r="N1943" i="1"/>
  <c r="M1943" i="1"/>
  <c r="L1943" i="1"/>
  <c r="J1943" i="1"/>
  <c r="K1943" i="1" s="1"/>
  <c r="O1942" i="1"/>
  <c r="N1942" i="1"/>
  <c r="M1942" i="1"/>
  <c r="L1942" i="1"/>
  <c r="J1942" i="1"/>
  <c r="K1942" i="1" s="1"/>
  <c r="O1941" i="1"/>
  <c r="N1941" i="1"/>
  <c r="M1941" i="1"/>
  <c r="L1941" i="1"/>
  <c r="J1941" i="1"/>
  <c r="K1941" i="1" s="1"/>
  <c r="O1940" i="1"/>
  <c r="N1940" i="1"/>
  <c r="M1940" i="1"/>
  <c r="L1940" i="1"/>
  <c r="J1940" i="1"/>
  <c r="K1940" i="1" s="1"/>
  <c r="O1939" i="1"/>
  <c r="N1939" i="1"/>
  <c r="M1939" i="1"/>
  <c r="L1939" i="1"/>
  <c r="J1939" i="1"/>
  <c r="K1939" i="1" s="1"/>
  <c r="O1938" i="1"/>
  <c r="N1938" i="1"/>
  <c r="M1938" i="1"/>
  <c r="L1938" i="1"/>
  <c r="J1938" i="1"/>
  <c r="K1938" i="1" s="1"/>
  <c r="O1937" i="1"/>
  <c r="N1937" i="1"/>
  <c r="M1937" i="1"/>
  <c r="L1937" i="1"/>
  <c r="J1937" i="1"/>
  <c r="K1937" i="1" s="1"/>
  <c r="O1936" i="1"/>
  <c r="N1936" i="1"/>
  <c r="M1936" i="1"/>
  <c r="L1936" i="1"/>
  <c r="J1936" i="1"/>
  <c r="K1936" i="1" s="1"/>
  <c r="O1935" i="1"/>
  <c r="N1935" i="1"/>
  <c r="M1935" i="1"/>
  <c r="L1935" i="1"/>
  <c r="J1935" i="1"/>
  <c r="K1935" i="1" s="1"/>
  <c r="O1934" i="1"/>
  <c r="N1934" i="1"/>
  <c r="M1934" i="1"/>
  <c r="L1934" i="1"/>
  <c r="J1934" i="1"/>
  <c r="K1934" i="1" s="1"/>
  <c r="O1933" i="1"/>
  <c r="N1933" i="1"/>
  <c r="M1933" i="1"/>
  <c r="L1933" i="1"/>
  <c r="J1933" i="1"/>
  <c r="K1933" i="1" s="1"/>
  <c r="O1932" i="1"/>
  <c r="N1932" i="1"/>
  <c r="M1932" i="1"/>
  <c r="L1932" i="1"/>
  <c r="J1932" i="1"/>
  <c r="K1932" i="1" s="1"/>
  <c r="O1931" i="1"/>
  <c r="N1931" i="1"/>
  <c r="M1931" i="1"/>
  <c r="L1931" i="1"/>
  <c r="J1931" i="1"/>
  <c r="K1931" i="1" s="1"/>
  <c r="O1930" i="1"/>
  <c r="N1930" i="1"/>
  <c r="M1930" i="1"/>
  <c r="L1930" i="1"/>
  <c r="J1930" i="1"/>
  <c r="K1930" i="1" s="1"/>
  <c r="O1929" i="1"/>
  <c r="N1929" i="1"/>
  <c r="M1929" i="1"/>
  <c r="L1929" i="1"/>
  <c r="J1929" i="1"/>
  <c r="K1929" i="1" s="1"/>
  <c r="O1928" i="1"/>
  <c r="N1928" i="1"/>
  <c r="M1928" i="1"/>
  <c r="L1928" i="1"/>
  <c r="J1928" i="1"/>
  <c r="K1928" i="1" s="1"/>
  <c r="O1927" i="1"/>
  <c r="N1927" i="1"/>
  <c r="M1927" i="1"/>
  <c r="L1927" i="1"/>
  <c r="J1927" i="1"/>
  <c r="K1927" i="1" s="1"/>
  <c r="O1926" i="1"/>
  <c r="N1926" i="1"/>
  <c r="M1926" i="1"/>
  <c r="L1926" i="1"/>
  <c r="J1926" i="1"/>
  <c r="K1926" i="1" s="1"/>
  <c r="O1925" i="1"/>
  <c r="N1925" i="1"/>
  <c r="M1925" i="1"/>
  <c r="L1925" i="1"/>
  <c r="J1925" i="1"/>
  <c r="K1925" i="1" s="1"/>
  <c r="O1924" i="1"/>
  <c r="N1924" i="1"/>
  <c r="M1924" i="1"/>
  <c r="L1924" i="1"/>
  <c r="J1924" i="1"/>
  <c r="K1924" i="1" s="1"/>
  <c r="O1923" i="1"/>
  <c r="N1923" i="1"/>
  <c r="M1923" i="1"/>
  <c r="L1923" i="1"/>
  <c r="J1923" i="1"/>
  <c r="K1923" i="1" s="1"/>
  <c r="O1922" i="1"/>
  <c r="N1922" i="1"/>
  <c r="M1922" i="1"/>
  <c r="L1922" i="1"/>
  <c r="J1922" i="1"/>
  <c r="K1922" i="1" s="1"/>
  <c r="O1921" i="1"/>
  <c r="N1921" i="1"/>
  <c r="M1921" i="1"/>
  <c r="L1921" i="1"/>
  <c r="J1921" i="1"/>
  <c r="K1921" i="1" s="1"/>
  <c r="O1920" i="1"/>
  <c r="N1920" i="1"/>
  <c r="M1920" i="1"/>
  <c r="L1920" i="1"/>
  <c r="J1920" i="1"/>
  <c r="K1920" i="1" s="1"/>
  <c r="O1919" i="1"/>
  <c r="N1919" i="1"/>
  <c r="M1919" i="1"/>
  <c r="L1919" i="1"/>
  <c r="J1919" i="1"/>
  <c r="K1919" i="1" s="1"/>
  <c r="O1918" i="1"/>
  <c r="N1918" i="1"/>
  <c r="M1918" i="1"/>
  <c r="L1918" i="1"/>
  <c r="J1918" i="1"/>
  <c r="K1918" i="1" s="1"/>
  <c r="O1917" i="1"/>
  <c r="N1917" i="1"/>
  <c r="M1917" i="1"/>
  <c r="L1917" i="1"/>
  <c r="J1917" i="1"/>
  <c r="K1917" i="1" s="1"/>
  <c r="O1916" i="1"/>
  <c r="N1916" i="1"/>
  <c r="M1916" i="1"/>
  <c r="L1916" i="1"/>
  <c r="J1916" i="1"/>
  <c r="K1916" i="1" s="1"/>
  <c r="O1915" i="1"/>
  <c r="N1915" i="1"/>
  <c r="M1915" i="1"/>
  <c r="L1915" i="1"/>
  <c r="J1915" i="1"/>
  <c r="K1915" i="1" s="1"/>
  <c r="O1914" i="1"/>
  <c r="N1914" i="1"/>
  <c r="M1914" i="1"/>
  <c r="L1914" i="1"/>
  <c r="J1914" i="1"/>
  <c r="K1914" i="1" s="1"/>
  <c r="O1913" i="1"/>
  <c r="N1913" i="1"/>
  <c r="M1913" i="1"/>
  <c r="L1913" i="1"/>
  <c r="J1913" i="1"/>
  <c r="K1913" i="1" s="1"/>
  <c r="O1912" i="1"/>
  <c r="N1912" i="1"/>
  <c r="M1912" i="1"/>
  <c r="L1912" i="1"/>
  <c r="J1912" i="1"/>
  <c r="K1912" i="1" s="1"/>
  <c r="O1911" i="1"/>
  <c r="N1911" i="1"/>
  <c r="M1911" i="1"/>
  <c r="L1911" i="1"/>
  <c r="J1911" i="1"/>
  <c r="K1911" i="1" s="1"/>
  <c r="O1910" i="1"/>
  <c r="N1910" i="1"/>
  <c r="M1910" i="1"/>
  <c r="L1910" i="1"/>
  <c r="J1910" i="1"/>
  <c r="K1910" i="1" s="1"/>
  <c r="O1909" i="1"/>
  <c r="N1909" i="1"/>
  <c r="M1909" i="1"/>
  <c r="L1909" i="1"/>
  <c r="J1909" i="1"/>
  <c r="K1909" i="1" s="1"/>
  <c r="O1908" i="1"/>
  <c r="N1908" i="1"/>
  <c r="M1908" i="1"/>
  <c r="L1908" i="1"/>
  <c r="J1908" i="1"/>
  <c r="K1908" i="1" s="1"/>
  <c r="O1907" i="1"/>
  <c r="N1907" i="1"/>
  <c r="M1907" i="1"/>
  <c r="L1907" i="1"/>
  <c r="J1907" i="1"/>
  <c r="K1907" i="1" s="1"/>
  <c r="O1906" i="1"/>
  <c r="N1906" i="1"/>
  <c r="M1906" i="1"/>
  <c r="L1906" i="1"/>
  <c r="J1906" i="1"/>
  <c r="K1906" i="1" s="1"/>
  <c r="O1905" i="1"/>
  <c r="N1905" i="1"/>
  <c r="M1905" i="1"/>
  <c r="L1905" i="1"/>
  <c r="J1905" i="1"/>
  <c r="K1905" i="1" s="1"/>
  <c r="O1904" i="1"/>
  <c r="N1904" i="1"/>
  <c r="M1904" i="1"/>
  <c r="L1904" i="1"/>
  <c r="J1904" i="1"/>
  <c r="K1904" i="1" s="1"/>
  <c r="O1903" i="1"/>
  <c r="N1903" i="1"/>
  <c r="M1903" i="1"/>
  <c r="L1903" i="1"/>
  <c r="J1903" i="1"/>
  <c r="K1903" i="1" s="1"/>
  <c r="O1902" i="1"/>
  <c r="N1902" i="1"/>
  <c r="M1902" i="1"/>
  <c r="L1902" i="1"/>
  <c r="J1902" i="1"/>
  <c r="K1902" i="1" s="1"/>
  <c r="O1901" i="1"/>
  <c r="N1901" i="1"/>
  <c r="M1901" i="1"/>
  <c r="L1901" i="1"/>
  <c r="J1901" i="1"/>
  <c r="K1901" i="1" s="1"/>
  <c r="O1900" i="1"/>
  <c r="N1900" i="1"/>
  <c r="M1900" i="1"/>
  <c r="L1900" i="1"/>
  <c r="J1900" i="1"/>
  <c r="K1900" i="1" s="1"/>
  <c r="O1899" i="1"/>
  <c r="N1899" i="1"/>
  <c r="M1899" i="1"/>
  <c r="L1899" i="1"/>
  <c r="J1899" i="1"/>
  <c r="K1899" i="1" s="1"/>
  <c r="O1898" i="1"/>
  <c r="N1898" i="1"/>
  <c r="M1898" i="1"/>
  <c r="L1898" i="1"/>
  <c r="J1898" i="1"/>
  <c r="K1898" i="1" s="1"/>
  <c r="O1897" i="1"/>
  <c r="N1897" i="1"/>
  <c r="M1897" i="1"/>
  <c r="L1897" i="1"/>
  <c r="J1897" i="1"/>
  <c r="K1897" i="1" s="1"/>
  <c r="O1896" i="1"/>
  <c r="N1896" i="1"/>
  <c r="M1896" i="1"/>
  <c r="L1896" i="1"/>
  <c r="J1896" i="1"/>
  <c r="K1896" i="1" s="1"/>
  <c r="O1895" i="1"/>
  <c r="N1895" i="1"/>
  <c r="M1895" i="1"/>
  <c r="L1895" i="1"/>
  <c r="J1895" i="1"/>
  <c r="K1895" i="1" s="1"/>
  <c r="O1894" i="1"/>
  <c r="N1894" i="1"/>
  <c r="M1894" i="1"/>
  <c r="L1894" i="1"/>
  <c r="J1894" i="1"/>
  <c r="K1894" i="1" s="1"/>
  <c r="O1893" i="1"/>
  <c r="N1893" i="1"/>
  <c r="M1893" i="1"/>
  <c r="L1893" i="1"/>
  <c r="J1893" i="1"/>
  <c r="K1893" i="1" s="1"/>
  <c r="O1892" i="1"/>
  <c r="N1892" i="1"/>
  <c r="M1892" i="1"/>
  <c r="L1892" i="1"/>
  <c r="J1892" i="1"/>
  <c r="K1892" i="1" s="1"/>
  <c r="O1891" i="1"/>
  <c r="N1891" i="1"/>
  <c r="M1891" i="1"/>
  <c r="L1891" i="1"/>
  <c r="J1891" i="1"/>
  <c r="K1891" i="1" s="1"/>
  <c r="O1890" i="1"/>
  <c r="N1890" i="1"/>
  <c r="M1890" i="1"/>
  <c r="L1890" i="1"/>
  <c r="J1890" i="1"/>
  <c r="K1890" i="1" s="1"/>
  <c r="O1889" i="1"/>
  <c r="N1889" i="1"/>
  <c r="M1889" i="1"/>
  <c r="L1889" i="1"/>
  <c r="J1889" i="1"/>
  <c r="K1889" i="1" s="1"/>
  <c r="O1888" i="1"/>
  <c r="N1888" i="1"/>
  <c r="M1888" i="1"/>
  <c r="L1888" i="1"/>
  <c r="J1888" i="1"/>
  <c r="K1888" i="1" s="1"/>
  <c r="O1887" i="1"/>
  <c r="N1887" i="1"/>
  <c r="M1887" i="1"/>
  <c r="L1887" i="1"/>
  <c r="J1887" i="1"/>
  <c r="K1887" i="1" s="1"/>
  <c r="O1886" i="1"/>
  <c r="N1886" i="1"/>
  <c r="M1886" i="1"/>
  <c r="L1886" i="1"/>
  <c r="J1886" i="1"/>
  <c r="K1886" i="1" s="1"/>
  <c r="O1885" i="1"/>
  <c r="N1885" i="1"/>
  <c r="M1885" i="1"/>
  <c r="L1885" i="1"/>
  <c r="J1885" i="1"/>
  <c r="K1885" i="1" s="1"/>
  <c r="O1884" i="1"/>
  <c r="N1884" i="1"/>
  <c r="M1884" i="1"/>
  <c r="L1884" i="1"/>
  <c r="J1884" i="1"/>
  <c r="K1884" i="1" s="1"/>
  <c r="O1883" i="1"/>
  <c r="N1883" i="1"/>
  <c r="M1883" i="1"/>
  <c r="L1883" i="1"/>
  <c r="J1883" i="1"/>
  <c r="K1883" i="1" s="1"/>
  <c r="O1882" i="1"/>
  <c r="N1882" i="1"/>
  <c r="M1882" i="1"/>
  <c r="L1882" i="1"/>
  <c r="J1882" i="1"/>
  <c r="K1882" i="1" s="1"/>
  <c r="O1881" i="1"/>
  <c r="N1881" i="1"/>
  <c r="M1881" i="1"/>
  <c r="L1881" i="1"/>
  <c r="J1881" i="1"/>
  <c r="K1881" i="1" s="1"/>
  <c r="O1880" i="1"/>
  <c r="N1880" i="1"/>
  <c r="M1880" i="1"/>
  <c r="L1880" i="1"/>
  <c r="J1880" i="1"/>
  <c r="K1880" i="1" s="1"/>
  <c r="O1879" i="1"/>
  <c r="N1879" i="1"/>
  <c r="M1879" i="1"/>
  <c r="L1879" i="1"/>
  <c r="J1879" i="1"/>
  <c r="K1879" i="1" s="1"/>
  <c r="O1878" i="1"/>
  <c r="N1878" i="1"/>
  <c r="M1878" i="1"/>
  <c r="L1878" i="1"/>
  <c r="J1878" i="1"/>
  <c r="K1878" i="1" s="1"/>
  <c r="O1877" i="1"/>
  <c r="N1877" i="1"/>
  <c r="M1877" i="1"/>
  <c r="L1877" i="1"/>
  <c r="J1877" i="1"/>
  <c r="K1877" i="1" s="1"/>
  <c r="O1876" i="1"/>
  <c r="N1876" i="1"/>
  <c r="M1876" i="1"/>
  <c r="L1876" i="1"/>
  <c r="J1876" i="1"/>
  <c r="K1876" i="1" s="1"/>
  <c r="O1875" i="1"/>
  <c r="N1875" i="1"/>
  <c r="M1875" i="1"/>
  <c r="L1875" i="1"/>
  <c r="J1875" i="1"/>
  <c r="K1875" i="1" s="1"/>
  <c r="O1874" i="1"/>
  <c r="N1874" i="1"/>
  <c r="M1874" i="1"/>
  <c r="L1874" i="1"/>
  <c r="J1874" i="1"/>
  <c r="K1874" i="1" s="1"/>
  <c r="O1873" i="1"/>
  <c r="N1873" i="1"/>
  <c r="M1873" i="1"/>
  <c r="L1873" i="1"/>
  <c r="J1873" i="1"/>
  <c r="K1873" i="1" s="1"/>
  <c r="O1872" i="1"/>
  <c r="N1872" i="1"/>
  <c r="M1872" i="1"/>
  <c r="L1872" i="1"/>
  <c r="J1872" i="1"/>
  <c r="K1872" i="1" s="1"/>
  <c r="O1871" i="1"/>
  <c r="N1871" i="1"/>
  <c r="M1871" i="1"/>
  <c r="L1871" i="1"/>
  <c r="J1871" i="1"/>
  <c r="K1871" i="1" s="1"/>
  <c r="O1870" i="1"/>
  <c r="N1870" i="1"/>
  <c r="M1870" i="1"/>
  <c r="L1870" i="1"/>
  <c r="J1870" i="1"/>
  <c r="K1870" i="1" s="1"/>
  <c r="O1869" i="1"/>
  <c r="N1869" i="1"/>
  <c r="M1869" i="1"/>
  <c r="L1869" i="1"/>
  <c r="J1869" i="1"/>
  <c r="K1869" i="1" s="1"/>
  <c r="O1868" i="1"/>
  <c r="N1868" i="1"/>
  <c r="M1868" i="1"/>
  <c r="L1868" i="1"/>
  <c r="J1868" i="1"/>
  <c r="K1868" i="1" s="1"/>
  <c r="O1867" i="1"/>
  <c r="N1867" i="1"/>
  <c r="M1867" i="1"/>
  <c r="L1867" i="1"/>
  <c r="J1867" i="1"/>
  <c r="K1867" i="1" s="1"/>
  <c r="O1866" i="1"/>
  <c r="N1866" i="1"/>
  <c r="M1866" i="1"/>
  <c r="L1866" i="1"/>
  <c r="J1866" i="1"/>
  <c r="K1866" i="1" s="1"/>
  <c r="O1865" i="1"/>
  <c r="N1865" i="1"/>
  <c r="M1865" i="1"/>
  <c r="L1865" i="1"/>
  <c r="J1865" i="1"/>
  <c r="K1865" i="1" s="1"/>
  <c r="O1864" i="1"/>
  <c r="N1864" i="1"/>
  <c r="M1864" i="1"/>
  <c r="L1864" i="1"/>
  <c r="J1864" i="1"/>
  <c r="K1864" i="1" s="1"/>
  <c r="O1863" i="1"/>
  <c r="N1863" i="1"/>
  <c r="M1863" i="1"/>
  <c r="L1863" i="1"/>
  <c r="J1863" i="1"/>
  <c r="K1863" i="1" s="1"/>
  <c r="O1862" i="1"/>
  <c r="N1862" i="1"/>
  <c r="M1862" i="1"/>
  <c r="L1862" i="1"/>
  <c r="J1862" i="1"/>
  <c r="K1862" i="1" s="1"/>
  <c r="O1861" i="1"/>
  <c r="N1861" i="1"/>
  <c r="M1861" i="1"/>
  <c r="L1861" i="1"/>
  <c r="J1861" i="1"/>
  <c r="K1861" i="1" s="1"/>
  <c r="O1860" i="1"/>
  <c r="N1860" i="1"/>
  <c r="M1860" i="1"/>
  <c r="L1860" i="1"/>
  <c r="J1860" i="1"/>
  <c r="K1860" i="1" s="1"/>
  <c r="O1859" i="1"/>
  <c r="N1859" i="1"/>
  <c r="M1859" i="1"/>
  <c r="L1859" i="1"/>
  <c r="J1859" i="1"/>
  <c r="K1859" i="1" s="1"/>
  <c r="O1858" i="1"/>
  <c r="N1858" i="1"/>
  <c r="M1858" i="1"/>
  <c r="L1858" i="1"/>
  <c r="J1858" i="1"/>
  <c r="K1858" i="1" s="1"/>
  <c r="O1857" i="1"/>
  <c r="N1857" i="1"/>
  <c r="M1857" i="1"/>
  <c r="L1857" i="1"/>
  <c r="J1857" i="1"/>
  <c r="K1857" i="1" s="1"/>
  <c r="O1856" i="1"/>
  <c r="N1856" i="1"/>
  <c r="M1856" i="1"/>
  <c r="L1856" i="1"/>
  <c r="J1856" i="1"/>
  <c r="K1856" i="1" s="1"/>
  <c r="O1855" i="1"/>
  <c r="N1855" i="1"/>
  <c r="M1855" i="1"/>
  <c r="L1855" i="1"/>
  <c r="J1855" i="1"/>
  <c r="K1855" i="1" s="1"/>
  <c r="O1854" i="1"/>
  <c r="N1854" i="1"/>
  <c r="M1854" i="1"/>
  <c r="L1854" i="1"/>
  <c r="J1854" i="1"/>
  <c r="K1854" i="1" s="1"/>
  <c r="O1853" i="1"/>
  <c r="N1853" i="1"/>
  <c r="M1853" i="1"/>
  <c r="L1853" i="1"/>
  <c r="J1853" i="1"/>
  <c r="K1853" i="1" s="1"/>
  <c r="O1852" i="1"/>
  <c r="N1852" i="1"/>
  <c r="M1852" i="1"/>
  <c r="L1852" i="1"/>
  <c r="J1852" i="1"/>
  <c r="K1852" i="1" s="1"/>
  <c r="O1851" i="1"/>
  <c r="N1851" i="1"/>
  <c r="M1851" i="1"/>
  <c r="L1851" i="1"/>
  <c r="J1851" i="1"/>
  <c r="K1851" i="1" s="1"/>
  <c r="O1850" i="1"/>
  <c r="N1850" i="1"/>
  <c r="M1850" i="1"/>
  <c r="L1850" i="1"/>
  <c r="J1850" i="1"/>
  <c r="K1850" i="1" s="1"/>
  <c r="O1849" i="1"/>
  <c r="N1849" i="1"/>
  <c r="M1849" i="1"/>
  <c r="L1849" i="1"/>
  <c r="J1849" i="1"/>
  <c r="K1849" i="1" s="1"/>
  <c r="O1848" i="1"/>
  <c r="N1848" i="1"/>
  <c r="M1848" i="1"/>
  <c r="L1848" i="1"/>
  <c r="J1848" i="1"/>
  <c r="K1848" i="1" s="1"/>
  <c r="O1847" i="1"/>
  <c r="N1847" i="1"/>
  <c r="M1847" i="1"/>
  <c r="L1847" i="1"/>
  <c r="J1847" i="1"/>
  <c r="K1847" i="1" s="1"/>
  <c r="O1846" i="1"/>
  <c r="N1846" i="1"/>
  <c r="M1846" i="1"/>
  <c r="L1846" i="1"/>
  <c r="J1846" i="1"/>
  <c r="K1846" i="1" s="1"/>
  <c r="O1845" i="1"/>
  <c r="N1845" i="1"/>
  <c r="M1845" i="1"/>
  <c r="L1845" i="1"/>
  <c r="J1845" i="1"/>
  <c r="K1845" i="1" s="1"/>
  <c r="O1844" i="1"/>
  <c r="N1844" i="1"/>
  <c r="M1844" i="1"/>
  <c r="L1844" i="1"/>
  <c r="J1844" i="1"/>
  <c r="K1844" i="1" s="1"/>
  <c r="O1843" i="1"/>
  <c r="N1843" i="1"/>
  <c r="M1843" i="1"/>
  <c r="L1843" i="1"/>
  <c r="J1843" i="1"/>
  <c r="K1843" i="1" s="1"/>
  <c r="O1842" i="1"/>
  <c r="N1842" i="1"/>
  <c r="M1842" i="1"/>
  <c r="L1842" i="1"/>
  <c r="J1842" i="1"/>
  <c r="K1842" i="1" s="1"/>
  <c r="O1841" i="1"/>
  <c r="N1841" i="1"/>
  <c r="M1841" i="1"/>
  <c r="L1841" i="1"/>
  <c r="J1841" i="1"/>
  <c r="K1841" i="1" s="1"/>
  <c r="O1840" i="1"/>
  <c r="N1840" i="1"/>
  <c r="M1840" i="1"/>
  <c r="L1840" i="1"/>
  <c r="J1840" i="1"/>
  <c r="K1840" i="1" s="1"/>
  <c r="O1839" i="1"/>
  <c r="N1839" i="1"/>
  <c r="M1839" i="1"/>
  <c r="L1839" i="1"/>
  <c r="J1839" i="1"/>
  <c r="K1839" i="1" s="1"/>
  <c r="O1838" i="1"/>
  <c r="N1838" i="1"/>
  <c r="M1838" i="1"/>
  <c r="L1838" i="1"/>
  <c r="J1838" i="1"/>
  <c r="K1838" i="1" s="1"/>
  <c r="O1837" i="1"/>
  <c r="N1837" i="1"/>
  <c r="M1837" i="1"/>
  <c r="L1837" i="1"/>
  <c r="J1837" i="1"/>
  <c r="K1837" i="1" s="1"/>
  <c r="O1836" i="1"/>
  <c r="N1836" i="1"/>
  <c r="M1836" i="1"/>
  <c r="L1836" i="1"/>
  <c r="J1836" i="1"/>
  <c r="K1836" i="1" s="1"/>
  <c r="O1835" i="1"/>
  <c r="N1835" i="1"/>
  <c r="M1835" i="1"/>
  <c r="L1835" i="1"/>
  <c r="J1835" i="1"/>
  <c r="K1835" i="1" s="1"/>
  <c r="O1834" i="1"/>
  <c r="N1834" i="1"/>
  <c r="M1834" i="1"/>
  <c r="L1834" i="1"/>
  <c r="J1834" i="1"/>
  <c r="K1834" i="1" s="1"/>
  <c r="O1833" i="1"/>
  <c r="N1833" i="1"/>
  <c r="M1833" i="1"/>
  <c r="L1833" i="1"/>
  <c r="J1833" i="1"/>
  <c r="K1833" i="1" s="1"/>
  <c r="O1832" i="1"/>
  <c r="N1832" i="1"/>
  <c r="M1832" i="1"/>
  <c r="L1832" i="1"/>
  <c r="J1832" i="1"/>
  <c r="K1832" i="1" s="1"/>
  <c r="O1831" i="1"/>
  <c r="N1831" i="1"/>
  <c r="M1831" i="1"/>
  <c r="L1831" i="1"/>
  <c r="J1831" i="1"/>
  <c r="K1831" i="1" s="1"/>
  <c r="O1830" i="1"/>
  <c r="N1830" i="1"/>
  <c r="M1830" i="1"/>
  <c r="L1830" i="1"/>
  <c r="J1830" i="1"/>
  <c r="K1830" i="1" s="1"/>
  <c r="O1829" i="1"/>
  <c r="N1829" i="1"/>
  <c r="M1829" i="1"/>
  <c r="L1829" i="1"/>
  <c r="J1829" i="1"/>
  <c r="K1829" i="1" s="1"/>
  <c r="O1828" i="1"/>
  <c r="N1828" i="1"/>
  <c r="M1828" i="1"/>
  <c r="L1828" i="1"/>
  <c r="J1828" i="1"/>
  <c r="K1828" i="1" s="1"/>
  <c r="O1827" i="1"/>
  <c r="N1827" i="1"/>
  <c r="M1827" i="1"/>
  <c r="L1827" i="1"/>
  <c r="J1827" i="1"/>
  <c r="K1827" i="1" s="1"/>
  <c r="O1826" i="1"/>
  <c r="N1826" i="1"/>
  <c r="M1826" i="1"/>
  <c r="L1826" i="1"/>
  <c r="J1826" i="1"/>
  <c r="K1826" i="1" s="1"/>
  <c r="O1825" i="1"/>
  <c r="N1825" i="1"/>
  <c r="M1825" i="1"/>
  <c r="L1825" i="1"/>
  <c r="J1825" i="1"/>
  <c r="K1825" i="1" s="1"/>
  <c r="O1824" i="1"/>
  <c r="N1824" i="1"/>
  <c r="M1824" i="1"/>
  <c r="L1824" i="1"/>
  <c r="J1824" i="1"/>
  <c r="K1824" i="1" s="1"/>
  <c r="O1823" i="1"/>
  <c r="N1823" i="1"/>
  <c r="M1823" i="1"/>
  <c r="L1823" i="1"/>
  <c r="J1823" i="1"/>
  <c r="K1823" i="1" s="1"/>
  <c r="O1822" i="1"/>
  <c r="N1822" i="1"/>
  <c r="M1822" i="1"/>
  <c r="L1822" i="1"/>
  <c r="J1822" i="1"/>
  <c r="K1822" i="1" s="1"/>
  <c r="O1821" i="1"/>
  <c r="N1821" i="1"/>
  <c r="M1821" i="1"/>
  <c r="L1821" i="1"/>
  <c r="J1821" i="1"/>
  <c r="K1821" i="1" s="1"/>
  <c r="O1820" i="1"/>
  <c r="N1820" i="1"/>
  <c r="M1820" i="1"/>
  <c r="L1820" i="1"/>
  <c r="J1820" i="1"/>
  <c r="K1820" i="1" s="1"/>
  <c r="O1819" i="1"/>
  <c r="N1819" i="1"/>
  <c r="M1819" i="1"/>
  <c r="L1819" i="1"/>
  <c r="J1819" i="1"/>
  <c r="K1819" i="1" s="1"/>
  <c r="O1818" i="1"/>
  <c r="N1818" i="1"/>
  <c r="M1818" i="1"/>
  <c r="L1818" i="1"/>
  <c r="J1818" i="1"/>
  <c r="K1818" i="1" s="1"/>
  <c r="O1817" i="1"/>
  <c r="N1817" i="1"/>
  <c r="M1817" i="1"/>
  <c r="L1817" i="1"/>
  <c r="J1817" i="1"/>
  <c r="K1817" i="1" s="1"/>
  <c r="O1816" i="1"/>
  <c r="N1816" i="1"/>
  <c r="M1816" i="1"/>
  <c r="L1816" i="1"/>
  <c r="J1816" i="1"/>
  <c r="K1816" i="1" s="1"/>
  <c r="O1815" i="1"/>
  <c r="N1815" i="1"/>
  <c r="M1815" i="1"/>
  <c r="L1815" i="1"/>
  <c r="J1815" i="1"/>
  <c r="K1815" i="1" s="1"/>
  <c r="O1814" i="1"/>
  <c r="N1814" i="1"/>
  <c r="M1814" i="1"/>
  <c r="L1814" i="1"/>
  <c r="J1814" i="1"/>
  <c r="K1814" i="1" s="1"/>
  <c r="O1813" i="1"/>
  <c r="N1813" i="1"/>
  <c r="M1813" i="1"/>
  <c r="L1813" i="1"/>
  <c r="J1813" i="1"/>
  <c r="K1813" i="1" s="1"/>
  <c r="O1812" i="1"/>
  <c r="N1812" i="1"/>
  <c r="M1812" i="1"/>
  <c r="L1812" i="1"/>
  <c r="J1812" i="1"/>
  <c r="K1812" i="1" s="1"/>
  <c r="O1811" i="1"/>
  <c r="N1811" i="1"/>
  <c r="M1811" i="1"/>
  <c r="L1811" i="1"/>
  <c r="J1811" i="1"/>
  <c r="K1811" i="1" s="1"/>
  <c r="O1810" i="1"/>
  <c r="N1810" i="1"/>
  <c r="M1810" i="1"/>
  <c r="L1810" i="1"/>
  <c r="J1810" i="1"/>
  <c r="K1810" i="1" s="1"/>
  <c r="O1809" i="1"/>
  <c r="N1809" i="1"/>
  <c r="M1809" i="1"/>
  <c r="L1809" i="1"/>
  <c r="J1809" i="1"/>
  <c r="K1809" i="1" s="1"/>
  <c r="O1808" i="1"/>
  <c r="N1808" i="1"/>
  <c r="M1808" i="1"/>
  <c r="L1808" i="1"/>
  <c r="J1808" i="1"/>
  <c r="K1808" i="1" s="1"/>
  <c r="O1807" i="1"/>
  <c r="N1807" i="1"/>
  <c r="M1807" i="1"/>
  <c r="L1807" i="1"/>
  <c r="J1807" i="1"/>
  <c r="K1807" i="1" s="1"/>
  <c r="O1806" i="1"/>
  <c r="N1806" i="1"/>
  <c r="M1806" i="1"/>
  <c r="L1806" i="1"/>
  <c r="J1806" i="1"/>
  <c r="K1806" i="1" s="1"/>
  <c r="O1805" i="1"/>
  <c r="N1805" i="1"/>
  <c r="M1805" i="1"/>
  <c r="L1805" i="1"/>
  <c r="J1805" i="1"/>
  <c r="K1805" i="1" s="1"/>
  <c r="O1804" i="1"/>
  <c r="N1804" i="1"/>
  <c r="M1804" i="1"/>
  <c r="L1804" i="1"/>
  <c r="J1804" i="1"/>
  <c r="K1804" i="1" s="1"/>
  <c r="O1803" i="1"/>
  <c r="N1803" i="1"/>
  <c r="M1803" i="1"/>
  <c r="L1803" i="1"/>
  <c r="J1803" i="1"/>
  <c r="K1803" i="1" s="1"/>
  <c r="O1802" i="1"/>
  <c r="N1802" i="1"/>
  <c r="M1802" i="1"/>
  <c r="L1802" i="1"/>
  <c r="J1802" i="1"/>
  <c r="K1802" i="1" s="1"/>
  <c r="O1801" i="1"/>
  <c r="N1801" i="1"/>
  <c r="M1801" i="1"/>
  <c r="L1801" i="1"/>
  <c r="J1801" i="1"/>
  <c r="K1801" i="1" s="1"/>
  <c r="O1800" i="1"/>
  <c r="N1800" i="1"/>
  <c r="M1800" i="1"/>
  <c r="L1800" i="1"/>
  <c r="J1800" i="1"/>
  <c r="K1800" i="1" s="1"/>
  <c r="O1799" i="1"/>
  <c r="N1799" i="1"/>
  <c r="M1799" i="1"/>
  <c r="L1799" i="1"/>
  <c r="J1799" i="1"/>
  <c r="K1799" i="1" s="1"/>
  <c r="O1798" i="1"/>
  <c r="N1798" i="1"/>
  <c r="M1798" i="1"/>
  <c r="L1798" i="1"/>
  <c r="J1798" i="1"/>
  <c r="K1798" i="1" s="1"/>
  <c r="O1797" i="1"/>
  <c r="N1797" i="1"/>
  <c r="M1797" i="1"/>
  <c r="L1797" i="1"/>
  <c r="J1797" i="1"/>
  <c r="K1797" i="1" s="1"/>
  <c r="O1796" i="1"/>
  <c r="N1796" i="1"/>
  <c r="M1796" i="1"/>
  <c r="L1796" i="1"/>
  <c r="J1796" i="1"/>
  <c r="K1796" i="1" s="1"/>
  <c r="O1795" i="1"/>
  <c r="N1795" i="1"/>
  <c r="M1795" i="1"/>
  <c r="L1795" i="1"/>
  <c r="J1795" i="1"/>
  <c r="K1795" i="1" s="1"/>
  <c r="O1794" i="1"/>
  <c r="N1794" i="1"/>
  <c r="M1794" i="1"/>
  <c r="L1794" i="1"/>
  <c r="J1794" i="1"/>
  <c r="K1794" i="1" s="1"/>
  <c r="O1793" i="1"/>
  <c r="N1793" i="1"/>
  <c r="M1793" i="1"/>
  <c r="L1793" i="1"/>
  <c r="J1793" i="1"/>
  <c r="K1793" i="1" s="1"/>
  <c r="O1792" i="1"/>
  <c r="N1792" i="1"/>
  <c r="M1792" i="1"/>
  <c r="L1792" i="1"/>
  <c r="J1792" i="1"/>
  <c r="K1792" i="1" s="1"/>
  <c r="O1791" i="1"/>
  <c r="N1791" i="1"/>
  <c r="M1791" i="1"/>
  <c r="L1791" i="1"/>
  <c r="J1791" i="1"/>
  <c r="K1791" i="1" s="1"/>
  <c r="O1790" i="1"/>
  <c r="N1790" i="1"/>
  <c r="M1790" i="1"/>
  <c r="L1790" i="1"/>
  <c r="J1790" i="1"/>
  <c r="K1790" i="1" s="1"/>
  <c r="O1789" i="1"/>
  <c r="N1789" i="1"/>
  <c r="M1789" i="1"/>
  <c r="L1789" i="1"/>
  <c r="J1789" i="1"/>
  <c r="K1789" i="1" s="1"/>
  <c r="O1788" i="1"/>
  <c r="N1788" i="1"/>
  <c r="M1788" i="1"/>
  <c r="L1788" i="1"/>
  <c r="J1788" i="1"/>
  <c r="K1788" i="1" s="1"/>
  <c r="O1787" i="1"/>
  <c r="N1787" i="1"/>
  <c r="M1787" i="1"/>
  <c r="L1787" i="1"/>
  <c r="J1787" i="1"/>
  <c r="K1787" i="1" s="1"/>
  <c r="O1786" i="1"/>
  <c r="N1786" i="1"/>
  <c r="M1786" i="1"/>
  <c r="L1786" i="1"/>
  <c r="J1786" i="1"/>
  <c r="K1786" i="1" s="1"/>
  <c r="O1785" i="1"/>
  <c r="N1785" i="1"/>
  <c r="M1785" i="1"/>
  <c r="L1785" i="1"/>
  <c r="J1785" i="1"/>
  <c r="K1785" i="1" s="1"/>
  <c r="O1784" i="1"/>
  <c r="N1784" i="1"/>
  <c r="M1784" i="1"/>
  <c r="L1784" i="1"/>
  <c r="J1784" i="1"/>
  <c r="K1784" i="1" s="1"/>
  <c r="O1783" i="1"/>
  <c r="N1783" i="1"/>
  <c r="M1783" i="1"/>
  <c r="L1783" i="1"/>
  <c r="J1783" i="1"/>
  <c r="K1783" i="1" s="1"/>
  <c r="O1782" i="1"/>
  <c r="N1782" i="1"/>
  <c r="M1782" i="1"/>
  <c r="L1782" i="1"/>
  <c r="J1782" i="1"/>
  <c r="K1782" i="1" s="1"/>
  <c r="O1781" i="1"/>
  <c r="N1781" i="1"/>
  <c r="M1781" i="1"/>
  <c r="L1781" i="1"/>
  <c r="J1781" i="1"/>
  <c r="K1781" i="1" s="1"/>
  <c r="O1780" i="1"/>
  <c r="N1780" i="1"/>
  <c r="M1780" i="1"/>
  <c r="L1780" i="1"/>
  <c r="J1780" i="1"/>
  <c r="K1780" i="1" s="1"/>
  <c r="O1779" i="1"/>
  <c r="N1779" i="1"/>
  <c r="M1779" i="1"/>
  <c r="L1779" i="1"/>
  <c r="J1779" i="1"/>
  <c r="K1779" i="1" s="1"/>
  <c r="O1778" i="1"/>
  <c r="N1778" i="1"/>
  <c r="M1778" i="1"/>
  <c r="L1778" i="1"/>
  <c r="J1778" i="1"/>
  <c r="K1778" i="1" s="1"/>
  <c r="O1777" i="1"/>
  <c r="N1777" i="1"/>
  <c r="M1777" i="1"/>
  <c r="L1777" i="1"/>
  <c r="J1777" i="1"/>
  <c r="K1777" i="1" s="1"/>
  <c r="O1776" i="1"/>
  <c r="N1776" i="1"/>
  <c r="M1776" i="1"/>
  <c r="L1776" i="1"/>
  <c r="J1776" i="1"/>
  <c r="K1776" i="1" s="1"/>
  <c r="O1775" i="1"/>
  <c r="N1775" i="1"/>
  <c r="M1775" i="1"/>
  <c r="L1775" i="1"/>
  <c r="J1775" i="1"/>
  <c r="K1775" i="1" s="1"/>
  <c r="O1774" i="1"/>
  <c r="N1774" i="1"/>
  <c r="M1774" i="1"/>
  <c r="L1774" i="1"/>
  <c r="J1774" i="1"/>
  <c r="K1774" i="1" s="1"/>
  <c r="O1773" i="1"/>
  <c r="N1773" i="1"/>
  <c r="M1773" i="1"/>
  <c r="L1773" i="1"/>
  <c r="J1773" i="1"/>
  <c r="K1773" i="1" s="1"/>
  <c r="O1772" i="1"/>
  <c r="N1772" i="1"/>
  <c r="M1772" i="1"/>
  <c r="L1772" i="1"/>
  <c r="J1772" i="1"/>
  <c r="K1772" i="1" s="1"/>
  <c r="O1771" i="1"/>
  <c r="N1771" i="1"/>
  <c r="M1771" i="1"/>
  <c r="L1771" i="1"/>
  <c r="J1771" i="1"/>
  <c r="K1771" i="1" s="1"/>
  <c r="O1770" i="1"/>
  <c r="N1770" i="1"/>
  <c r="M1770" i="1"/>
  <c r="L1770" i="1"/>
  <c r="J1770" i="1"/>
  <c r="K1770" i="1" s="1"/>
  <c r="O1769" i="1"/>
  <c r="N1769" i="1"/>
  <c r="M1769" i="1"/>
  <c r="L1769" i="1"/>
  <c r="J1769" i="1"/>
  <c r="K1769" i="1" s="1"/>
  <c r="O1768" i="1"/>
  <c r="N1768" i="1"/>
  <c r="M1768" i="1"/>
  <c r="L1768" i="1"/>
  <c r="J1768" i="1"/>
  <c r="K1768" i="1" s="1"/>
  <c r="O1767" i="1"/>
  <c r="N1767" i="1"/>
  <c r="M1767" i="1"/>
  <c r="L1767" i="1"/>
  <c r="J1767" i="1"/>
  <c r="K1767" i="1" s="1"/>
  <c r="O1766" i="1"/>
  <c r="N1766" i="1"/>
  <c r="M1766" i="1"/>
  <c r="L1766" i="1"/>
  <c r="J1766" i="1"/>
  <c r="K1766" i="1" s="1"/>
  <c r="O1765" i="1"/>
  <c r="N1765" i="1"/>
  <c r="M1765" i="1"/>
  <c r="L1765" i="1"/>
  <c r="J1765" i="1"/>
  <c r="K1765" i="1" s="1"/>
  <c r="O1764" i="1"/>
  <c r="N1764" i="1"/>
  <c r="M1764" i="1"/>
  <c r="L1764" i="1"/>
  <c r="J1764" i="1"/>
  <c r="K1764" i="1" s="1"/>
  <c r="O1763" i="1"/>
  <c r="N1763" i="1"/>
  <c r="M1763" i="1"/>
  <c r="L1763" i="1"/>
  <c r="J1763" i="1"/>
  <c r="K1763" i="1" s="1"/>
  <c r="O1762" i="1"/>
  <c r="N1762" i="1"/>
  <c r="M1762" i="1"/>
  <c r="L1762" i="1"/>
  <c r="J1762" i="1"/>
  <c r="K1762" i="1" s="1"/>
  <c r="O1761" i="1"/>
  <c r="N1761" i="1"/>
  <c r="M1761" i="1"/>
  <c r="L1761" i="1"/>
  <c r="J1761" i="1"/>
  <c r="K1761" i="1" s="1"/>
  <c r="O1760" i="1"/>
  <c r="N1760" i="1"/>
  <c r="M1760" i="1"/>
  <c r="L1760" i="1"/>
  <c r="J1760" i="1"/>
  <c r="K1760" i="1" s="1"/>
  <c r="O1759" i="1"/>
  <c r="N1759" i="1"/>
  <c r="M1759" i="1"/>
  <c r="L1759" i="1"/>
  <c r="J1759" i="1"/>
  <c r="K1759" i="1" s="1"/>
  <c r="O1758" i="1"/>
  <c r="N1758" i="1"/>
  <c r="M1758" i="1"/>
  <c r="L1758" i="1"/>
  <c r="J1758" i="1"/>
  <c r="K1758" i="1" s="1"/>
  <c r="O1757" i="1"/>
  <c r="N1757" i="1"/>
  <c r="M1757" i="1"/>
  <c r="L1757" i="1"/>
  <c r="J1757" i="1"/>
  <c r="K1757" i="1" s="1"/>
  <c r="O1756" i="1"/>
  <c r="N1756" i="1"/>
  <c r="M1756" i="1"/>
  <c r="L1756" i="1"/>
  <c r="J1756" i="1"/>
  <c r="K1756" i="1" s="1"/>
  <c r="O1755" i="1"/>
  <c r="N1755" i="1"/>
  <c r="M1755" i="1"/>
  <c r="L1755" i="1"/>
  <c r="J1755" i="1"/>
  <c r="K1755" i="1" s="1"/>
  <c r="O1754" i="1"/>
  <c r="N1754" i="1"/>
  <c r="M1754" i="1"/>
  <c r="L1754" i="1"/>
  <c r="J1754" i="1"/>
  <c r="K1754" i="1" s="1"/>
  <c r="O1753" i="1"/>
  <c r="N1753" i="1"/>
  <c r="M1753" i="1"/>
  <c r="L1753" i="1"/>
  <c r="J1753" i="1"/>
  <c r="K1753" i="1" s="1"/>
  <c r="O1752" i="1"/>
  <c r="N1752" i="1"/>
  <c r="M1752" i="1"/>
  <c r="L1752" i="1"/>
  <c r="J1752" i="1"/>
  <c r="K1752" i="1" s="1"/>
  <c r="O1751" i="1"/>
  <c r="N1751" i="1"/>
  <c r="M1751" i="1"/>
  <c r="L1751" i="1"/>
  <c r="J1751" i="1"/>
  <c r="K1751" i="1" s="1"/>
  <c r="O1750" i="1"/>
  <c r="N1750" i="1"/>
  <c r="M1750" i="1"/>
  <c r="L1750" i="1"/>
  <c r="J1750" i="1"/>
  <c r="K1750" i="1" s="1"/>
  <c r="O1749" i="1"/>
  <c r="N1749" i="1"/>
  <c r="M1749" i="1"/>
  <c r="L1749" i="1"/>
  <c r="J1749" i="1"/>
  <c r="K1749" i="1" s="1"/>
  <c r="O1748" i="1"/>
  <c r="N1748" i="1"/>
  <c r="M1748" i="1"/>
  <c r="L1748" i="1"/>
  <c r="J1748" i="1"/>
  <c r="K1748" i="1" s="1"/>
  <c r="O1747" i="1"/>
  <c r="N1747" i="1"/>
  <c r="M1747" i="1"/>
  <c r="L1747" i="1"/>
  <c r="J1747" i="1"/>
  <c r="K1747" i="1" s="1"/>
  <c r="O1746" i="1"/>
  <c r="N1746" i="1"/>
  <c r="M1746" i="1"/>
  <c r="L1746" i="1"/>
  <c r="J1746" i="1"/>
  <c r="K1746" i="1" s="1"/>
  <c r="O1745" i="1"/>
  <c r="N1745" i="1"/>
  <c r="M1745" i="1"/>
  <c r="L1745" i="1"/>
  <c r="J1745" i="1"/>
  <c r="K1745" i="1" s="1"/>
  <c r="O1744" i="1"/>
  <c r="N1744" i="1"/>
  <c r="M1744" i="1"/>
  <c r="L1744" i="1"/>
  <c r="J1744" i="1"/>
  <c r="K1744" i="1" s="1"/>
  <c r="O1743" i="1"/>
  <c r="N1743" i="1"/>
  <c r="M1743" i="1"/>
  <c r="L1743" i="1"/>
  <c r="J1743" i="1"/>
  <c r="K1743" i="1" s="1"/>
  <c r="O1742" i="1"/>
  <c r="N1742" i="1"/>
  <c r="M1742" i="1"/>
  <c r="L1742" i="1"/>
  <c r="J1742" i="1"/>
  <c r="K1742" i="1" s="1"/>
  <c r="O1741" i="1"/>
  <c r="N1741" i="1"/>
  <c r="M1741" i="1"/>
  <c r="L1741" i="1"/>
  <c r="J1741" i="1"/>
  <c r="K1741" i="1" s="1"/>
  <c r="O1740" i="1"/>
  <c r="N1740" i="1"/>
  <c r="M1740" i="1"/>
  <c r="L1740" i="1"/>
  <c r="J1740" i="1"/>
  <c r="K1740" i="1" s="1"/>
  <c r="O1739" i="1"/>
  <c r="N1739" i="1"/>
  <c r="M1739" i="1"/>
  <c r="L1739" i="1"/>
  <c r="J1739" i="1"/>
  <c r="K1739" i="1" s="1"/>
  <c r="O1738" i="1"/>
  <c r="N1738" i="1"/>
  <c r="M1738" i="1"/>
  <c r="L1738" i="1"/>
  <c r="J1738" i="1"/>
  <c r="K1738" i="1" s="1"/>
  <c r="O1737" i="1"/>
  <c r="N1737" i="1"/>
  <c r="M1737" i="1"/>
  <c r="L1737" i="1"/>
  <c r="J1737" i="1"/>
  <c r="K1737" i="1" s="1"/>
  <c r="O1736" i="1"/>
  <c r="N1736" i="1"/>
  <c r="M1736" i="1"/>
  <c r="L1736" i="1"/>
  <c r="J1736" i="1"/>
  <c r="K1736" i="1" s="1"/>
  <c r="O1735" i="1"/>
  <c r="N1735" i="1"/>
  <c r="M1735" i="1"/>
  <c r="L1735" i="1"/>
  <c r="J1735" i="1"/>
  <c r="K1735" i="1" s="1"/>
  <c r="O1734" i="1"/>
  <c r="N1734" i="1"/>
  <c r="M1734" i="1"/>
  <c r="L1734" i="1"/>
  <c r="J1734" i="1"/>
  <c r="K1734" i="1" s="1"/>
  <c r="O1733" i="1"/>
  <c r="N1733" i="1"/>
  <c r="M1733" i="1"/>
  <c r="L1733" i="1"/>
  <c r="J1733" i="1"/>
  <c r="K1733" i="1" s="1"/>
  <c r="O1732" i="1"/>
  <c r="N1732" i="1"/>
  <c r="M1732" i="1"/>
  <c r="L1732" i="1"/>
  <c r="J1732" i="1"/>
  <c r="K1732" i="1" s="1"/>
  <c r="O1731" i="1"/>
  <c r="N1731" i="1"/>
  <c r="M1731" i="1"/>
  <c r="L1731" i="1"/>
  <c r="J1731" i="1"/>
  <c r="K1731" i="1" s="1"/>
  <c r="O1730" i="1"/>
  <c r="N1730" i="1"/>
  <c r="M1730" i="1"/>
  <c r="L1730" i="1"/>
  <c r="J1730" i="1"/>
  <c r="K1730" i="1" s="1"/>
  <c r="O1729" i="1"/>
  <c r="N1729" i="1"/>
  <c r="M1729" i="1"/>
  <c r="L1729" i="1"/>
  <c r="J1729" i="1"/>
  <c r="K1729" i="1" s="1"/>
  <c r="O1728" i="1"/>
  <c r="N1728" i="1"/>
  <c r="M1728" i="1"/>
  <c r="L1728" i="1"/>
  <c r="J1728" i="1"/>
  <c r="K1728" i="1" s="1"/>
  <c r="O1727" i="1"/>
  <c r="N1727" i="1"/>
  <c r="M1727" i="1"/>
  <c r="L1727" i="1"/>
  <c r="J1727" i="1"/>
  <c r="K1727" i="1" s="1"/>
  <c r="O1726" i="1"/>
  <c r="N1726" i="1"/>
  <c r="M1726" i="1"/>
  <c r="L1726" i="1"/>
  <c r="J1726" i="1"/>
  <c r="K1726" i="1" s="1"/>
  <c r="O1725" i="1"/>
  <c r="N1725" i="1"/>
  <c r="M1725" i="1"/>
  <c r="L1725" i="1"/>
  <c r="J1725" i="1"/>
  <c r="K1725" i="1" s="1"/>
  <c r="O1724" i="1"/>
  <c r="N1724" i="1"/>
  <c r="M1724" i="1"/>
  <c r="L1724" i="1"/>
  <c r="J1724" i="1"/>
  <c r="K1724" i="1" s="1"/>
  <c r="O1723" i="1"/>
  <c r="N1723" i="1"/>
  <c r="M1723" i="1"/>
  <c r="L1723" i="1"/>
  <c r="J1723" i="1"/>
  <c r="K1723" i="1" s="1"/>
  <c r="O1722" i="1"/>
  <c r="N1722" i="1"/>
  <c r="M1722" i="1"/>
  <c r="L1722" i="1"/>
  <c r="J1722" i="1"/>
  <c r="K1722" i="1" s="1"/>
  <c r="O1721" i="1"/>
  <c r="N1721" i="1"/>
  <c r="M1721" i="1"/>
  <c r="L1721" i="1"/>
  <c r="J1721" i="1"/>
  <c r="K1721" i="1" s="1"/>
  <c r="O1720" i="1"/>
  <c r="N1720" i="1"/>
  <c r="M1720" i="1"/>
  <c r="L1720" i="1"/>
  <c r="J1720" i="1"/>
  <c r="K1720" i="1" s="1"/>
  <c r="O1719" i="1"/>
  <c r="N1719" i="1"/>
  <c r="M1719" i="1"/>
  <c r="L1719" i="1"/>
  <c r="J1719" i="1"/>
  <c r="K1719" i="1" s="1"/>
  <c r="O1718" i="1"/>
  <c r="N1718" i="1"/>
  <c r="M1718" i="1"/>
  <c r="L1718" i="1"/>
  <c r="J1718" i="1"/>
  <c r="K1718" i="1" s="1"/>
  <c r="O1717" i="1"/>
  <c r="N1717" i="1"/>
  <c r="M1717" i="1"/>
  <c r="L1717" i="1"/>
  <c r="J1717" i="1"/>
  <c r="K1717" i="1" s="1"/>
  <c r="O1716" i="1"/>
  <c r="N1716" i="1"/>
  <c r="M1716" i="1"/>
  <c r="L1716" i="1"/>
  <c r="J1716" i="1"/>
  <c r="K1716" i="1" s="1"/>
  <c r="O1715" i="1"/>
  <c r="N1715" i="1"/>
  <c r="M1715" i="1"/>
  <c r="L1715" i="1"/>
  <c r="J1715" i="1"/>
  <c r="K1715" i="1" s="1"/>
  <c r="O1714" i="1"/>
  <c r="N1714" i="1"/>
  <c r="M1714" i="1"/>
  <c r="L1714" i="1"/>
  <c r="J1714" i="1"/>
  <c r="K1714" i="1" s="1"/>
  <c r="O1713" i="1"/>
  <c r="N1713" i="1"/>
  <c r="M1713" i="1"/>
  <c r="L1713" i="1"/>
  <c r="J1713" i="1"/>
  <c r="K1713" i="1" s="1"/>
  <c r="O1712" i="1"/>
  <c r="N1712" i="1"/>
  <c r="M1712" i="1"/>
  <c r="L1712" i="1"/>
  <c r="J1712" i="1"/>
  <c r="K1712" i="1" s="1"/>
  <c r="O1711" i="1"/>
  <c r="N1711" i="1"/>
  <c r="M1711" i="1"/>
  <c r="L1711" i="1"/>
  <c r="J1711" i="1"/>
  <c r="K1711" i="1" s="1"/>
  <c r="O1710" i="1"/>
  <c r="N1710" i="1"/>
  <c r="M1710" i="1"/>
  <c r="L1710" i="1"/>
  <c r="J1710" i="1"/>
  <c r="K1710" i="1" s="1"/>
  <c r="O1709" i="1"/>
  <c r="N1709" i="1"/>
  <c r="M1709" i="1"/>
  <c r="L1709" i="1"/>
  <c r="J1709" i="1"/>
  <c r="K1709" i="1" s="1"/>
  <c r="O1708" i="1"/>
  <c r="N1708" i="1"/>
  <c r="M1708" i="1"/>
  <c r="L1708" i="1"/>
  <c r="J1708" i="1"/>
  <c r="K1708" i="1" s="1"/>
  <c r="O1707" i="1"/>
  <c r="N1707" i="1"/>
  <c r="M1707" i="1"/>
  <c r="L1707" i="1"/>
  <c r="J1707" i="1"/>
  <c r="K1707" i="1" s="1"/>
  <c r="O1706" i="1"/>
  <c r="N1706" i="1"/>
  <c r="M1706" i="1"/>
  <c r="L1706" i="1"/>
  <c r="J1706" i="1"/>
  <c r="K1706" i="1" s="1"/>
  <c r="O1705" i="1"/>
  <c r="N1705" i="1"/>
  <c r="M1705" i="1"/>
  <c r="L1705" i="1"/>
  <c r="J1705" i="1"/>
  <c r="K1705" i="1" s="1"/>
  <c r="O1704" i="1"/>
  <c r="N1704" i="1"/>
  <c r="M1704" i="1"/>
  <c r="L1704" i="1"/>
  <c r="J1704" i="1"/>
  <c r="K1704" i="1" s="1"/>
  <c r="O1703" i="1"/>
  <c r="N1703" i="1"/>
  <c r="M1703" i="1"/>
  <c r="L1703" i="1"/>
  <c r="J1703" i="1"/>
  <c r="K1703" i="1" s="1"/>
  <c r="O1702" i="1"/>
  <c r="N1702" i="1"/>
  <c r="M1702" i="1"/>
  <c r="L1702" i="1"/>
  <c r="J1702" i="1"/>
  <c r="K1702" i="1" s="1"/>
  <c r="O1701" i="1"/>
  <c r="N1701" i="1"/>
  <c r="M1701" i="1"/>
  <c r="L1701" i="1"/>
  <c r="J1701" i="1"/>
  <c r="K1701" i="1" s="1"/>
  <c r="O1700" i="1"/>
  <c r="N1700" i="1"/>
  <c r="M1700" i="1"/>
  <c r="L1700" i="1"/>
  <c r="J1700" i="1"/>
  <c r="K1700" i="1" s="1"/>
  <c r="O1699" i="1"/>
  <c r="N1699" i="1"/>
  <c r="M1699" i="1"/>
  <c r="L1699" i="1"/>
  <c r="J1699" i="1"/>
  <c r="K1699" i="1" s="1"/>
  <c r="O1698" i="1"/>
  <c r="N1698" i="1"/>
  <c r="M1698" i="1"/>
  <c r="L1698" i="1"/>
  <c r="J1698" i="1"/>
  <c r="K1698" i="1" s="1"/>
  <c r="O1697" i="1"/>
  <c r="N1697" i="1"/>
  <c r="M1697" i="1"/>
  <c r="L1697" i="1"/>
  <c r="J1697" i="1"/>
  <c r="K1697" i="1" s="1"/>
  <c r="O1696" i="1"/>
  <c r="N1696" i="1"/>
  <c r="M1696" i="1"/>
  <c r="L1696" i="1"/>
  <c r="J1696" i="1"/>
  <c r="K1696" i="1" s="1"/>
  <c r="O1695" i="1"/>
  <c r="N1695" i="1"/>
  <c r="M1695" i="1"/>
  <c r="L1695" i="1"/>
  <c r="J1695" i="1"/>
  <c r="K1695" i="1" s="1"/>
  <c r="O1694" i="1"/>
  <c r="N1694" i="1"/>
  <c r="M1694" i="1"/>
  <c r="L1694" i="1"/>
  <c r="J1694" i="1"/>
  <c r="K1694" i="1" s="1"/>
  <c r="O1693" i="1"/>
  <c r="N1693" i="1"/>
  <c r="M1693" i="1"/>
  <c r="L1693" i="1"/>
  <c r="J1693" i="1"/>
  <c r="K1693" i="1" s="1"/>
  <c r="O1692" i="1"/>
  <c r="N1692" i="1"/>
  <c r="M1692" i="1"/>
  <c r="L1692" i="1"/>
  <c r="J1692" i="1"/>
  <c r="K1692" i="1" s="1"/>
  <c r="O1691" i="1"/>
  <c r="N1691" i="1"/>
  <c r="M1691" i="1"/>
  <c r="L1691" i="1"/>
  <c r="J1691" i="1"/>
  <c r="K1691" i="1" s="1"/>
  <c r="O1690" i="1"/>
  <c r="N1690" i="1"/>
  <c r="M1690" i="1"/>
  <c r="L1690" i="1"/>
  <c r="J1690" i="1"/>
  <c r="K1690" i="1" s="1"/>
  <c r="O1689" i="1"/>
  <c r="N1689" i="1"/>
  <c r="M1689" i="1"/>
  <c r="L1689" i="1"/>
  <c r="J1689" i="1"/>
  <c r="K1689" i="1" s="1"/>
  <c r="O1688" i="1"/>
  <c r="N1688" i="1"/>
  <c r="M1688" i="1"/>
  <c r="L1688" i="1"/>
  <c r="J1688" i="1"/>
  <c r="K1688" i="1" s="1"/>
  <c r="O1687" i="1"/>
  <c r="N1687" i="1"/>
  <c r="M1687" i="1"/>
  <c r="L1687" i="1"/>
  <c r="J1687" i="1"/>
  <c r="K1687" i="1" s="1"/>
  <c r="O1686" i="1"/>
  <c r="N1686" i="1"/>
  <c r="M1686" i="1"/>
  <c r="L1686" i="1"/>
  <c r="J1686" i="1"/>
  <c r="K1686" i="1" s="1"/>
  <c r="O1685" i="1"/>
  <c r="N1685" i="1"/>
  <c r="M1685" i="1"/>
  <c r="L1685" i="1"/>
  <c r="J1685" i="1"/>
  <c r="K1685" i="1" s="1"/>
  <c r="O1684" i="1"/>
  <c r="N1684" i="1"/>
  <c r="M1684" i="1"/>
  <c r="L1684" i="1"/>
  <c r="J1684" i="1"/>
  <c r="K1684" i="1" s="1"/>
  <c r="O1683" i="1"/>
  <c r="N1683" i="1"/>
  <c r="M1683" i="1"/>
  <c r="L1683" i="1"/>
  <c r="J1683" i="1"/>
  <c r="K1683" i="1" s="1"/>
  <c r="O1682" i="1"/>
  <c r="N1682" i="1"/>
  <c r="M1682" i="1"/>
  <c r="L1682" i="1"/>
  <c r="J1682" i="1"/>
  <c r="K1682" i="1" s="1"/>
  <c r="O1681" i="1"/>
  <c r="N1681" i="1"/>
  <c r="M1681" i="1"/>
  <c r="L1681" i="1"/>
  <c r="J1681" i="1"/>
  <c r="K1681" i="1" s="1"/>
  <c r="O1680" i="1"/>
  <c r="N1680" i="1"/>
  <c r="M1680" i="1"/>
  <c r="L1680" i="1"/>
  <c r="J1680" i="1"/>
  <c r="K1680" i="1" s="1"/>
  <c r="O1679" i="1"/>
  <c r="N1679" i="1"/>
  <c r="M1679" i="1"/>
  <c r="L1679" i="1"/>
  <c r="J1679" i="1"/>
  <c r="K1679" i="1" s="1"/>
  <c r="O1678" i="1"/>
  <c r="N1678" i="1"/>
  <c r="M1678" i="1"/>
  <c r="L1678" i="1"/>
  <c r="J1678" i="1"/>
  <c r="K1678" i="1" s="1"/>
  <c r="O1677" i="1"/>
  <c r="N1677" i="1"/>
  <c r="M1677" i="1"/>
  <c r="L1677" i="1"/>
  <c r="J1677" i="1"/>
  <c r="K1677" i="1" s="1"/>
  <c r="O1676" i="1"/>
  <c r="N1676" i="1"/>
  <c r="M1676" i="1"/>
  <c r="L1676" i="1"/>
  <c r="J1676" i="1"/>
  <c r="K1676" i="1" s="1"/>
  <c r="O1675" i="1"/>
  <c r="N1675" i="1"/>
  <c r="M1675" i="1"/>
  <c r="L1675" i="1"/>
  <c r="J1675" i="1"/>
  <c r="K1675" i="1" s="1"/>
  <c r="O1674" i="1"/>
  <c r="N1674" i="1"/>
  <c r="M1674" i="1"/>
  <c r="L1674" i="1"/>
  <c r="J1674" i="1"/>
  <c r="K1674" i="1" s="1"/>
  <c r="O1673" i="1"/>
  <c r="N1673" i="1"/>
  <c r="M1673" i="1"/>
  <c r="L1673" i="1"/>
  <c r="J1673" i="1"/>
  <c r="K1673" i="1" s="1"/>
  <c r="O1672" i="1"/>
  <c r="N1672" i="1"/>
  <c r="M1672" i="1"/>
  <c r="L1672" i="1"/>
  <c r="J1672" i="1"/>
  <c r="K1672" i="1" s="1"/>
  <c r="O1671" i="1"/>
  <c r="N1671" i="1"/>
  <c r="M1671" i="1"/>
  <c r="L1671" i="1"/>
  <c r="J1671" i="1"/>
  <c r="K1671" i="1" s="1"/>
  <c r="O1670" i="1"/>
  <c r="N1670" i="1"/>
  <c r="M1670" i="1"/>
  <c r="L1670" i="1"/>
  <c r="J1670" i="1"/>
  <c r="K1670" i="1" s="1"/>
  <c r="O1669" i="1"/>
  <c r="N1669" i="1"/>
  <c r="M1669" i="1"/>
  <c r="L1669" i="1"/>
  <c r="J1669" i="1"/>
  <c r="K1669" i="1" s="1"/>
  <c r="O1668" i="1"/>
  <c r="N1668" i="1"/>
  <c r="M1668" i="1"/>
  <c r="L1668" i="1"/>
  <c r="J1668" i="1"/>
  <c r="K1668" i="1" s="1"/>
  <c r="O1667" i="1"/>
  <c r="N1667" i="1"/>
  <c r="M1667" i="1"/>
  <c r="L1667" i="1"/>
  <c r="J1667" i="1"/>
  <c r="K1667" i="1" s="1"/>
  <c r="O1666" i="1"/>
  <c r="N1666" i="1"/>
  <c r="M1666" i="1"/>
  <c r="L1666" i="1"/>
  <c r="J1666" i="1"/>
  <c r="K1666" i="1" s="1"/>
  <c r="O1665" i="1"/>
  <c r="N1665" i="1"/>
  <c r="M1665" i="1"/>
  <c r="L1665" i="1"/>
  <c r="J1665" i="1"/>
  <c r="K1665" i="1" s="1"/>
  <c r="O1664" i="1"/>
  <c r="N1664" i="1"/>
  <c r="M1664" i="1"/>
  <c r="L1664" i="1"/>
  <c r="J1664" i="1"/>
  <c r="K1664" i="1" s="1"/>
  <c r="O1663" i="1"/>
  <c r="N1663" i="1"/>
  <c r="M1663" i="1"/>
  <c r="L1663" i="1"/>
  <c r="J1663" i="1"/>
  <c r="K1663" i="1" s="1"/>
  <c r="O1662" i="1"/>
  <c r="N1662" i="1"/>
  <c r="M1662" i="1"/>
  <c r="L1662" i="1"/>
  <c r="J1662" i="1"/>
  <c r="K1662" i="1" s="1"/>
  <c r="O1661" i="1"/>
  <c r="N1661" i="1"/>
  <c r="M1661" i="1"/>
  <c r="L1661" i="1"/>
  <c r="J1661" i="1"/>
  <c r="K1661" i="1" s="1"/>
  <c r="O1660" i="1"/>
  <c r="N1660" i="1"/>
  <c r="M1660" i="1"/>
  <c r="L1660" i="1"/>
  <c r="J1660" i="1"/>
  <c r="K1660" i="1" s="1"/>
  <c r="O1659" i="1"/>
  <c r="N1659" i="1"/>
  <c r="M1659" i="1"/>
  <c r="L1659" i="1"/>
  <c r="J1659" i="1"/>
  <c r="K1659" i="1" s="1"/>
  <c r="O1658" i="1"/>
  <c r="N1658" i="1"/>
  <c r="M1658" i="1"/>
  <c r="L1658" i="1"/>
  <c r="J1658" i="1"/>
  <c r="K1658" i="1" s="1"/>
  <c r="O1657" i="1"/>
  <c r="N1657" i="1"/>
  <c r="M1657" i="1"/>
  <c r="L1657" i="1"/>
  <c r="J1657" i="1"/>
  <c r="K1657" i="1" s="1"/>
  <c r="O1656" i="1"/>
  <c r="N1656" i="1"/>
  <c r="M1656" i="1"/>
  <c r="L1656" i="1"/>
  <c r="J1656" i="1"/>
  <c r="K1656" i="1" s="1"/>
  <c r="O1655" i="1"/>
  <c r="N1655" i="1"/>
  <c r="M1655" i="1"/>
  <c r="L1655" i="1"/>
  <c r="J1655" i="1"/>
  <c r="K1655" i="1" s="1"/>
  <c r="O1654" i="1"/>
  <c r="N1654" i="1"/>
  <c r="M1654" i="1"/>
  <c r="L1654" i="1"/>
  <c r="J1654" i="1"/>
  <c r="K1654" i="1" s="1"/>
  <c r="O1653" i="1"/>
  <c r="N1653" i="1"/>
  <c r="M1653" i="1"/>
  <c r="L1653" i="1"/>
  <c r="J1653" i="1"/>
  <c r="K1653" i="1" s="1"/>
  <c r="O1652" i="1"/>
  <c r="N1652" i="1"/>
  <c r="M1652" i="1"/>
  <c r="L1652" i="1"/>
  <c r="J1652" i="1"/>
  <c r="K1652" i="1" s="1"/>
  <c r="O1651" i="1"/>
  <c r="N1651" i="1"/>
  <c r="M1651" i="1"/>
  <c r="L1651" i="1"/>
  <c r="J1651" i="1"/>
  <c r="K1651" i="1" s="1"/>
  <c r="O1650" i="1"/>
  <c r="N1650" i="1"/>
  <c r="M1650" i="1"/>
  <c r="L1650" i="1"/>
  <c r="J1650" i="1"/>
  <c r="K1650" i="1" s="1"/>
  <c r="O1649" i="1"/>
  <c r="N1649" i="1"/>
  <c r="M1649" i="1"/>
  <c r="L1649" i="1"/>
  <c r="J1649" i="1"/>
  <c r="K1649" i="1" s="1"/>
  <c r="O1648" i="1"/>
  <c r="N1648" i="1"/>
  <c r="M1648" i="1"/>
  <c r="L1648" i="1"/>
  <c r="J1648" i="1"/>
  <c r="K1648" i="1" s="1"/>
  <c r="O1647" i="1"/>
  <c r="N1647" i="1"/>
  <c r="M1647" i="1"/>
  <c r="L1647" i="1"/>
  <c r="J1647" i="1"/>
  <c r="K1647" i="1" s="1"/>
  <c r="O1646" i="1"/>
  <c r="N1646" i="1"/>
  <c r="M1646" i="1"/>
  <c r="L1646" i="1"/>
  <c r="J1646" i="1"/>
  <c r="K1646" i="1" s="1"/>
  <c r="O1645" i="1"/>
  <c r="N1645" i="1"/>
  <c r="M1645" i="1"/>
  <c r="L1645" i="1"/>
  <c r="J1645" i="1"/>
  <c r="K1645" i="1" s="1"/>
  <c r="O1644" i="1"/>
  <c r="N1644" i="1"/>
  <c r="M1644" i="1"/>
  <c r="L1644" i="1"/>
  <c r="J1644" i="1"/>
  <c r="K1644" i="1" s="1"/>
  <c r="O1643" i="1"/>
  <c r="N1643" i="1"/>
  <c r="M1643" i="1"/>
  <c r="L1643" i="1"/>
  <c r="J1643" i="1"/>
  <c r="K1643" i="1" s="1"/>
  <c r="O1642" i="1"/>
  <c r="N1642" i="1"/>
  <c r="M1642" i="1"/>
  <c r="L1642" i="1"/>
  <c r="J1642" i="1"/>
  <c r="K1642" i="1" s="1"/>
  <c r="O1641" i="1"/>
  <c r="N1641" i="1"/>
  <c r="M1641" i="1"/>
  <c r="L1641" i="1"/>
  <c r="J1641" i="1"/>
  <c r="K1641" i="1" s="1"/>
  <c r="O1640" i="1"/>
  <c r="N1640" i="1"/>
  <c r="M1640" i="1"/>
  <c r="L1640" i="1"/>
  <c r="J1640" i="1"/>
  <c r="K1640" i="1" s="1"/>
  <c r="O1639" i="1"/>
  <c r="N1639" i="1"/>
  <c r="M1639" i="1"/>
  <c r="L1639" i="1"/>
  <c r="J1639" i="1"/>
  <c r="K1639" i="1" s="1"/>
  <c r="O1638" i="1"/>
  <c r="N1638" i="1"/>
  <c r="M1638" i="1"/>
  <c r="L1638" i="1"/>
  <c r="J1638" i="1"/>
  <c r="K1638" i="1" s="1"/>
  <c r="O1637" i="1"/>
  <c r="N1637" i="1"/>
  <c r="M1637" i="1"/>
  <c r="L1637" i="1"/>
  <c r="J1637" i="1"/>
  <c r="K1637" i="1" s="1"/>
  <c r="O1636" i="1"/>
  <c r="N1636" i="1"/>
  <c r="M1636" i="1"/>
  <c r="L1636" i="1"/>
  <c r="J1636" i="1"/>
  <c r="K1636" i="1" s="1"/>
  <c r="O1635" i="1"/>
  <c r="N1635" i="1"/>
  <c r="M1635" i="1"/>
  <c r="L1635" i="1"/>
  <c r="J1635" i="1"/>
  <c r="K1635" i="1" s="1"/>
  <c r="O1634" i="1"/>
  <c r="N1634" i="1"/>
  <c r="M1634" i="1"/>
  <c r="L1634" i="1"/>
  <c r="J1634" i="1"/>
  <c r="K1634" i="1" s="1"/>
  <c r="O1633" i="1"/>
  <c r="N1633" i="1"/>
  <c r="M1633" i="1"/>
  <c r="L1633" i="1"/>
  <c r="J1633" i="1"/>
  <c r="K1633" i="1" s="1"/>
  <c r="O1632" i="1"/>
  <c r="N1632" i="1"/>
  <c r="M1632" i="1"/>
  <c r="L1632" i="1"/>
  <c r="J1632" i="1"/>
  <c r="K1632" i="1" s="1"/>
  <c r="O1631" i="1"/>
  <c r="N1631" i="1"/>
  <c r="M1631" i="1"/>
  <c r="L1631" i="1"/>
  <c r="J1631" i="1"/>
  <c r="K1631" i="1" s="1"/>
  <c r="O1630" i="1"/>
  <c r="N1630" i="1"/>
  <c r="M1630" i="1"/>
  <c r="L1630" i="1"/>
  <c r="J1630" i="1"/>
  <c r="K1630" i="1" s="1"/>
  <c r="O1629" i="1"/>
  <c r="N1629" i="1"/>
  <c r="M1629" i="1"/>
  <c r="L1629" i="1"/>
  <c r="J1629" i="1"/>
  <c r="K1629" i="1" s="1"/>
  <c r="O1628" i="1"/>
  <c r="N1628" i="1"/>
  <c r="M1628" i="1"/>
  <c r="L1628" i="1"/>
  <c r="J1628" i="1"/>
  <c r="K1628" i="1" s="1"/>
  <c r="O1627" i="1"/>
  <c r="N1627" i="1"/>
  <c r="M1627" i="1"/>
  <c r="L1627" i="1"/>
  <c r="J1627" i="1"/>
  <c r="K1627" i="1" s="1"/>
  <c r="O1626" i="1"/>
  <c r="N1626" i="1"/>
  <c r="M1626" i="1"/>
  <c r="L1626" i="1"/>
  <c r="J1626" i="1"/>
  <c r="K1626" i="1" s="1"/>
  <c r="O1625" i="1"/>
  <c r="N1625" i="1"/>
  <c r="M1625" i="1"/>
  <c r="L1625" i="1"/>
  <c r="J1625" i="1"/>
  <c r="K1625" i="1" s="1"/>
  <c r="O1624" i="1"/>
  <c r="N1624" i="1"/>
  <c r="M1624" i="1"/>
  <c r="L1624" i="1"/>
  <c r="J1624" i="1"/>
  <c r="K1624" i="1" s="1"/>
  <c r="O1623" i="1"/>
  <c r="N1623" i="1"/>
  <c r="M1623" i="1"/>
  <c r="L1623" i="1"/>
  <c r="J1623" i="1"/>
  <c r="K1623" i="1" s="1"/>
  <c r="O1622" i="1"/>
  <c r="N1622" i="1"/>
  <c r="M1622" i="1"/>
  <c r="L1622" i="1"/>
  <c r="J1622" i="1"/>
  <c r="K1622" i="1" s="1"/>
  <c r="O1621" i="1"/>
  <c r="N1621" i="1"/>
  <c r="M1621" i="1"/>
  <c r="L1621" i="1"/>
  <c r="J1621" i="1"/>
  <c r="K1621" i="1" s="1"/>
  <c r="O1620" i="1"/>
  <c r="N1620" i="1"/>
  <c r="M1620" i="1"/>
  <c r="L1620" i="1"/>
  <c r="J1620" i="1"/>
  <c r="K1620" i="1" s="1"/>
  <c r="O1619" i="1"/>
  <c r="N1619" i="1"/>
  <c r="M1619" i="1"/>
  <c r="L1619" i="1"/>
  <c r="J1619" i="1"/>
  <c r="K1619" i="1" s="1"/>
  <c r="O1618" i="1"/>
  <c r="N1618" i="1"/>
  <c r="M1618" i="1"/>
  <c r="L1618" i="1"/>
  <c r="J1618" i="1"/>
  <c r="K1618" i="1" s="1"/>
  <c r="O1617" i="1"/>
  <c r="N1617" i="1"/>
  <c r="M1617" i="1"/>
  <c r="L1617" i="1"/>
  <c r="J1617" i="1"/>
  <c r="K1617" i="1" s="1"/>
  <c r="O1616" i="1"/>
  <c r="N1616" i="1"/>
  <c r="M1616" i="1"/>
  <c r="L1616" i="1"/>
  <c r="J1616" i="1"/>
  <c r="K1616" i="1" s="1"/>
  <c r="O1615" i="1"/>
  <c r="N1615" i="1"/>
  <c r="M1615" i="1"/>
  <c r="L1615" i="1"/>
  <c r="J1615" i="1"/>
  <c r="K1615" i="1" s="1"/>
  <c r="O1614" i="1"/>
  <c r="N1614" i="1"/>
  <c r="M1614" i="1"/>
  <c r="L1614" i="1"/>
  <c r="J1614" i="1"/>
  <c r="K1614" i="1" s="1"/>
  <c r="O1613" i="1"/>
  <c r="N1613" i="1"/>
  <c r="M1613" i="1"/>
  <c r="L1613" i="1"/>
  <c r="J1613" i="1"/>
  <c r="K1613" i="1" s="1"/>
  <c r="O1612" i="1"/>
  <c r="N1612" i="1"/>
  <c r="M1612" i="1"/>
  <c r="L1612" i="1"/>
  <c r="J1612" i="1"/>
  <c r="K1612" i="1" s="1"/>
  <c r="O1611" i="1"/>
  <c r="N1611" i="1"/>
  <c r="M1611" i="1"/>
  <c r="L1611" i="1"/>
  <c r="J1611" i="1"/>
  <c r="K1611" i="1" s="1"/>
  <c r="O1610" i="1"/>
  <c r="N1610" i="1"/>
  <c r="M1610" i="1"/>
  <c r="L1610" i="1"/>
  <c r="J1610" i="1"/>
  <c r="K1610" i="1" s="1"/>
  <c r="O1609" i="1"/>
  <c r="N1609" i="1"/>
  <c r="M1609" i="1"/>
  <c r="L1609" i="1"/>
  <c r="J1609" i="1"/>
  <c r="K1609" i="1" s="1"/>
  <c r="O1608" i="1"/>
  <c r="N1608" i="1"/>
  <c r="M1608" i="1"/>
  <c r="L1608" i="1"/>
  <c r="J1608" i="1"/>
  <c r="K1608" i="1" s="1"/>
  <c r="O1607" i="1"/>
  <c r="N1607" i="1"/>
  <c r="M1607" i="1"/>
  <c r="L1607" i="1"/>
  <c r="J1607" i="1"/>
  <c r="K1607" i="1" s="1"/>
  <c r="O1606" i="1"/>
  <c r="N1606" i="1"/>
  <c r="M1606" i="1"/>
  <c r="L1606" i="1"/>
  <c r="J1606" i="1"/>
  <c r="K1606" i="1" s="1"/>
  <c r="O1605" i="1"/>
  <c r="N1605" i="1"/>
  <c r="M1605" i="1"/>
  <c r="L1605" i="1"/>
  <c r="J1605" i="1"/>
  <c r="K1605" i="1" s="1"/>
  <c r="O1604" i="1"/>
  <c r="N1604" i="1"/>
  <c r="M1604" i="1"/>
  <c r="L1604" i="1"/>
  <c r="J1604" i="1"/>
  <c r="K1604" i="1" s="1"/>
  <c r="O1603" i="1"/>
  <c r="N1603" i="1"/>
  <c r="M1603" i="1"/>
  <c r="L1603" i="1"/>
  <c r="J1603" i="1"/>
  <c r="K1603" i="1" s="1"/>
  <c r="O1602" i="1"/>
  <c r="N1602" i="1"/>
  <c r="M1602" i="1"/>
  <c r="L1602" i="1"/>
  <c r="J1602" i="1"/>
  <c r="K1602" i="1" s="1"/>
  <c r="O1601" i="1"/>
  <c r="N1601" i="1"/>
  <c r="M1601" i="1"/>
  <c r="L1601" i="1"/>
  <c r="J1601" i="1"/>
  <c r="K1601" i="1" s="1"/>
  <c r="O1600" i="1"/>
  <c r="N1600" i="1"/>
  <c r="M1600" i="1"/>
  <c r="L1600" i="1"/>
  <c r="J1600" i="1"/>
  <c r="K1600" i="1" s="1"/>
  <c r="O1599" i="1"/>
  <c r="N1599" i="1"/>
  <c r="M1599" i="1"/>
  <c r="L1599" i="1"/>
  <c r="J1599" i="1"/>
  <c r="K1599" i="1" s="1"/>
  <c r="O1598" i="1"/>
  <c r="N1598" i="1"/>
  <c r="M1598" i="1"/>
  <c r="L1598" i="1"/>
  <c r="J1598" i="1"/>
  <c r="K1598" i="1" s="1"/>
  <c r="O1597" i="1"/>
  <c r="N1597" i="1"/>
  <c r="M1597" i="1"/>
  <c r="L1597" i="1"/>
  <c r="J1597" i="1"/>
  <c r="K1597" i="1" s="1"/>
  <c r="O1596" i="1"/>
  <c r="N1596" i="1"/>
  <c r="M1596" i="1"/>
  <c r="L1596" i="1"/>
  <c r="J1596" i="1"/>
  <c r="K1596" i="1" s="1"/>
  <c r="O1595" i="1"/>
  <c r="N1595" i="1"/>
  <c r="M1595" i="1"/>
  <c r="L1595" i="1"/>
  <c r="J1595" i="1"/>
  <c r="K1595" i="1" s="1"/>
  <c r="O1594" i="1"/>
  <c r="N1594" i="1"/>
  <c r="M1594" i="1"/>
  <c r="L1594" i="1"/>
  <c r="J1594" i="1"/>
  <c r="K1594" i="1" s="1"/>
  <c r="O1593" i="1"/>
  <c r="N1593" i="1"/>
  <c r="M1593" i="1"/>
  <c r="L1593" i="1"/>
  <c r="J1593" i="1"/>
  <c r="K1593" i="1" s="1"/>
  <c r="O1592" i="1"/>
  <c r="N1592" i="1"/>
  <c r="M1592" i="1"/>
  <c r="L1592" i="1"/>
  <c r="J1592" i="1"/>
  <c r="K1592" i="1" s="1"/>
  <c r="O1591" i="1"/>
  <c r="N1591" i="1"/>
  <c r="M1591" i="1"/>
  <c r="L1591" i="1"/>
  <c r="J1591" i="1"/>
  <c r="K1591" i="1" s="1"/>
  <c r="O1590" i="1"/>
  <c r="N1590" i="1"/>
  <c r="M1590" i="1"/>
  <c r="L1590" i="1"/>
  <c r="J1590" i="1"/>
  <c r="K1590" i="1" s="1"/>
  <c r="O1589" i="1"/>
  <c r="N1589" i="1"/>
  <c r="M1589" i="1"/>
  <c r="L1589" i="1"/>
  <c r="J1589" i="1"/>
  <c r="K1589" i="1" s="1"/>
  <c r="O1588" i="1"/>
  <c r="N1588" i="1"/>
  <c r="M1588" i="1"/>
  <c r="L1588" i="1"/>
  <c r="J1588" i="1"/>
  <c r="K1588" i="1" s="1"/>
  <c r="O1587" i="1"/>
  <c r="N1587" i="1"/>
  <c r="M1587" i="1"/>
  <c r="L1587" i="1"/>
  <c r="J1587" i="1"/>
  <c r="K1587" i="1" s="1"/>
  <c r="O1586" i="1"/>
  <c r="N1586" i="1"/>
  <c r="M1586" i="1"/>
  <c r="L1586" i="1"/>
  <c r="J1586" i="1"/>
  <c r="K1586" i="1" s="1"/>
  <c r="O1585" i="1"/>
  <c r="N1585" i="1"/>
  <c r="M1585" i="1"/>
  <c r="L1585" i="1"/>
  <c r="J1585" i="1"/>
  <c r="K1585" i="1" s="1"/>
  <c r="O1584" i="1"/>
  <c r="N1584" i="1"/>
  <c r="M1584" i="1"/>
  <c r="L1584" i="1"/>
  <c r="J1584" i="1"/>
  <c r="K1584" i="1" s="1"/>
  <c r="O1583" i="1"/>
  <c r="N1583" i="1"/>
  <c r="M1583" i="1"/>
  <c r="L1583" i="1"/>
  <c r="J1583" i="1"/>
  <c r="K1583" i="1" s="1"/>
  <c r="O1582" i="1"/>
  <c r="N1582" i="1"/>
  <c r="M1582" i="1"/>
  <c r="L1582" i="1"/>
  <c r="J1582" i="1"/>
  <c r="K1582" i="1" s="1"/>
  <c r="O1581" i="1"/>
  <c r="N1581" i="1"/>
  <c r="M1581" i="1"/>
  <c r="L1581" i="1"/>
  <c r="J1581" i="1"/>
  <c r="K1581" i="1" s="1"/>
  <c r="O1580" i="1"/>
  <c r="N1580" i="1"/>
  <c r="M1580" i="1"/>
  <c r="L1580" i="1"/>
  <c r="J1580" i="1"/>
  <c r="K1580" i="1" s="1"/>
  <c r="O1579" i="1"/>
  <c r="N1579" i="1"/>
  <c r="M1579" i="1"/>
  <c r="L1579" i="1"/>
  <c r="J1579" i="1"/>
  <c r="K1579" i="1" s="1"/>
  <c r="O1578" i="1"/>
  <c r="N1578" i="1"/>
  <c r="M1578" i="1"/>
  <c r="L1578" i="1"/>
  <c r="J1578" i="1"/>
  <c r="K1578" i="1" s="1"/>
  <c r="O1577" i="1"/>
  <c r="N1577" i="1"/>
  <c r="M1577" i="1"/>
  <c r="L1577" i="1"/>
  <c r="J1577" i="1"/>
  <c r="K1577" i="1" s="1"/>
  <c r="O1576" i="1"/>
  <c r="N1576" i="1"/>
  <c r="M1576" i="1"/>
  <c r="L1576" i="1"/>
  <c r="J1576" i="1"/>
  <c r="K1576" i="1" s="1"/>
  <c r="O1575" i="1"/>
  <c r="N1575" i="1"/>
  <c r="M1575" i="1"/>
  <c r="L1575" i="1"/>
  <c r="J1575" i="1"/>
  <c r="K1575" i="1" s="1"/>
  <c r="O1574" i="1"/>
  <c r="N1574" i="1"/>
  <c r="M1574" i="1"/>
  <c r="L1574" i="1"/>
  <c r="J1574" i="1"/>
  <c r="K1574" i="1" s="1"/>
  <c r="O1573" i="1"/>
  <c r="N1573" i="1"/>
  <c r="M1573" i="1"/>
  <c r="L1573" i="1"/>
  <c r="J1573" i="1"/>
  <c r="K1573" i="1" s="1"/>
  <c r="O1572" i="1"/>
  <c r="N1572" i="1"/>
  <c r="M1572" i="1"/>
  <c r="L1572" i="1"/>
  <c r="J1572" i="1"/>
  <c r="K1572" i="1" s="1"/>
  <c r="O1571" i="1"/>
  <c r="N1571" i="1"/>
  <c r="M1571" i="1"/>
  <c r="L1571" i="1"/>
  <c r="J1571" i="1"/>
  <c r="K1571" i="1" s="1"/>
  <c r="O1570" i="1"/>
  <c r="N1570" i="1"/>
  <c r="M1570" i="1"/>
  <c r="L1570" i="1"/>
  <c r="J1570" i="1"/>
  <c r="K1570" i="1" s="1"/>
  <c r="O1569" i="1"/>
  <c r="N1569" i="1"/>
  <c r="M1569" i="1"/>
  <c r="L1569" i="1"/>
  <c r="J1569" i="1"/>
  <c r="K1569" i="1" s="1"/>
  <c r="O1568" i="1"/>
  <c r="N1568" i="1"/>
  <c r="M1568" i="1"/>
  <c r="L1568" i="1"/>
  <c r="J1568" i="1"/>
  <c r="K1568" i="1" s="1"/>
  <c r="O1567" i="1"/>
  <c r="N1567" i="1"/>
  <c r="M1567" i="1"/>
  <c r="L1567" i="1"/>
  <c r="J1567" i="1"/>
  <c r="K1567" i="1" s="1"/>
  <c r="O1566" i="1"/>
  <c r="N1566" i="1"/>
  <c r="M1566" i="1"/>
  <c r="L1566" i="1"/>
  <c r="J1566" i="1"/>
  <c r="K1566" i="1" s="1"/>
  <c r="O1565" i="1"/>
  <c r="N1565" i="1"/>
  <c r="M1565" i="1"/>
  <c r="L1565" i="1"/>
  <c r="J1565" i="1"/>
  <c r="K1565" i="1" s="1"/>
  <c r="O1564" i="1"/>
  <c r="N1564" i="1"/>
  <c r="M1564" i="1"/>
  <c r="L1564" i="1"/>
  <c r="J1564" i="1"/>
  <c r="K1564" i="1" s="1"/>
  <c r="O1563" i="1"/>
  <c r="N1563" i="1"/>
  <c r="M1563" i="1"/>
  <c r="L1563" i="1"/>
  <c r="J1563" i="1"/>
  <c r="K1563" i="1" s="1"/>
  <c r="O1562" i="1"/>
  <c r="N1562" i="1"/>
  <c r="M1562" i="1"/>
  <c r="L1562" i="1"/>
  <c r="J1562" i="1"/>
  <c r="K1562" i="1" s="1"/>
  <c r="O1561" i="1"/>
  <c r="N1561" i="1"/>
  <c r="M1561" i="1"/>
  <c r="L1561" i="1"/>
  <c r="J1561" i="1"/>
  <c r="K1561" i="1" s="1"/>
  <c r="O1560" i="1"/>
  <c r="N1560" i="1"/>
  <c r="M1560" i="1"/>
  <c r="L1560" i="1"/>
  <c r="J1560" i="1"/>
  <c r="K1560" i="1" s="1"/>
  <c r="O1559" i="1"/>
  <c r="N1559" i="1"/>
  <c r="M1559" i="1"/>
  <c r="L1559" i="1"/>
  <c r="J1559" i="1"/>
  <c r="K1559" i="1" s="1"/>
  <c r="O1558" i="1"/>
  <c r="N1558" i="1"/>
  <c r="M1558" i="1"/>
  <c r="L1558" i="1"/>
  <c r="J1558" i="1"/>
  <c r="K1558" i="1" s="1"/>
  <c r="O1557" i="1"/>
  <c r="N1557" i="1"/>
  <c r="M1557" i="1"/>
  <c r="L1557" i="1"/>
  <c r="J1557" i="1"/>
  <c r="K1557" i="1" s="1"/>
  <c r="O1556" i="1"/>
  <c r="N1556" i="1"/>
  <c r="M1556" i="1"/>
  <c r="L1556" i="1"/>
  <c r="J1556" i="1"/>
  <c r="K1556" i="1" s="1"/>
  <c r="O1555" i="1"/>
  <c r="N1555" i="1"/>
  <c r="M1555" i="1"/>
  <c r="L1555" i="1"/>
  <c r="J1555" i="1"/>
  <c r="K1555" i="1" s="1"/>
  <c r="O1554" i="1"/>
  <c r="N1554" i="1"/>
  <c r="M1554" i="1"/>
  <c r="L1554" i="1"/>
  <c r="J1554" i="1"/>
  <c r="K1554" i="1" s="1"/>
  <c r="O1553" i="1"/>
  <c r="N1553" i="1"/>
  <c r="M1553" i="1"/>
  <c r="L1553" i="1"/>
  <c r="J1553" i="1"/>
  <c r="K1553" i="1" s="1"/>
  <c r="O1552" i="1"/>
  <c r="N1552" i="1"/>
  <c r="M1552" i="1"/>
  <c r="L1552" i="1"/>
  <c r="J1552" i="1"/>
  <c r="K1552" i="1" s="1"/>
  <c r="O1551" i="1"/>
  <c r="N1551" i="1"/>
  <c r="M1551" i="1"/>
  <c r="L1551" i="1"/>
  <c r="J1551" i="1"/>
  <c r="K1551" i="1" s="1"/>
  <c r="O1550" i="1"/>
  <c r="N1550" i="1"/>
  <c r="M1550" i="1"/>
  <c r="L1550" i="1"/>
  <c r="J1550" i="1"/>
  <c r="K1550" i="1" s="1"/>
  <c r="O1549" i="1"/>
  <c r="N1549" i="1"/>
  <c r="M1549" i="1"/>
  <c r="L1549" i="1"/>
  <c r="J1549" i="1"/>
  <c r="K1549" i="1" s="1"/>
  <c r="O1548" i="1"/>
  <c r="N1548" i="1"/>
  <c r="M1548" i="1"/>
  <c r="L1548" i="1"/>
  <c r="J1548" i="1"/>
  <c r="K1548" i="1" s="1"/>
  <c r="O1547" i="1"/>
  <c r="N1547" i="1"/>
  <c r="M1547" i="1"/>
  <c r="L1547" i="1"/>
  <c r="J1547" i="1"/>
  <c r="K1547" i="1" s="1"/>
  <c r="O1546" i="1"/>
  <c r="N1546" i="1"/>
  <c r="M1546" i="1"/>
  <c r="L1546" i="1"/>
  <c r="J1546" i="1"/>
  <c r="K1546" i="1" s="1"/>
  <c r="O1545" i="1"/>
  <c r="N1545" i="1"/>
  <c r="M1545" i="1"/>
  <c r="L1545" i="1"/>
  <c r="J1545" i="1"/>
  <c r="K1545" i="1" s="1"/>
  <c r="O1544" i="1"/>
  <c r="N1544" i="1"/>
  <c r="M1544" i="1"/>
  <c r="L1544" i="1"/>
  <c r="J1544" i="1"/>
  <c r="K1544" i="1" s="1"/>
  <c r="O1543" i="1"/>
  <c r="N1543" i="1"/>
  <c r="M1543" i="1"/>
  <c r="L1543" i="1"/>
  <c r="J1543" i="1"/>
  <c r="K1543" i="1" s="1"/>
  <c r="O1542" i="1"/>
  <c r="N1542" i="1"/>
  <c r="M1542" i="1"/>
  <c r="L1542" i="1"/>
  <c r="J1542" i="1"/>
  <c r="K1542" i="1" s="1"/>
  <c r="O1541" i="1"/>
  <c r="N1541" i="1"/>
  <c r="M1541" i="1"/>
  <c r="L1541" i="1"/>
  <c r="J1541" i="1"/>
  <c r="K1541" i="1" s="1"/>
  <c r="O1540" i="1"/>
  <c r="N1540" i="1"/>
  <c r="M1540" i="1"/>
  <c r="L1540" i="1"/>
  <c r="J1540" i="1"/>
  <c r="K1540" i="1" s="1"/>
  <c r="O1539" i="1"/>
  <c r="N1539" i="1"/>
  <c r="M1539" i="1"/>
  <c r="L1539" i="1"/>
  <c r="J1539" i="1"/>
  <c r="K1539" i="1" s="1"/>
  <c r="O1538" i="1"/>
  <c r="N1538" i="1"/>
  <c r="M1538" i="1"/>
  <c r="L1538" i="1"/>
  <c r="J1538" i="1"/>
  <c r="K1538" i="1" s="1"/>
  <c r="O1537" i="1"/>
  <c r="N1537" i="1"/>
  <c r="M1537" i="1"/>
  <c r="L1537" i="1"/>
  <c r="J1537" i="1"/>
  <c r="K1537" i="1" s="1"/>
  <c r="O1536" i="1"/>
  <c r="N1536" i="1"/>
  <c r="M1536" i="1"/>
  <c r="L1536" i="1"/>
  <c r="J1536" i="1"/>
  <c r="K1536" i="1" s="1"/>
  <c r="O1535" i="1"/>
  <c r="N1535" i="1"/>
  <c r="M1535" i="1"/>
  <c r="L1535" i="1"/>
  <c r="J1535" i="1"/>
  <c r="K1535" i="1" s="1"/>
  <c r="O1534" i="1"/>
  <c r="N1534" i="1"/>
  <c r="M1534" i="1"/>
  <c r="L1534" i="1"/>
  <c r="J1534" i="1"/>
  <c r="K1534" i="1" s="1"/>
  <c r="O1533" i="1"/>
  <c r="N1533" i="1"/>
  <c r="M1533" i="1"/>
  <c r="L1533" i="1"/>
  <c r="J1533" i="1"/>
  <c r="K1533" i="1" s="1"/>
  <c r="O1532" i="1"/>
  <c r="N1532" i="1"/>
  <c r="M1532" i="1"/>
  <c r="L1532" i="1"/>
  <c r="J1532" i="1"/>
  <c r="K1532" i="1" s="1"/>
  <c r="O1531" i="1"/>
  <c r="N1531" i="1"/>
  <c r="M1531" i="1"/>
  <c r="L1531" i="1"/>
  <c r="J1531" i="1"/>
  <c r="K1531" i="1" s="1"/>
  <c r="O1530" i="1"/>
  <c r="N1530" i="1"/>
  <c r="M1530" i="1"/>
  <c r="L1530" i="1"/>
  <c r="J1530" i="1"/>
  <c r="K1530" i="1" s="1"/>
  <c r="O1529" i="1"/>
  <c r="N1529" i="1"/>
  <c r="M1529" i="1"/>
  <c r="L1529" i="1"/>
  <c r="J1529" i="1"/>
  <c r="K1529" i="1" s="1"/>
  <c r="O1528" i="1"/>
  <c r="N1528" i="1"/>
  <c r="M1528" i="1"/>
  <c r="L1528" i="1"/>
  <c r="J1528" i="1"/>
  <c r="K1528" i="1" s="1"/>
  <c r="O1527" i="1"/>
  <c r="N1527" i="1"/>
  <c r="M1527" i="1"/>
  <c r="L1527" i="1"/>
  <c r="J1527" i="1"/>
  <c r="K1527" i="1" s="1"/>
  <c r="O1526" i="1"/>
  <c r="N1526" i="1"/>
  <c r="M1526" i="1"/>
  <c r="L1526" i="1"/>
  <c r="J1526" i="1"/>
  <c r="K1526" i="1" s="1"/>
  <c r="O1525" i="1"/>
  <c r="N1525" i="1"/>
  <c r="M1525" i="1"/>
  <c r="L1525" i="1"/>
  <c r="J1525" i="1"/>
  <c r="K1525" i="1" s="1"/>
  <c r="O1524" i="1"/>
  <c r="N1524" i="1"/>
  <c r="M1524" i="1"/>
  <c r="L1524" i="1"/>
  <c r="J1524" i="1"/>
  <c r="K1524" i="1" s="1"/>
  <c r="O1523" i="1"/>
  <c r="N1523" i="1"/>
  <c r="M1523" i="1"/>
  <c r="L1523" i="1"/>
  <c r="J1523" i="1"/>
  <c r="K1523" i="1" s="1"/>
  <c r="O1522" i="1"/>
  <c r="N1522" i="1"/>
  <c r="M1522" i="1"/>
  <c r="L1522" i="1"/>
  <c r="J1522" i="1"/>
  <c r="K1522" i="1" s="1"/>
  <c r="O1521" i="1"/>
  <c r="N1521" i="1"/>
  <c r="M1521" i="1"/>
  <c r="L1521" i="1"/>
  <c r="J1521" i="1"/>
  <c r="K1521" i="1" s="1"/>
  <c r="O1520" i="1"/>
  <c r="N1520" i="1"/>
  <c r="M1520" i="1"/>
  <c r="L1520" i="1"/>
  <c r="J1520" i="1"/>
  <c r="K1520" i="1" s="1"/>
  <c r="O1519" i="1"/>
  <c r="N1519" i="1"/>
  <c r="M1519" i="1"/>
  <c r="L1519" i="1"/>
  <c r="J1519" i="1"/>
  <c r="K1519" i="1" s="1"/>
  <c r="O1518" i="1"/>
  <c r="N1518" i="1"/>
  <c r="M1518" i="1"/>
  <c r="L1518" i="1"/>
  <c r="J1518" i="1"/>
  <c r="K1518" i="1" s="1"/>
  <c r="O1517" i="1"/>
  <c r="N1517" i="1"/>
  <c r="M1517" i="1"/>
  <c r="L1517" i="1"/>
  <c r="J1517" i="1"/>
  <c r="K1517" i="1" s="1"/>
  <c r="O1516" i="1"/>
  <c r="N1516" i="1"/>
  <c r="M1516" i="1"/>
  <c r="L1516" i="1"/>
  <c r="J1516" i="1"/>
  <c r="K1516" i="1" s="1"/>
  <c r="O1515" i="1"/>
  <c r="N1515" i="1"/>
  <c r="M1515" i="1"/>
  <c r="L1515" i="1"/>
  <c r="J1515" i="1"/>
  <c r="K1515" i="1" s="1"/>
  <c r="O1514" i="1"/>
  <c r="N1514" i="1"/>
  <c r="M1514" i="1"/>
  <c r="L1514" i="1"/>
  <c r="J1514" i="1"/>
  <c r="K1514" i="1" s="1"/>
  <c r="O1513" i="1"/>
  <c r="N1513" i="1"/>
  <c r="M1513" i="1"/>
  <c r="L1513" i="1"/>
  <c r="J1513" i="1"/>
  <c r="K1513" i="1" s="1"/>
  <c r="O1512" i="1"/>
  <c r="N1512" i="1"/>
  <c r="M1512" i="1"/>
  <c r="L1512" i="1"/>
  <c r="J1512" i="1"/>
  <c r="K1512" i="1" s="1"/>
  <c r="O1511" i="1"/>
  <c r="N1511" i="1"/>
  <c r="M1511" i="1"/>
  <c r="L1511" i="1"/>
  <c r="J1511" i="1"/>
  <c r="K1511" i="1" s="1"/>
  <c r="O1510" i="1"/>
  <c r="N1510" i="1"/>
  <c r="M1510" i="1"/>
  <c r="L1510" i="1"/>
  <c r="J1510" i="1"/>
  <c r="K1510" i="1" s="1"/>
  <c r="O1509" i="1"/>
  <c r="N1509" i="1"/>
  <c r="M1509" i="1"/>
  <c r="L1509" i="1"/>
  <c r="J1509" i="1"/>
  <c r="K1509" i="1" s="1"/>
  <c r="O1508" i="1"/>
  <c r="N1508" i="1"/>
  <c r="M1508" i="1"/>
  <c r="L1508" i="1"/>
  <c r="J1508" i="1"/>
  <c r="K1508" i="1" s="1"/>
  <c r="O1507" i="1"/>
  <c r="N1507" i="1"/>
  <c r="M1507" i="1"/>
  <c r="L1507" i="1"/>
  <c r="J1507" i="1"/>
  <c r="K1507" i="1" s="1"/>
  <c r="O1506" i="1"/>
  <c r="N1506" i="1"/>
  <c r="M1506" i="1"/>
  <c r="L1506" i="1"/>
  <c r="J1506" i="1"/>
  <c r="K1506" i="1" s="1"/>
  <c r="O1505" i="1"/>
  <c r="N1505" i="1"/>
  <c r="M1505" i="1"/>
  <c r="L1505" i="1"/>
  <c r="J1505" i="1"/>
  <c r="K1505" i="1" s="1"/>
  <c r="O1504" i="1"/>
  <c r="N1504" i="1"/>
  <c r="M1504" i="1"/>
  <c r="L1504" i="1"/>
  <c r="J1504" i="1"/>
  <c r="K1504" i="1" s="1"/>
  <c r="O1503" i="1"/>
  <c r="N1503" i="1"/>
  <c r="M1503" i="1"/>
  <c r="L1503" i="1"/>
  <c r="J1503" i="1"/>
  <c r="K1503" i="1" s="1"/>
  <c r="O1502" i="1"/>
  <c r="N1502" i="1"/>
  <c r="M1502" i="1"/>
  <c r="L1502" i="1"/>
  <c r="J1502" i="1"/>
  <c r="K1502" i="1" s="1"/>
  <c r="O1501" i="1"/>
  <c r="N1501" i="1"/>
  <c r="M1501" i="1"/>
  <c r="L1501" i="1"/>
  <c r="J1501" i="1"/>
  <c r="K1501" i="1" s="1"/>
  <c r="O1500" i="1"/>
  <c r="N1500" i="1"/>
  <c r="M1500" i="1"/>
  <c r="L1500" i="1"/>
  <c r="J1500" i="1"/>
  <c r="K1500" i="1" s="1"/>
  <c r="O1499" i="1"/>
  <c r="N1499" i="1"/>
  <c r="M1499" i="1"/>
  <c r="L1499" i="1"/>
  <c r="J1499" i="1"/>
  <c r="K1499" i="1" s="1"/>
  <c r="O1498" i="1"/>
  <c r="N1498" i="1"/>
  <c r="M1498" i="1"/>
  <c r="L1498" i="1"/>
  <c r="J1498" i="1"/>
  <c r="K1498" i="1" s="1"/>
  <c r="O1497" i="1"/>
  <c r="N1497" i="1"/>
  <c r="M1497" i="1"/>
  <c r="L1497" i="1"/>
  <c r="J1497" i="1"/>
  <c r="K1497" i="1" s="1"/>
  <c r="O1496" i="1"/>
  <c r="N1496" i="1"/>
  <c r="M1496" i="1"/>
  <c r="L1496" i="1"/>
  <c r="J1496" i="1"/>
  <c r="K1496" i="1" s="1"/>
  <c r="O1495" i="1"/>
  <c r="N1495" i="1"/>
  <c r="M1495" i="1"/>
  <c r="L1495" i="1"/>
  <c r="J1495" i="1"/>
  <c r="K1495" i="1" s="1"/>
  <c r="O1494" i="1"/>
  <c r="N1494" i="1"/>
  <c r="M1494" i="1"/>
  <c r="L1494" i="1"/>
  <c r="J1494" i="1"/>
  <c r="K1494" i="1" s="1"/>
  <c r="O1493" i="1"/>
  <c r="N1493" i="1"/>
  <c r="M1493" i="1"/>
  <c r="L1493" i="1"/>
  <c r="J1493" i="1"/>
  <c r="K1493" i="1" s="1"/>
  <c r="O1492" i="1"/>
  <c r="N1492" i="1"/>
  <c r="M1492" i="1"/>
  <c r="L1492" i="1"/>
  <c r="J1492" i="1"/>
  <c r="K1492" i="1" s="1"/>
  <c r="O1491" i="1"/>
  <c r="N1491" i="1"/>
  <c r="M1491" i="1"/>
  <c r="L1491" i="1"/>
  <c r="J1491" i="1"/>
  <c r="K1491" i="1" s="1"/>
  <c r="O1490" i="1"/>
  <c r="N1490" i="1"/>
  <c r="M1490" i="1"/>
  <c r="L1490" i="1"/>
  <c r="J1490" i="1"/>
  <c r="K1490" i="1" s="1"/>
  <c r="O1489" i="1"/>
  <c r="N1489" i="1"/>
  <c r="M1489" i="1"/>
  <c r="L1489" i="1"/>
  <c r="J1489" i="1"/>
  <c r="K1489" i="1" s="1"/>
  <c r="O1488" i="1"/>
  <c r="N1488" i="1"/>
  <c r="M1488" i="1"/>
  <c r="L1488" i="1"/>
  <c r="J1488" i="1"/>
  <c r="K1488" i="1" s="1"/>
  <c r="O1487" i="1"/>
  <c r="N1487" i="1"/>
  <c r="M1487" i="1"/>
  <c r="L1487" i="1"/>
  <c r="J1487" i="1"/>
  <c r="K1487" i="1" s="1"/>
  <c r="O1486" i="1"/>
  <c r="N1486" i="1"/>
  <c r="M1486" i="1"/>
  <c r="L1486" i="1"/>
  <c r="J1486" i="1"/>
  <c r="K1486" i="1" s="1"/>
  <c r="O1485" i="1"/>
  <c r="N1485" i="1"/>
  <c r="M1485" i="1"/>
  <c r="L1485" i="1"/>
  <c r="J1485" i="1"/>
  <c r="K1485" i="1" s="1"/>
  <c r="O1484" i="1"/>
  <c r="N1484" i="1"/>
  <c r="M1484" i="1"/>
  <c r="L1484" i="1"/>
  <c r="J1484" i="1"/>
  <c r="K1484" i="1" s="1"/>
  <c r="O1483" i="1"/>
  <c r="N1483" i="1"/>
  <c r="M1483" i="1"/>
  <c r="L1483" i="1"/>
  <c r="J1483" i="1"/>
  <c r="K1483" i="1" s="1"/>
  <c r="O1482" i="1"/>
  <c r="N1482" i="1"/>
  <c r="M1482" i="1"/>
  <c r="L1482" i="1"/>
  <c r="J1482" i="1"/>
  <c r="K1482" i="1" s="1"/>
  <c r="O1481" i="1"/>
  <c r="N1481" i="1"/>
  <c r="M1481" i="1"/>
  <c r="L1481" i="1"/>
  <c r="J1481" i="1"/>
  <c r="K1481" i="1" s="1"/>
  <c r="O1480" i="1"/>
  <c r="N1480" i="1"/>
  <c r="M1480" i="1"/>
  <c r="L1480" i="1"/>
  <c r="J1480" i="1"/>
  <c r="K1480" i="1" s="1"/>
  <c r="O1479" i="1"/>
  <c r="N1479" i="1"/>
  <c r="M1479" i="1"/>
  <c r="L1479" i="1"/>
  <c r="J1479" i="1"/>
  <c r="K1479" i="1" s="1"/>
  <c r="O1478" i="1"/>
  <c r="N1478" i="1"/>
  <c r="M1478" i="1"/>
  <c r="L1478" i="1"/>
  <c r="J1478" i="1"/>
  <c r="K1478" i="1" s="1"/>
  <c r="O1477" i="1"/>
  <c r="N1477" i="1"/>
  <c r="M1477" i="1"/>
  <c r="L1477" i="1"/>
  <c r="J1477" i="1"/>
  <c r="K1477" i="1" s="1"/>
  <c r="O1476" i="1"/>
  <c r="N1476" i="1"/>
  <c r="M1476" i="1"/>
  <c r="L1476" i="1"/>
  <c r="J1476" i="1"/>
  <c r="K1476" i="1" s="1"/>
  <c r="O1475" i="1"/>
  <c r="N1475" i="1"/>
  <c r="M1475" i="1"/>
  <c r="L1475" i="1"/>
  <c r="J1475" i="1"/>
  <c r="K1475" i="1" s="1"/>
  <c r="O1474" i="1"/>
  <c r="N1474" i="1"/>
  <c r="M1474" i="1"/>
  <c r="L1474" i="1"/>
  <c r="J1474" i="1"/>
  <c r="K1474" i="1" s="1"/>
  <c r="O1473" i="1"/>
  <c r="N1473" i="1"/>
  <c r="M1473" i="1"/>
  <c r="L1473" i="1"/>
  <c r="J1473" i="1"/>
  <c r="K1473" i="1" s="1"/>
  <c r="O1472" i="1"/>
  <c r="N1472" i="1"/>
  <c r="M1472" i="1"/>
  <c r="L1472" i="1"/>
  <c r="J1472" i="1"/>
  <c r="K1472" i="1" s="1"/>
  <c r="O1471" i="1"/>
  <c r="N1471" i="1"/>
  <c r="M1471" i="1"/>
  <c r="L1471" i="1"/>
  <c r="J1471" i="1"/>
  <c r="K1471" i="1" s="1"/>
  <c r="O1470" i="1"/>
  <c r="N1470" i="1"/>
  <c r="M1470" i="1"/>
  <c r="L1470" i="1"/>
  <c r="J1470" i="1"/>
  <c r="K1470" i="1" s="1"/>
  <c r="O1469" i="1"/>
  <c r="N1469" i="1"/>
  <c r="M1469" i="1"/>
  <c r="L1469" i="1"/>
  <c r="J1469" i="1"/>
  <c r="K1469" i="1" s="1"/>
  <c r="O1468" i="1"/>
  <c r="N1468" i="1"/>
  <c r="M1468" i="1"/>
  <c r="L1468" i="1"/>
  <c r="J1468" i="1"/>
  <c r="K1468" i="1" s="1"/>
  <c r="O1467" i="1"/>
  <c r="N1467" i="1"/>
  <c r="M1467" i="1"/>
  <c r="L1467" i="1"/>
  <c r="J1467" i="1"/>
  <c r="K1467" i="1" s="1"/>
  <c r="O1466" i="1"/>
  <c r="N1466" i="1"/>
  <c r="M1466" i="1"/>
  <c r="L1466" i="1"/>
  <c r="J1466" i="1"/>
  <c r="K1466" i="1" s="1"/>
  <c r="O1465" i="1"/>
  <c r="N1465" i="1"/>
  <c r="M1465" i="1"/>
  <c r="L1465" i="1"/>
  <c r="J1465" i="1"/>
  <c r="K1465" i="1" s="1"/>
  <c r="O1464" i="1"/>
  <c r="N1464" i="1"/>
  <c r="M1464" i="1"/>
  <c r="L1464" i="1"/>
  <c r="J1464" i="1"/>
  <c r="K1464" i="1" s="1"/>
  <c r="O1463" i="1"/>
  <c r="N1463" i="1"/>
  <c r="M1463" i="1"/>
  <c r="L1463" i="1"/>
  <c r="J1463" i="1"/>
  <c r="K1463" i="1" s="1"/>
  <c r="O1462" i="1"/>
  <c r="N1462" i="1"/>
  <c r="M1462" i="1"/>
  <c r="L1462" i="1"/>
  <c r="J1462" i="1"/>
  <c r="K1462" i="1" s="1"/>
  <c r="O1461" i="1"/>
  <c r="N1461" i="1"/>
  <c r="M1461" i="1"/>
  <c r="L1461" i="1"/>
  <c r="J1461" i="1"/>
  <c r="K1461" i="1" s="1"/>
  <c r="O1460" i="1"/>
  <c r="N1460" i="1"/>
  <c r="M1460" i="1"/>
  <c r="L1460" i="1"/>
  <c r="J1460" i="1"/>
  <c r="K1460" i="1" s="1"/>
  <c r="O1459" i="1"/>
  <c r="N1459" i="1"/>
  <c r="M1459" i="1"/>
  <c r="L1459" i="1"/>
  <c r="J1459" i="1"/>
  <c r="K1459" i="1" s="1"/>
  <c r="O1458" i="1"/>
  <c r="N1458" i="1"/>
  <c r="M1458" i="1"/>
  <c r="L1458" i="1"/>
  <c r="J1458" i="1"/>
  <c r="K1458" i="1" s="1"/>
  <c r="O1457" i="1"/>
  <c r="N1457" i="1"/>
  <c r="M1457" i="1"/>
  <c r="L1457" i="1"/>
  <c r="J1457" i="1"/>
  <c r="K1457" i="1" s="1"/>
  <c r="O1456" i="1"/>
  <c r="N1456" i="1"/>
  <c r="M1456" i="1"/>
  <c r="L1456" i="1"/>
  <c r="J1456" i="1"/>
  <c r="K1456" i="1" s="1"/>
  <c r="O1455" i="1"/>
  <c r="N1455" i="1"/>
  <c r="M1455" i="1"/>
  <c r="L1455" i="1"/>
  <c r="J1455" i="1"/>
  <c r="K1455" i="1" s="1"/>
  <c r="O1454" i="1"/>
  <c r="N1454" i="1"/>
  <c r="M1454" i="1"/>
  <c r="L1454" i="1"/>
  <c r="J1454" i="1"/>
  <c r="K1454" i="1" s="1"/>
  <c r="O1453" i="1"/>
  <c r="N1453" i="1"/>
  <c r="M1453" i="1"/>
  <c r="L1453" i="1"/>
  <c r="J1453" i="1"/>
  <c r="K1453" i="1" s="1"/>
  <c r="O1452" i="1"/>
  <c r="N1452" i="1"/>
  <c r="M1452" i="1"/>
  <c r="L1452" i="1"/>
  <c r="J1452" i="1"/>
  <c r="K1452" i="1" s="1"/>
  <c r="O1451" i="1"/>
  <c r="N1451" i="1"/>
  <c r="M1451" i="1"/>
  <c r="L1451" i="1"/>
  <c r="J1451" i="1"/>
  <c r="K1451" i="1" s="1"/>
  <c r="O1450" i="1"/>
  <c r="N1450" i="1"/>
  <c r="M1450" i="1"/>
  <c r="L1450" i="1"/>
  <c r="J1450" i="1"/>
  <c r="K1450" i="1" s="1"/>
  <c r="O1449" i="1"/>
  <c r="N1449" i="1"/>
  <c r="M1449" i="1"/>
  <c r="L1449" i="1"/>
  <c r="J1449" i="1"/>
  <c r="K1449" i="1" s="1"/>
  <c r="O1448" i="1"/>
  <c r="N1448" i="1"/>
  <c r="M1448" i="1"/>
  <c r="L1448" i="1"/>
  <c r="J1448" i="1"/>
  <c r="K1448" i="1" s="1"/>
  <c r="O1447" i="1"/>
  <c r="N1447" i="1"/>
  <c r="M1447" i="1"/>
  <c r="L1447" i="1"/>
  <c r="J1447" i="1"/>
  <c r="K1447" i="1" s="1"/>
  <c r="O1446" i="1"/>
  <c r="N1446" i="1"/>
  <c r="M1446" i="1"/>
  <c r="L1446" i="1"/>
  <c r="J1446" i="1"/>
  <c r="K1446" i="1" s="1"/>
  <c r="O1445" i="1"/>
  <c r="N1445" i="1"/>
  <c r="M1445" i="1"/>
  <c r="L1445" i="1"/>
  <c r="J1445" i="1"/>
  <c r="K1445" i="1" s="1"/>
  <c r="O1444" i="1"/>
  <c r="N1444" i="1"/>
  <c r="M1444" i="1"/>
  <c r="L1444" i="1"/>
  <c r="J1444" i="1"/>
  <c r="K1444" i="1" s="1"/>
  <c r="O1443" i="1"/>
  <c r="N1443" i="1"/>
  <c r="M1443" i="1"/>
  <c r="L1443" i="1"/>
  <c r="J1443" i="1"/>
  <c r="K1443" i="1" s="1"/>
  <c r="O1442" i="1"/>
  <c r="N1442" i="1"/>
  <c r="M1442" i="1"/>
  <c r="L1442" i="1"/>
  <c r="J1442" i="1"/>
  <c r="K1442" i="1" s="1"/>
  <c r="O1441" i="1"/>
  <c r="N1441" i="1"/>
  <c r="M1441" i="1"/>
  <c r="L1441" i="1"/>
  <c r="J1441" i="1"/>
  <c r="K1441" i="1" s="1"/>
  <c r="O1440" i="1"/>
  <c r="N1440" i="1"/>
  <c r="M1440" i="1"/>
  <c r="L1440" i="1"/>
  <c r="J1440" i="1"/>
  <c r="K1440" i="1" s="1"/>
  <c r="O1439" i="1"/>
  <c r="N1439" i="1"/>
  <c r="M1439" i="1"/>
  <c r="L1439" i="1"/>
  <c r="J1439" i="1"/>
  <c r="K1439" i="1" s="1"/>
  <c r="O1438" i="1"/>
  <c r="N1438" i="1"/>
  <c r="M1438" i="1"/>
  <c r="L1438" i="1"/>
  <c r="J1438" i="1"/>
  <c r="K1438" i="1" s="1"/>
  <c r="O1437" i="1"/>
  <c r="N1437" i="1"/>
  <c r="M1437" i="1"/>
  <c r="L1437" i="1"/>
  <c r="J1437" i="1"/>
  <c r="K1437" i="1" s="1"/>
  <c r="O1436" i="1"/>
  <c r="N1436" i="1"/>
  <c r="M1436" i="1"/>
  <c r="L1436" i="1"/>
  <c r="J1436" i="1"/>
  <c r="K1436" i="1" s="1"/>
  <c r="O1435" i="1"/>
  <c r="N1435" i="1"/>
  <c r="M1435" i="1"/>
  <c r="L1435" i="1"/>
  <c r="J1435" i="1"/>
  <c r="K1435" i="1" s="1"/>
  <c r="O1434" i="1"/>
  <c r="N1434" i="1"/>
  <c r="M1434" i="1"/>
  <c r="L1434" i="1"/>
  <c r="J1434" i="1"/>
  <c r="K1434" i="1" s="1"/>
  <c r="O1433" i="1"/>
  <c r="N1433" i="1"/>
  <c r="M1433" i="1"/>
  <c r="L1433" i="1"/>
  <c r="J1433" i="1"/>
  <c r="K1433" i="1" s="1"/>
  <c r="O1432" i="1"/>
  <c r="N1432" i="1"/>
  <c r="M1432" i="1"/>
  <c r="L1432" i="1"/>
  <c r="J1432" i="1"/>
  <c r="K1432" i="1" s="1"/>
  <c r="O1431" i="1"/>
  <c r="N1431" i="1"/>
  <c r="M1431" i="1"/>
  <c r="L1431" i="1"/>
  <c r="J1431" i="1"/>
  <c r="K1431" i="1" s="1"/>
  <c r="O1430" i="1"/>
  <c r="N1430" i="1"/>
  <c r="M1430" i="1"/>
  <c r="L1430" i="1"/>
  <c r="J1430" i="1"/>
  <c r="K1430" i="1" s="1"/>
  <c r="O1429" i="1"/>
  <c r="N1429" i="1"/>
  <c r="M1429" i="1"/>
  <c r="L1429" i="1"/>
  <c r="J1429" i="1"/>
  <c r="K1429" i="1" s="1"/>
  <c r="O1428" i="1"/>
  <c r="N1428" i="1"/>
  <c r="M1428" i="1"/>
  <c r="L1428" i="1"/>
  <c r="J1428" i="1"/>
  <c r="K1428" i="1" s="1"/>
  <c r="O1427" i="1"/>
  <c r="N1427" i="1"/>
  <c r="M1427" i="1"/>
  <c r="L1427" i="1"/>
  <c r="J1427" i="1"/>
  <c r="K1427" i="1" s="1"/>
  <c r="O1426" i="1"/>
  <c r="N1426" i="1"/>
  <c r="M1426" i="1"/>
  <c r="L1426" i="1"/>
  <c r="J1426" i="1"/>
  <c r="K1426" i="1" s="1"/>
  <c r="O1425" i="1"/>
  <c r="N1425" i="1"/>
  <c r="M1425" i="1"/>
  <c r="L1425" i="1"/>
  <c r="J1425" i="1"/>
  <c r="K1425" i="1" s="1"/>
  <c r="O1424" i="1"/>
  <c r="N1424" i="1"/>
  <c r="M1424" i="1"/>
  <c r="L1424" i="1"/>
  <c r="J1424" i="1"/>
  <c r="K1424" i="1" s="1"/>
  <c r="O1423" i="1"/>
  <c r="N1423" i="1"/>
  <c r="M1423" i="1"/>
  <c r="L1423" i="1"/>
  <c r="J1423" i="1"/>
  <c r="K1423" i="1" s="1"/>
  <c r="O1422" i="1"/>
  <c r="N1422" i="1"/>
  <c r="M1422" i="1"/>
  <c r="L1422" i="1"/>
  <c r="J1422" i="1"/>
  <c r="K1422" i="1" s="1"/>
  <c r="O1421" i="1"/>
  <c r="N1421" i="1"/>
  <c r="M1421" i="1"/>
  <c r="L1421" i="1"/>
  <c r="J1421" i="1"/>
  <c r="K1421" i="1" s="1"/>
  <c r="O1420" i="1"/>
  <c r="N1420" i="1"/>
  <c r="M1420" i="1"/>
  <c r="L1420" i="1"/>
  <c r="J1420" i="1"/>
  <c r="K1420" i="1" s="1"/>
  <c r="O1419" i="1"/>
  <c r="N1419" i="1"/>
  <c r="M1419" i="1"/>
  <c r="L1419" i="1"/>
  <c r="J1419" i="1"/>
  <c r="K1419" i="1" s="1"/>
  <c r="O1418" i="1"/>
  <c r="N1418" i="1"/>
  <c r="M1418" i="1"/>
  <c r="L1418" i="1"/>
  <c r="J1418" i="1"/>
  <c r="K1418" i="1" s="1"/>
  <c r="O1417" i="1"/>
  <c r="N1417" i="1"/>
  <c r="M1417" i="1"/>
  <c r="L1417" i="1"/>
  <c r="J1417" i="1"/>
  <c r="K1417" i="1" s="1"/>
  <c r="O1416" i="1"/>
  <c r="N1416" i="1"/>
  <c r="M1416" i="1"/>
  <c r="L1416" i="1"/>
  <c r="J1416" i="1"/>
  <c r="K1416" i="1" s="1"/>
  <c r="O1415" i="1"/>
  <c r="N1415" i="1"/>
  <c r="M1415" i="1"/>
  <c r="L1415" i="1"/>
  <c r="J1415" i="1"/>
  <c r="K1415" i="1" s="1"/>
  <c r="O1414" i="1"/>
  <c r="N1414" i="1"/>
  <c r="M1414" i="1"/>
  <c r="L1414" i="1"/>
  <c r="J1414" i="1"/>
  <c r="K1414" i="1" s="1"/>
  <c r="O1413" i="1"/>
  <c r="N1413" i="1"/>
  <c r="M1413" i="1"/>
  <c r="L1413" i="1"/>
  <c r="J1413" i="1"/>
  <c r="K1413" i="1" s="1"/>
  <c r="O1412" i="1"/>
  <c r="N1412" i="1"/>
  <c r="M1412" i="1"/>
  <c r="L1412" i="1"/>
  <c r="J1412" i="1"/>
  <c r="K1412" i="1" s="1"/>
  <c r="O1411" i="1"/>
  <c r="N1411" i="1"/>
  <c r="M1411" i="1"/>
  <c r="L1411" i="1"/>
  <c r="J1411" i="1"/>
  <c r="K1411" i="1" s="1"/>
  <c r="O1410" i="1"/>
  <c r="N1410" i="1"/>
  <c r="M1410" i="1"/>
  <c r="L1410" i="1"/>
  <c r="J1410" i="1"/>
  <c r="K1410" i="1" s="1"/>
  <c r="O1409" i="1"/>
  <c r="N1409" i="1"/>
  <c r="M1409" i="1"/>
  <c r="L1409" i="1"/>
  <c r="J1409" i="1"/>
  <c r="K1409" i="1" s="1"/>
  <c r="O1408" i="1"/>
  <c r="N1408" i="1"/>
  <c r="M1408" i="1"/>
  <c r="L1408" i="1"/>
  <c r="J1408" i="1"/>
  <c r="K1408" i="1" s="1"/>
  <c r="O1407" i="1"/>
  <c r="N1407" i="1"/>
  <c r="M1407" i="1"/>
  <c r="L1407" i="1"/>
  <c r="J1407" i="1"/>
  <c r="K1407" i="1" s="1"/>
  <c r="O1406" i="1"/>
  <c r="N1406" i="1"/>
  <c r="M1406" i="1"/>
  <c r="L1406" i="1"/>
  <c r="J1406" i="1"/>
  <c r="K1406" i="1" s="1"/>
  <c r="O1405" i="1"/>
  <c r="N1405" i="1"/>
  <c r="M1405" i="1"/>
  <c r="L1405" i="1"/>
  <c r="J1405" i="1"/>
  <c r="K1405" i="1" s="1"/>
  <c r="O1404" i="1"/>
  <c r="N1404" i="1"/>
  <c r="M1404" i="1"/>
  <c r="L1404" i="1"/>
  <c r="J1404" i="1"/>
  <c r="K1404" i="1" s="1"/>
  <c r="O1403" i="1"/>
  <c r="N1403" i="1"/>
  <c r="M1403" i="1"/>
  <c r="L1403" i="1"/>
  <c r="J1403" i="1"/>
  <c r="K1403" i="1" s="1"/>
  <c r="O1402" i="1"/>
  <c r="N1402" i="1"/>
  <c r="M1402" i="1"/>
  <c r="L1402" i="1"/>
  <c r="J1402" i="1"/>
  <c r="K1402" i="1" s="1"/>
  <c r="O1401" i="1"/>
  <c r="N1401" i="1"/>
  <c r="M1401" i="1"/>
  <c r="L1401" i="1"/>
  <c r="J1401" i="1"/>
  <c r="K1401" i="1" s="1"/>
  <c r="O1400" i="1"/>
  <c r="N1400" i="1"/>
  <c r="M1400" i="1"/>
  <c r="L1400" i="1"/>
  <c r="J1400" i="1"/>
  <c r="K1400" i="1" s="1"/>
  <c r="O1399" i="1"/>
  <c r="N1399" i="1"/>
  <c r="M1399" i="1"/>
  <c r="L1399" i="1"/>
  <c r="J1399" i="1"/>
  <c r="K1399" i="1" s="1"/>
  <c r="O1398" i="1"/>
  <c r="N1398" i="1"/>
  <c r="M1398" i="1"/>
  <c r="L1398" i="1"/>
  <c r="J1398" i="1"/>
  <c r="K1398" i="1" s="1"/>
  <c r="O1397" i="1"/>
  <c r="N1397" i="1"/>
  <c r="M1397" i="1"/>
  <c r="L1397" i="1"/>
  <c r="J1397" i="1"/>
  <c r="K1397" i="1" s="1"/>
  <c r="O1396" i="1"/>
  <c r="N1396" i="1"/>
  <c r="M1396" i="1"/>
  <c r="L1396" i="1"/>
  <c r="J1396" i="1"/>
  <c r="K1396" i="1" s="1"/>
  <c r="O1395" i="1"/>
  <c r="N1395" i="1"/>
  <c r="M1395" i="1"/>
  <c r="L1395" i="1"/>
  <c r="J1395" i="1"/>
  <c r="K1395" i="1" s="1"/>
  <c r="O1394" i="1"/>
  <c r="N1394" i="1"/>
  <c r="M1394" i="1"/>
  <c r="L1394" i="1"/>
  <c r="J1394" i="1"/>
  <c r="K1394" i="1" s="1"/>
  <c r="O1393" i="1"/>
  <c r="N1393" i="1"/>
  <c r="M1393" i="1"/>
  <c r="L1393" i="1"/>
  <c r="J1393" i="1"/>
  <c r="K1393" i="1" s="1"/>
  <c r="O1392" i="1"/>
  <c r="N1392" i="1"/>
  <c r="M1392" i="1"/>
  <c r="L1392" i="1"/>
  <c r="J1392" i="1"/>
  <c r="K1392" i="1" s="1"/>
  <c r="O1391" i="1"/>
  <c r="N1391" i="1"/>
  <c r="M1391" i="1"/>
  <c r="L1391" i="1"/>
  <c r="J1391" i="1"/>
  <c r="K1391" i="1" s="1"/>
  <c r="O1390" i="1"/>
  <c r="N1390" i="1"/>
  <c r="M1390" i="1"/>
  <c r="L1390" i="1"/>
  <c r="J1390" i="1"/>
  <c r="K1390" i="1" s="1"/>
  <c r="O1389" i="1"/>
  <c r="N1389" i="1"/>
  <c r="M1389" i="1"/>
  <c r="L1389" i="1"/>
  <c r="J1389" i="1"/>
  <c r="K1389" i="1" s="1"/>
  <c r="O1388" i="1"/>
  <c r="N1388" i="1"/>
  <c r="M1388" i="1"/>
  <c r="L1388" i="1"/>
  <c r="J1388" i="1"/>
  <c r="K1388" i="1" s="1"/>
  <c r="O1387" i="1"/>
  <c r="N1387" i="1"/>
  <c r="M1387" i="1"/>
  <c r="L1387" i="1"/>
  <c r="J1387" i="1"/>
  <c r="K1387" i="1" s="1"/>
  <c r="O1386" i="1"/>
  <c r="N1386" i="1"/>
  <c r="M1386" i="1"/>
  <c r="L1386" i="1"/>
  <c r="J1386" i="1"/>
  <c r="K1386" i="1" s="1"/>
  <c r="O1385" i="1"/>
  <c r="N1385" i="1"/>
  <c r="M1385" i="1"/>
  <c r="L1385" i="1"/>
  <c r="J1385" i="1"/>
  <c r="K1385" i="1" s="1"/>
  <c r="O1384" i="1"/>
  <c r="N1384" i="1"/>
  <c r="M1384" i="1"/>
  <c r="L1384" i="1"/>
  <c r="J1384" i="1"/>
  <c r="K1384" i="1" s="1"/>
  <c r="O1383" i="1"/>
  <c r="N1383" i="1"/>
  <c r="M1383" i="1"/>
  <c r="L1383" i="1"/>
  <c r="J1383" i="1"/>
  <c r="K1383" i="1" s="1"/>
  <c r="O1382" i="1"/>
  <c r="N1382" i="1"/>
  <c r="M1382" i="1"/>
  <c r="L1382" i="1"/>
  <c r="J1382" i="1"/>
  <c r="K1382" i="1" s="1"/>
  <c r="O1381" i="1"/>
  <c r="N1381" i="1"/>
  <c r="M1381" i="1"/>
  <c r="L1381" i="1"/>
  <c r="J1381" i="1"/>
  <c r="K1381" i="1" s="1"/>
  <c r="O1380" i="1"/>
  <c r="N1380" i="1"/>
  <c r="M1380" i="1"/>
  <c r="L1380" i="1"/>
  <c r="J1380" i="1"/>
  <c r="K1380" i="1" s="1"/>
  <c r="O1379" i="1"/>
  <c r="N1379" i="1"/>
  <c r="M1379" i="1"/>
  <c r="L1379" i="1"/>
  <c r="J1379" i="1"/>
  <c r="K1379" i="1" s="1"/>
  <c r="O1378" i="1"/>
  <c r="N1378" i="1"/>
  <c r="M1378" i="1"/>
  <c r="L1378" i="1"/>
  <c r="J1378" i="1"/>
  <c r="K1378" i="1" s="1"/>
  <c r="O1377" i="1"/>
  <c r="N1377" i="1"/>
  <c r="M1377" i="1"/>
  <c r="L1377" i="1"/>
  <c r="J1377" i="1"/>
  <c r="K1377" i="1" s="1"/>
  <c r="O1376" i="1"/>
  <c r="N1376" i="1"/>
  <c r="M1376" i="1"/>
  <c r="L1376" i="1"/>
  <c r="J1376" i="1"/>
  <c r="K1376" i="1" s="1"/>
  <c r="O1375" i="1"/>
  <c r="N1375" i="1"/>
  <c r="M1375" i="1"/>
  <c r="L1375" i="1"/>
  <c r="J1375" i="1"/>
  <c r="K1375" i="1" s="1"/>
  <c r="O1374" i="1"/>
  <c r="N1374" i="1"/>
  <c r="M1374" i="1"/>
  <c r="L1374" i="1"/>
  <c r="J1374" i="1"/>
  <c r="K1374" i="1" s="1"/>
  <c r="O1373" i="1"/>
  <c r="N1373" i="1"/>
  <c r="M1373" i="1"/>
  <c r="L1373" i="1"/>
  <c r="J1373" i="1"/>
  <c r="K1373" i="1" s="1"/>
  <c r="O1372" i="1"/>
  <c r="N1372" i="1"/>
  <c r="M1372" i="1"/>
  <c r="L1372" i="1"/>
  <c r="J1372" i="1"/>
  <c r="K1372" i="1" s="1"/>
  <c r="O1371" i="1"/>
  <c r="N1371" i="1"/>
  <c r="M1371" i="1"/>
  <c r="L1371" i="1"/>
  <c r="J1371" i="1"/>
  <c r="K1371" i="1" s="1"/>
  <c r="O1370" i="1"/>
  <c r="N1370" i="1"/>
  <c r="M1370" i="1"/>
  <c r="L1370" i="1"/>
  <c r="J1370" i="1"/>
  <c r="K1370" i="1" s="1"/>
  <c r="O1369" i="1"/>
  <c r="N1369" i="1"/>
  <c r="M1369" i="1"/>
  <c r="L1369" i="1"/>
  <c r="J1369" i="1"/>
  <c r="K1369" i="1" s="1"/>
  <c r="O1368" i="1"/>
  <c r="N1368" i="1"/>
  <c r="M1368" i="1"/>
  <c r="L1368" i="1"/>
  <c r="J1368" i="1"/>
  <c r="K1368" i="1" s="1"/>
  <c r="O1367" i="1"/>
  <c r="N1367" i="1"/>
  <c r="M1367" i="1"/>
  <c r="L1367" i="1"/>
  <c r="J1367" i="1"/>
  <c r="K1367" i="1" s="1"/>
  <c r="O1366" i="1"/>
  <c r="N1366" i="1"/>
  <c r="M1366" i="1"/>
  <c r="L1366" i="1"/>
  <c r="J1366" i="1"/>
  <c r="K1366" i="1" s="1"/>
  <c r="O1365" i="1"/>
  <c r="N1365" i="1"/>
  <c r="M1365" i="1"/>
  <c r="L1365" i="1"/>
  <c r="J1365" i="1"/>
  <c r="K1365" i="1" s="1"/>
  <c r="O1364" i="1"/>
  <c r="N1364" i="1"/>
  <c r="M1364" i="1"/>
  <c r="L1364" i="1"/>
  <c r="J1364" i="1"/>
  <c r="K1364" i="1" s="1"/>
  <c r="O1363" i="1"/>
  <c r="N1363" i="1"/>
  <c r="M1363" i="1"/>
  <c r="L1363" i="1"/>
  <c r="J1363" i="1"/>
  <c r="K1363" i="1" s="1"/>
  <c r="O1362" i="1"/>
  <c r="N1362" i="1"/>
  <c r="M1362" i="1"/>
  <c r="L1362" i="1"/>
  <c r="J1362" i="1"/>
  <c r="K1362" i="1" s="1"/>
  <c r="O1361" i="1"/>
  <c r="N1361" i="1"/>
  <c r="M1361" i="1"/>
  <c r="L1361" i="1"/>
  <c r="J1361" i="1"/>
  <c r="K1361" i="1" s="1"/>
  <c r="O1360" i="1"/>
  <c r="N1360" i="1"/>
  <c r="M1360" i="1"/>
  <c r="L1360" i="1"/>
  <c r="J1360" i="1"/>
  <c r="K1360" i="1" s="1"/>
  <c r="O1359" i="1"/>
  <c r="N1359" i="1"/>
  <c r="M1359" i="1"/>
  <c r="L1359" i="1"/>
  <c r="J1359" i="1"/>
  <c r="K1359" i="1" s="1"/>
  <c r="O1358" i="1"/>
  <c r="N1358" i="1"/>
  <c r="M1358" i="1"/>
  <c r="L1358" i="1"/>
  <c r="J1358" i="1"/>
  <c r="K1358" i="1" s="1"/>
  <c r="O1357" i="1"/>
  <c r="N1357" i="1"/>
  <c r="M1357" i="1"/>
  <c r="L1357" i="1"/>
  <c r="J1357" i="1"/>
  <c r="K1357" i="1" s="1"/>
  <c r="O1356" i="1"/>
  <c r="N1356" i="1"/>
  <c r="M1356" i="1"/>
  <c r="L1356" i="1"/>
  <c r="J1356" i="1"/>
  <c r="K1356" i="1" s="1"/>
  <c r="O1355" i="1"/>
  <c r="N1355" i="1"/>
  <c r="M1355" i="1"/>
  <c r="L1355" i="1"/>
  <c r="J1355" i="1"/>
  <c r="K1355" i="1" s="1"/>
  <c r="O1354" i="1"/>
  <c r="N1354" i="1"/>
  <c r="M1354" i="1"/>
  <c r="L1354" i="1"/>
  <c r="J1354" i="1"/>
  <c r="K1354" i="1" s="1"/>
  <c r="O1353" i="1"/>
  <c r="N1353" i="1"/>
  <c r="M1353" i="1"/>
  <c r="L1353" i="1"/>
  <c r="J1353" i="1"/>
  <c r="K1353" i="1" s="1"/>
  <c r="O1352" i="1"/>
  <c r="N1352" i="1"/>
  <c r="M1352" i="1"/>
  <c r="L1352" i="1"/>
  <c r="J1352" i="1"/>
  <c r="K1352" i="1" s="1"/>
  <c r="O1351" i="1"/>
  <c r="N1351" i="1"/>
  <c r="M1351" i="1"/>
  <c r="L1351" i="1"/>
  <c r="J1351" i="1"/>
  <c r="K1351" i="1" s="1"/>
  <c r="O1350" i="1"/>
  <c r="N1350" i="1"/>
  <c r="M1350" i="1"/>
  <c r="L1350" i="1"/>
  <c r="J1350" i="1"/>
  <c r="K1350" i="1" s="1"/>
  <c r="O1349" i="1"/>
  <c r="N1349" i="1"/>
  <c r="M1349" i="1"/>
  <c r="L1349" i="1"/>
  <c r="J1349" i="1"/>
  <c r="K1349" i="1" s="1"/>
  <c r="O1348" i="1"/>
  <c r="N1348" i="1"/>
  <c r="M1348" i="1"/>
  <c r="L1348" i="1"/>
  <c r="J1348" i="1"/>
  <c r="K1348" i="1" s="1"/>
  <c r="O1347" i="1"/>
  <c r="N1347" i="1"/>
  <c r="M1347" i="1"/>
  <c r="L1347" i="1"/>
  <c r="J1347" i="1"/>
  <c r="K1347" i="1" s="1"/>
  <c r="O1346" i="1"/>
  <c r="N1346" i="1"/>
  <c r="M1346" i="1"/>
  <c r="L1346" i="1"/>
  <c r="J1346" i="1"/>
  <c r="K1346" i="1" s="1"/>
  <c r="O1345" i="1"/>
  <c r="N1345" i="1"/>
  <c r="M1345" i="1"/>
  <c r="L1345" i="1"/>
  <c r="J1345" i="1"/>
  <c r="K1345" i="1" s="1"/>
  <c r="O1344" i="1"/>
  <c r="N1344" i="1"/>
  <c r="M1344" i="1"/>
  <c r="L1344" i="1"/>
  <c r="J1344" i="1"/>
  <c r="K1344" i="1" s="1"/>
  <c r="O1343" i="1"/>
  <c r="N1343" i="1"/>
  <c r="M1343" i="1"/>
  <c r="L1343" i="1"/>
  <c r="J1343" i="1"/>
  <c r="K1343" i="1" s="1"/>
  <c r="O1342" i="1"/>
  <c r="N1342" i="1"/>
  <c r="M1342" i="1"/>
  <c r="L1342" i="1"/>
  <c r="J1342" i="1"/>
  <c r="K1342" i="1" s="1"/>
  <c r="O1341" i="1"/>
  <c r="N1341" i="1"/>
  <c r="M1341" i="1"/>
  <c r="L1341" i="1"/>
  <c r="J1341" i="1"/>
  <c r="K1341" i="1" s="1"/>
  <c r="O1340" i="1"/>
  <c r="N1340" i="1"/>
  <c r="M1340" i="1"/>
  <c r="L1340" i="1"/>
  <c r="J1340" i="1"/>
  <c r="K1340" i="1" s="1"/>
  <c r="O1339" i="1"/>
  <c r="N1339" i="1"/>
  <c r="M1339" i="1"/>
  <c r="L1339" i="1"/>
  <c r="J1339" i="1"/>
  <c r="K1339" i="1" s="1"/>
  <c r="O1338" i="1"/>
  <c r="N1338" i="1"/>
  <c r="M1338" i="1"/>
  <c r="L1338" i="1"/>
  <c r="J1338" i="1"/>
  <c r="K1338" i="1" s="1"/>
  <c r="O1337" i="1"/>
  <c r="N1337" i="1"/>
  <c r="M1337" i="1"/>
  <c r="L1337" i="1"/>
  <c r="J1337" i="1"/>
  <c r="K1337" i="1" s="1"/>
  <c r="O1336" i="1"/>
  <c r="N1336" i="1"/>
  <c r="M1336" i="1"/>
  <c r="L1336" i="1"/>
  <c r="J1336" i="1"/>
  <c r="K1336" i="1" s="1"/>
  <c r="O1335" i="1"/>
  <c r="N1335" i="1"/>
  <c r="M1335" i="1"/>
  <c r="L1335" i="1"/>
  <c r="J1335" i="1"/>
  <c r="K1335" i="1" s="1"/>
  <c r="O1334" i="1"/>
  <c r="N1334" i="1"/>
  <c r="M1334" i="1"/>
  <c r="L1334" i="1"/>
  <c r="J1334" i="1"/>
  <c r="K1334" i="1" s="1"/>
  <c r="O1333" i="1"/>
  <c r="N1333" i="1"/>
  <c r="M1333" i="1"/>
  <c r="L1333" i="1"/>
  <c r="J1333" i="1"/>
  <c r="K1333" i="1" s="1"/>
  <c r="O1332" i="1"/>
  <c r="N1332" i="1"/>
  <c r="M1332" i="1"/>
  <c r="L1332" i="1"/>
  <c r="J1332" i="1"/>
  <c r="K1332" i="1" s="1"/>
  <c r="O1331" i="1"/>
  <c r="N1331" i="1"/>
  <c r="M1331" i="1"/>
  <c r="L1331" i="1"/>
  <c r="J1331" i="1"/>
  <c r="K1331" i="1" s="1"/>
  <c r="O1330" i="1"/>
  <c r="N1330" i="1"/>
  <c r="M1330" i="1"/>
  <c r="L1330" i="1"/>
  <c r="J1330" i="1"/>
  <c r="K1330" i="1" s="1"/>
  <c r="O1329" i="1"/>
  <c r="N1329" i="1"/>
  <c r="M1329" i="1"/>
  <c r="L1329" i="1"/>
  <c r="J1329" i="1"/>
  <c r="K1329" i="1" s="1"/>
  <c r="O1328" i="1"/>
  <c r="N1328" i="1"/>
  <c r="M1328" i="1"/>
  <c r="L1328" i="1"/>
  <c r="J1328" i="1"/>
  <c r="K1328" i="1" s="1"/>
  <c r="O1327" i="1"/>
  <c r="N1327" i="1"/>
  <c r="M1327" i="1"/>
  <c r="L1327" i="1"/>
  <c r="J1327" i="1"/>
  <c r="K1327" i="1" s="1"/>
  <c r="O1326" i="1"/>
  <c r="N1326" i="1"/>
  <c r="M1326" i="1"/>
  <c r="L1326" i="1"/>
  <c r="J1326" i="1"/>
  <c r="K1326" i="1" s="1"/>
  <c r="O1325" i="1"/>
  <c r="N1325" i="1"/>
  <c r="M1325" i="1"/>
  <c r="L1325" i="1"/>
  <c r="J1325" i="1"/>
  <c r="K1325" i="1" s="1"/>
  <c r="O1324" i="1"/>
  <c r="N1324" i="1"/>
  <c r="M1324" i="1"/>
  <c r="L1324" i="1"/>
  <c r="J1324" i="1"/>
  <c r="K1324" i="1" s="1"/>
  <c r="O1323" i="1"/>
  <c r="N1323" i="1"/>
  <c r="M1323" i="1"/>
  <c r="L1323" i="1"/>
  <c r="J1323" i="1"/>
  <c r="K1323" i="1" s="1"/>
  <c r="O1322" i="1"/>
  <c r="N1322" i="1"/>
  <c r="M1322" i="1"/>
  <c r="L1322" i="1"/>
  <c r="J1322" i="1"/>
  <c r="K1322" i="1" s="1"/>
  <c r="O1321" i="1"/>
  <c r="N1321" i="1"/>
  <c r="M1321" i="1"/>
  <c r="L1321" i="1"/>
  <c r="J1321" i="1"/>
  <c r="K1321" i="1" s="1"/>
  <c r="O1320" i="1"/>
  <c r="N1320" i="1"/>
  <c r="M1320" i="1"/>
  <c r="L1320" i="1"/>
  <c r="J1320" i="1"/>
  <c r="K1320" i="1" s="1"/>
  <c r="O1319" i="1"/>
  <c r="N1319" i="1"/>
  <c r="M1319" i="1"/>
  <c r="L1319" i="1"/>
  <c r="J1319" i="1"/>
  <c r="K1319" i="1" s="1"/>
  <c r="O1318" i="1"/>
  <c r="N1318" i="1"/>
  <c r="M1318" i="1"/>
  <c r="L1318" i="1"/>
  <c r="J1318" i="1"/>
  <c r="K1318" i="1" s="1"/>
  <c r="O1317" i="1"/>
  <c r="N1317" i="1"/>
  <c r="M1317" i="1"/>
  <c r="L1317" i="1"/>
  <c r="J1317" i="1"/>
  <c r="K1317" i="1" s="1"/>
  <c r="O1316" i="1"/>
  <c r="N1316" i="1"/>
  <c r="M1316" i="1"/>
  <c r="L1316" i="1"/>
  <c r="J1316" i="1"/>
  <c r="K1316" i="1" s="1"/>
  <c r="O1315" i="1"/>
  <c r="N1315" i="1"/>
  <c r="M1315" i="1"/>
  <c r="L1315" i="1"/>
  <c r="J1315" i="1"/>
  <c r="K1315" i="1" s="1"/>
  <c r="O1314" i="1"/>
  <c r="N1314" i="1"/>
  <c r="M1314" i="1"/>
  <c r="L1314" i="1"/>
  <c r="J1314" i="1"/>
  <c r="K1314" i="1" s="1"/>
  <c r="O1313" i="1"/>
  <c r="N1313" i="1"/>
  <c r="M1313" i="1"/>
  <c r="L1313" i="1"/>
  <c r="J1313" i="1"/>
  <c r="K1313" i="1" s="1"/>
  <c r="O1312" i="1"/>
  <c r="N1312" i="1"/>
  <c r="M1312" i="1"/>
  <c r="L1312" i="1"/>
  <c r="J1312" i="1"/>
  <c r="K1312" i="1" s="1"/>
  <c r="O1311" i="1"/>
  <c r="N1311" i="1"/>
  <c r="M1311" i="1"/>
  <c r="L1311" i="1"/>
  <c r="J1311" i="1"/>
  <c r="K1311" i="1" s="1"/>
  <c r="O1310" i="1"/>
  <c r="N1310" i="1"/>
  <c r="M1310" i="1"/>
  <c r="L1310" i="1"/>
  <c r="J1310" i="1"/>
  <c r="K1310" i="1" s="1"/>
  <c r="O1309" i="1"/>
  <c r="N1309" i="1"/>
  <c r="M1309" i="1"/>
  <c r="L1309" i="1"/>
  <c r="J1309" i="1"/>
  <c r="K1309" i="1" s="1"/>
  <c r="O1308" i="1"/>
  <c r="N1308" i="1"/>
  <c r="M1308" i="1"/>
  <c r="L1308" i="1"/>
  <c r="J1308" i="1"/>
  <c r="K1308" i="1" s="1"/>
  <c r="O1307" i="1"/>
  <c r="N1307" i="1"/>
  <c r="M1307" i="1"/>
  <c r="L1307" i="1"/>
  <c r="J1307" i="1"/>
  <c r="K1307" i="1" s="1"/>
  <c r="O1306" i="1"/>
  <c r="N1306" i="1"/>
  <c r="M1306" i="1"/>
  <c r="L1306" i="1"/>
  <c r="J1306" i="1"/>
  <c r="K1306" i="1" s="1"/>
  <c r="O1305" i="1"/>
  <c r="N1305" i="1"/>
  <c r="M1305" i="1"/>
  <c r="L1305" i="1"/>
  <c r="J1305" i="1"/>
  <c r="K1305" i="1" s="1"/>
  <c r="O1304" i="1"/>
  <c r="N1304" i="1"/>
  <c r="M1304" i="1"/>
  <c r="L1304" i="1"/>
  <c r="J1304" i="1"/>
  <c r="K1304" i="1" s="1"/>
  <c r="O1303" i="1"/>
  <c r="N1303" i="1"/>
  <c r="M1303" i="1"/>
  <c r="L1303" i="1"/>
  <c r="J1303" i="1"/>
  <c r="K1303" i="1" s="1"/>
  <c r="O1302" i="1"/>
  <c r="N1302" i="1"/>
  <c r="M1302" i="1"/>
  <c r="L1302" i="1"/>
  <c r="J1302" i="1"/>
  <c r="K1302" i="1" s="1"/>
  <c r="O1301" i="1"/>
  <c r="N1301" i="1"/>
  <c r="M1301" i="1"/>
  <c r="L1301" i="1"/>
  <c r="J1301" i="1"/>
  <c r="K1301" i="1" s="1"/>
  <c r="O1300" i="1"/>
  <c r="N1300" i="1"/>
  <c r="M1300" i="1"/>
  <c r="L1300" i="1"/>
  <c r="J1300" i="1"/>
  <c r="K1300" i="1" s="1"/>
  <c r="O1299" i="1"/>
  <c r="N1299" i="1"/>
  <c r="M1299" i="1"/>
  <c r="L1299" i="1"/>
  <c r="J1299" i="1"/>
  <c r="K1299" i="1" s="1"/>
  <c r="O1298" i="1"/>
  <c r="N1298" i="1"/>
  <c r="M1298" i="1"/>
  <c r="L1298" i="1"/>
  <c r="J1298" i="1"/>
  <c r="K1298" i="1" s="1"/>
  <c r="O1297" i="1"/>
  <c r="N1297" i="1"/>
  <c r="M1297" i="1"/>
  <c r="L1297" i="1"/>
  <c r="J1297" i="1"/>
  <c r="K1297" i="1" s="1"/>
  <c r="O1296" i="1"/>
  <c r="N1296" i="1"/>
  <c r="M1296" i="1"/>
  <c r="L1296" i="1"/>
  <c r="J1296" i="1"/>
  <c r="K1296" i="1" s="1"/>
  <c r="O1295" i="1"/>
  <c r="N1295" i="1"/>
  <c r="M1295" i="1"/>
  <c r="L1295" i="1"/>
  <c r="J1295" i="1"/>
  <c r="K1295" i="1" s="1"/>
  <c r="O1294" i="1"/>
  <c r="N1294" i="1"/>
  <c r="M1294" i="1"/>
  <c r="L1294" i="1"/>
  <c r="J1294" i="1"/>
  <c r="K1294" i="1" s="1"/>
  <c r="O1293" i="1"/>
  <c r="N1293" i="1"/>
  <c r="M1293" i="1"/>
  <c r="L1293" i="1"/>
  <c r="J1293" i="1"/>
  <c r="K1293" i="1" s="1"/>
  <c r="O1292" i="1"/>
  <c r="N1292" i="1"/>
  <c r="M1292" i="1"/>
  <c r="L1292" i="1"/>
  <c r="J1292" i="1"/>
  <c r="K1292" i="1" s="1"/>
  <c r="O1291" i="1"/>
  <c r="N1291" i="1"/>
  <c r="M1291" i="1"/>
  <c r="L1291" i="1"/>
  <c r="J1291" i="1"/>
  <c r="K1291" i="1" s="1"/>
  <c r="O1290" i="1"/>
  <c r="N1290" i="1"/>
  <c r="M1290" i="1"/>
  <c r="L1290" i="1"/>
  <c r="J1290" i="1"/>
  <c r="K1290" i="1" s="1"/>
  <c r="O1289" i="1"/>
  <c r="N1289" i="1"/>
  <c r="M1289" i="1"/>
  <c r="L1289" i="1"/>
  <c r="J1289" i="1"/>
  <c r="K1289" i="1" s="1"/>
  <c r="O1288" i="1"/>
  <c r="N1288" i="1"/>
  <c r="M1288" i="1"/>
  <c r="L1288" i="1"/>
  <c r="J1288" i="1"/>
  <c r="K1288" i="1" s="1"/>
  <c r="O1287" i="1"/>
  <c r="N1287" i="1"/>
  <c r="M1287" i="1"/>
  <c r="L1287" i="1"/>
  <c r="J1287" i="1"/>
  <c r="K1287" i="1" s="1"/>
  <c r="O1286" i="1"/>
  <c r="N1286" i="1"/>
  <c r="M1286" i="1"/>
  <c r="L1286" i="1"/>
  <c r="J1286" i="1"/>
  <c r="K1286" i="1" s="1"/>
  <c r="O1285" i="1"/>
  <c r="N1285" i="1"/>
  <c r="M1285" i="1"/>
  <c r="L1285" i="1"/>
  <c r="J1285" i="1"/>
  <c r="K1285" i="1" s="1"/>
  <c r="O1284" i="1"/>
  <c r="N1284" i="1"/>
  <c r="M1284" i="1"/>
  <c r="L1284" i="1"/>
  <c r="J1284" i="1"/>
  <c r="K1284" i="1" s="1"/>
  <c r="O1283" i="1"/>
  <c r="N1283" i="1"/>
  <c r="M1283" i="1"/>
  <c r="L1283" i="1"/>
  <c r="J1283" i="1"/>
  <c r="K1283" i="1" s="1"/>
  <c r="O1282" i="1"/>
  <c r="N1282" i="1"/>
  <c r="M1282" i="1"/>
  <c r="L1282" i="1"/>
  <c r="J1282" i="1"/>
  <c r="K1282" i="1" s="1"/>
  <c r="O1281" i="1"/>
  <c r="N1281" i="1"/>
  <c r="M1281" i="1"/>
  <c r="L1281" i="1"/>
  <c r="J1281" i="1"/>
  <c r="K1281" i="1" s="1"/>
  <c r="O1280" i="1"/>
  <c r="N1280" i="1"/>
  <c r="M1280" i="1"/>
  <c r="L1280" i="1"/>
  <c r="J1280" i="1"/>
  <c r="K1280" i="1" s="1"/>
  <c r="O1279" i="1"/>
  <c r="N1279" i="1"/>
  <c r="M1279" i="1"/>
  <c r="L1279" i="1"/>
  <c r="J1279" i="1"/>
  <c r="K1279" i="1" s="1"/>
  <c r="O1278" i="1"/>
  <c r="N1278" i="1"/>
  <c r="M1278" i="1"/>
  <c r="L1278" i="1"/>
  <c r="J1278" i="1"/>
  <c r="K1278" i="1" s="1"/>
  <c r="O1277" i="1"/>
  <c r="N1277" i="1"/>
  <c r="M1277" i="1"/>
  <c r="L1277" i="1"/>
  <c r="J1277" i="1"/>
  <c r="K1277" i="1" s="1"/>
  <c r="O1276" i="1"/>
  <c r="N1276" i="1"/>
  <c r="M1276" i="1"/>
  <c r="L1276" i="1"/>
  <c r="J1276" i="1"/>
  <c r="K1276" i="1" s="1"/>
  <c r="O1275" i="1"/>
  <c r="N1275" i="1"/>
  <c r="M1275" i="1"/>
  <c r="L1275" i="1"/>
  <c r="J1275" i="1"/>
  <c r="K1275" i="1" s="1"/>
  <c r="O1274" i="1"/>
  <c r="N1274" i="1"/>
  <c r="M1274" i="1"/>
  <c r="L1274" i="1"/>
  <c r="J1274" i="1"/>
  <c r="K1274" i="1" s="1"/>
  <c r="O1273" i="1"/>
  <c r="N1273" i="1"/>
  <c r="M1273" i="1"/>
  <c r="L1273" i="1"/>
  <c r="J1273" i="1"/>
  <c r="K1273" i="1" s="1"/>
  <c r="O1272" i="1"/>
  <c r="N1272" i="1"/>
  <c r="M1272" i="1"/>
  <c r="L1272" i="1"/>
  <c r="J1272" i="1"/>
  <c r="K1272" i="1" s="1"/>
  <c r="O1271" i="1"/>
  <c r="N1271" i="1"/>
  <c r="M1271" i="1"/>
  <c r="L1271" i="1"/>
  <c r="J1271" i="1"/>
  <c r="K1271" i="1" s="1"/>
  <c r="O1270" i="1"/>
  <c r="N1270" i="1"/>
  <c r="M1270" i="1"/>
  <c r="L1270" i="1"/>
  <c r="J1270" i="1"/>
  <c r="K1270" i="1" s="1"/>
  <c r="O1269" i="1"/>
  <c r="N1269" i="1"/>
  <c r="M1269" i="1"/>
  <c r="L1269" i="1"/>
  <c r="J1269" i="1"/>
  <c r="K1269" i="1" s="1"/>
  <c r="O1268" i="1"/>
  <c r="N1268" i="1"/>
  <c r="M1268" i="1"/>
  <c r="L1268" i="1"/>
  <c r="J1268" i="1"/>
  <c r="K1268" i="1" s="1"/>
  <c r="O1267" i="1"/>
  <c r="N1267" i="1"/>
  <c r="M1267" i="1"/>
  <c r="L1267" i="1"/>
  <c r="J1267" i="1"/>
  <c r="K1267" i="1" s="1"/>
  <c r="O1266" i="1"/>
  <c r="N1266" i="1"/>
  <c r="M1266" i="1"/>
  <c r="L1266" i="1"/>
  <c r="J1266" i="1"/>
  <c r="K1266" i="1" s="1"/>
  <c r="O1265" i="1"/>
  <c r="N1265" i="1"/>
  <c r="M1265" i="1"/>
  <c r="L1265" i="1"/>
  <c r="J1265" i="1"/>
  <c r="K1265" i="1" s="1"/>
  <c r="O1264" i="1"/>
  <c r="N1264" i="1"/>
  <c r="M1264" i="1"/>
  <c r="L1264" i="1"/>
  <c r="J1264" i="1"/>
  <c r="K1264" i="1" s="1"/>
  <c r="O1263" i="1"/>
  <c r="N1263" i="1"/>
  <c r="M1263" i="1"/>
  <c r="L1263" i="1"/>
  <c r="J1263" i="1"/>
  <c r="K1263" i="1" s="1"/>
  <c r="O1262" i="1"/>
  <c r="N1262" i="1"/>
  <c r="M1262" i="1"/>
  <c r="L1262" i="1"/>
  <c r="J1262" i="1"/>
  <c r="K1262" i="1" s="1"/>
  <c r="O1261" i="1"/>
  <c r="N1261" i="1"/>
  <c r="M1261" i="1"/>
  <c r="L1261" i="1"/>
  <c r="J1261" i="1"/>
  <c r="K1261" i="1" s="1"/>
  <c r="O1260" i="1"/>
  <c r="N1260" i="1"/>
  <c r="M1260" i="1"/>
  <c r="L1260" i="1"/>
  <c r="J1260" i="1"/>
  <c r="K1260" i="1" s="1"/>
  <c r="O1259" i="1"/>
  <c r="N1259" i="1"/>
  <c r="M1259" i="1"/>
  <c r="L1259" i="1"/>
  <c r="J1259" i="1"/>
  <c r="K1259" i="1" s="1"/>
  <c r="O1258" i="1"/>
  <c r="N1258" i="1"/>
  <c r="M1258" i="1"/>
  <c r="L1258" i="1"/>
  <c r="J1258" i="1"/>
  <c r="K1258" i="1" s="1"/>
  <c r="O1257" i="1"/>
  <c r="N1257" i="1"/>
  <c r="M1257" i="1"/>
  <c r="L1257" i="1"/>
  <c r="J1257" i="1"/>
  <c r="K1257" i="1" s="1"/>
  <c r="O1256" i="1"/>
  <c r="N1256" i="1"/>
  <c r="M1256" i="1"/>
  <c r="L1256" i="1"/>
  <c r="J1256" i="1"/>
  <c r="K1256" i="1" s="1"/>
  <c r="O1255" i="1"/>
  <c r="N1255" i="1"/>
  <c r="M1255" i="1"/>
  <c r="L1255" i="1"/>
  <c r="J1255" i="1"/>
  <c r="K1255" i="1" s="1"/>
  <c r="O1254" i="1"/>
  <c r="N1254" i="1"/>
  <c r="M1254" i="1"/>
  <c r="L1254" i="1"/>
  <c r="J1254" i="1"/>
  <c r="K1254" i="1" s="1"/>
  <c r="O1253" i="1"/>
  <c r="N1253" i="1"/>
  <c r="M1253" i="1"/>
  <c r="L1253" i="1"/>
  <c r="J1253" i="1"/>
  <c r="K1253" i="1" s="1"/>
  <c r="O1252" i="1"/>
  <c r="N1252" i="1"/>
  <c r="M1252" i="1"/>
  <c r="L1252" i="1"/>
  <c r="J1252" i="1"/>
  <c r="K1252" i="1" s="1"/>
  <c r="O1251" i="1"/>
  <c r="N1251" i="1"/>
  <c r="M1251" i="1"/>
  <c r="L1251" i="1"/>
  <c r="J1251" i="1"/>
  <c r="K1251" i="1" s="1"/>
  <c r="O1250" i="1"/>
  <c r="N1250" i="1"/>
  <c r="M1250" i="1"/>
  <c r="L1250" i="1"/>
  <c r="J1250" i="1"/>
  <c r="K1250" i="1" s="1"/>
  <c r="O1249" i="1"/>
  <c r="N1249" i="1"/>
  <c r="M1249" i="1"/>
  <c r="L1249" i="1"/>
  <c r="J1249" i="1"/>
  <c r="K1249" i="1" s="1"/>
  <c r="O1248" i="1"/>
  <c r="N1248" i="1"/>
  <c r="M1248" i="1"/>
  <c r="L1248" i="1"/>
  <c r="J1248" i="1"/>
  <c r="K1248" i="1" s="1"/>
  <c r="O1247" i="1"/>
  <c r="N1247" i="1"/>
  <c r="M1247" i="1"/>
  <c r="L1247" i="1"/>
  <c r="J1247" i="1"/>
  <c r="K1247" i="1" s="1"/>
  <c r="O1246" i="1"/>
  <c r="N1246" i="1"/>
  <c r="M1246" i="1"/>
  <c r="L1246" i="1"/>
  <c r="J1246" i="1"/>
  <c r="K1246" i="1" s="1"/>
  <c r="O1245" i="1"/>
  <c r="N1245" i="1"/>
  <c r="M1245" i="1"/>
  <c r="L1245" i="1"/>
  <c r="J1245" i="1"/>
  <c r="K1245" i="1" s="1"/>
  <c r="O1244" i="1"/>
  <c r="N1244" i="1"/>
  <c r="M1244" i="1"/>
  <c r="L1244" i="1"/>
  <c r="J1244" i="1"/>
  <c r="K1244" i="1" s="1"/>
  <c r="O1243" i="1"/>
  <c r="N1243" i="1"/>
  <c r="M1243" i="1"/>
  <c r="L1243" i="1"/>
  <c r="J1243" i="1"/>
  <c r="K1243" i="1" s="1"/>
  <c r="O1242" i="1"/>
  <c r="N1242" i="1"/>
  <c r="M1242" i="1"/>
  <c r="L1242" i="1"/>
  <c r="J1242" i="1"/>
  <c r="K1242" i="1" s="1"/>
  <c r="O1241" i="1"/>
  <c r="N1241" i="1"/>
  <c r="M1241" i="1"/>
  <c r="L1241" i="1"/>
  <c r="J1241" i="1"/>
  <c r="K1241" i="1" s="1"/>
  <c r="O1240" i="1"/>
  <c r="N1240" i="1"/>
  <c r="M1240" i="1"/>
  <c r="L1240" i="1"/>
  <c r="J1240" i="1"/>
  <c r="K1240" i="1" s="1"/>
  <c r="O1239" i="1"/>
  <c r="N1239" i="1"/>
  <c r="M1239" i="1"/>
  <c r="L1239" i="1"/>
  <c r="J1239" i="1"/>
  <c r="K1239" i="1" s="1"/>
  <c r="O1238" i="1"/>
  <c r="N1238" i="1"/>
  <c r="M1238" i="1"/>
  <c r="L1238" i="1"/>
  <c r="J1238" i="1"/>
  <c r="K1238" i="1" s="1"/>
  <c r="O1237" i="1"/>
  <c r="N1237" i="1"/>
  <c r="M1237" i="1"/>
  <c r="L1237" i="1"/>
  <c r="J1237" i="1"/>
  <c r="K1237" i="1" s="1"/>
  <c r="O1236" i="1"/>
  <c r="N1236" i="1"/>
  <c r="M1236" i="1"/>
  <c r="L1236" i="1"/>
  <c r="J1236" i="1"/>
  <c r="K1236" i="1" s="1"/>
  <c r="O1235" i="1"/>
  <c r="N1235" i="1"/>
  <c r="M1235" i="1"/>
  <c r="L1235" i="1"/>
  <c r="J1235" i="1"/>
  <c r="K1235" i="1" s="1"/>
  <c r="O1234" i="1"/>
  <c r="N1234" i="1"/>
  <c r="M1234" i="1"/>
  <c r="L1234" i="1"/>
  <c r="J1234" i="1"/>
  <c r="K1234" i="1" s="1"/>
  <c r="O1233" i="1"/>
  <c r="N1233" i="1"/>
  <c r="M1233" i="1"/>
  <c r="L1233" i="1"/>
  <c r="J1233" i="1"/>
  <c r="K1233" i="1" s="1"/>
  <c r="O1232" i="1"/>
  <c r="N1232" i="1"/>
  <c r="M1232" i="1"/>
  <c r="L1232" i="1"/>
  <c r="J1232" i="1"/>
  <c r="K1232" i="1" s="1"/>
  <c r="O1231" i="1"/>
  <c r="N1231" i="1"/>
  <c r="M1231" i="1"/>
  <c r="L1231" i="1"/>
  <c r="J1231" i="1"/>
  <c r="K1231" i="1" s="1"/>
  <c r="O1230" i="1"/>
  <c r="N1230" i="1"/>
  <c r="M1230" i="1"/>
  <c r="L1230" i="1"/>
  <c r="J1230" i="1"/>
  <c r="K1230" i="1" s="1"/>
  <c r="O1229" i="1"/>
  <c r="N1229" i="1"/>
  <c r="M1229" i="1"/>
  <c r="L1229" i="1"/>
  <c r="J1229" i="1"/>
  <c r="K1229" i="1" s="1"/>
  <c r="O1228" i="1"/>
  <c r="N1228" i="1"/>
  <c r="M1228" i="1"/>
  <c r="L1228" i="1"/>
  <c r="J1228" i="1"/>
  <c r="K1228" i="1" s="1"/>
  <c r="O1227" i="1"/>
  <c r="N1227" i="1"/>
  <c r="M1227" i="1"/>
  <c r="L1227" i="1"/>
  <c r="J1227" i="1"/>
  <c r="K1227" i="1" s="1"/>
  <c r="O1226" i="1"/>
  <c r="N1226" i="1"/>
  <c r="M1226" i="1"/>
  <c r="L1226" i="1"/>
  <c r="J1226" i="1"/>
  <c r="K1226" i="1" s="1"/>
  <c r="O1225" i="1"/>
  <c r="N1225" i="1"/>
  <c r="M1225" i="1"/>
  <c r="L1225" i="1"/>
  <c r="J1225" i="1"/>
  <c r="K1225" i="1" s="1"/>
  <c r="O1224" i="1"/>
  <c r="N1224" i="1"/>
  <c r="M1224" i="1"/>
  <c r="L1224" i="1"/>
  <c r="J1224" i="1"/>
  <c r="K1224" i="1" s="1"/>
  <c r="O1223" i="1"/>
  <c r="N1223" i="1"/>
  <c r="M1223" i="1"/>
  <c r="L1223" i="1"/>
  <c r="J1223" i="1"/>
  <c r="K1223" i="1" s="1"/>
  <c r="O1222" i="1"/>
  <c r="N1222" i="1"/>
  <c r="M1222" i="1"/>
  <c r="L1222" i="1"/>
  <c r="J1222" i="1"/>
  <c r="K1222" i="1" s="1"/>
  <c r="O1221" i="1"/>
  <c r="N1221" i="1"/>
  <c r="M1221" i="1"/>
  <c r="L1221" i="1"/>
  <c r="J1221" i="1"/>
  <c r="K1221" i="1" s="1"/>
  <c r="O1220" i="1"/>
  <c r="N1220" i="1"/>
  <c r="M1220" i="1"/>
  <c r="L1220" i="1"/>
  <c r="J1220" i="1"/>
  <c r="K1220" i="1" s="1"/>
  <c r="O1219" i="1"/>
  <c r="N1219" i="1"/>
  <c r="M1219" i="1"/>
  <c r="L1219" i="1"/>
  <c r="J1219" i="1"/>
  <c r="K1219" i="1" s="1"/>
  <c r="O1218" i="1"/>
  <c r="N1218" i="1"/>
  <c r="M1218" i="1"/>
  <c r="L1218" i="1"/>
  <c r="J1218" i="1"/>
  <c r="K1218" i="1" s="1"/>
  <c r="O1217" i="1"/>
  <c r="N1217" i="1"/>
  <c r="M1217" i="1"/>
  <c r="L1217" i="1"/>
  <c r="J1217" i="1"/>
  <c r="K1217" i="1" s="1"/>
  <c r="O1216" i="1"/>
  <c r="N1216" i="1"/>
  <c r="M1216" i="1"/>
  <c r="L1216" i="1"/>
  <c r="J1216" i="1"/>
  <c r="K1216" i="1" s="1"/>
  <c r="O1215" i="1"/>
  <c r="N1215" i="1"/>
  <c r="M1215" i="1"/>
  <c r="L1215" i="1"/>
  <c r="J1215" i="1"/>
  <c r="K1215" i="1" s="1"/>
  <c r="O1214" i="1"/>
  <c r="N1214" i="1"/>
  <c r="M1214" i="1"/>
  <c r="L1214" i="1"/>
  <c r="J1214" i="1"/>
  <c r="K1214" i="1" s="1"/>
  <c r="O1213" i="1"/>
  <c r="N1213" i="1"/>
  <c r="M1213" i="1"/>
  <c r="L1213" i="1"/>
  <c r="J1213" i="1"/>
  <c r="K1213" i="1" s="1"/>
  <c r="O1212" i="1"/>
  <c r="N1212" i="1"/>
  <c r="M1212" i="1"/>
  <c r="L1212" i="1"/>
  <c r="J1212" i="1"/>
  <c r="K1212" i="1" s="1"/>
  <c r="O1211" i="1"/>
  <c r="N1211" i="1"/>
  <c r="M1211" i="1"/>
  <c r="L1211" i="1"/>
  <c r="J1211" i="1"/>
  <c r="K1211" i="1" s="1"/>
  <c r="O1210" i="1"/>
  <c r="N1210" i="1"/>
  <c r="M1210" i="1"/>
  <c r="L1210" i="1"/>
  <c r="J1210" i="1"/>
  <c r="K1210" i="1" s="1"/>
  <c r="O1209" i="1"/>
  <c r="N1209" i="1"/>
  <c r="M1209" i="1"/>
  <c r="L1209" i="1"/>
  <c r="J1209" i="1"/>
  <c r="K1209" i="1" s="1"/>
  <c r="O1208" i="1"/>
  <c r="N1208" i="1"/>
  <c r="M1208" i="1"/>
  <c r="L1208" i="1"/>
  <c r="J1208" i="1"/>
  <c r="K1208" i="1" s="1"/>
  <c r="O1207" i="1"/>
  <c r="N1207" i="1"/>
  <c r="M1207" i="1"/>
  <c r="L1207" i="1"/>
  <c r="J1207" i="1"/>
  <c r="K1207" i="1" s="1"/>
  <c r="O1206" i="1"/>
  <c r="N1206" i="1"/>
  <c r="M1206" i="1"/>
  <c r="L1206" i="1"/>
  <c r="J1206" i="1"/>
  <c r="K1206" i="1" s="1"/>
  <c r="O1205" i="1"/>
  <c r="N1205" i="1"/>
  <c r="M1205" i="1"/>
  <c r="L1205" i="1"/>
  <c r="J1205" i="1"/>
  <c r="K1205" i="1" s="1"/>
  <c r="O1204" i="1"/>
  <c r="N1204" i="1"/>
  <c r="M1204" i="1"/>
  <c r="L1204" i="1"/>
  <c r="J1204" i="1"/>
  <c r="K1204" i="1" s="1"/>
  <c r="O1203" i="1"/>
  <c r="N1203" i="1"/>
  <c r="M1203" i="1"/>
  <c r="L1203" i="1"/>
  <c r="J1203" i="1"/>
  <c r="K1203" i="1" s="1"/>
  <c r="O1202" i="1"/>
  <c r="N1202" i="1"/>
  <c r="M1202" i="1"/>
  <c r="L1202" i="1"/>
  <c r="J1202" i="1"/>
  <c r="K1202" i="1" s="1"/>
  <c r="O1201" i="1"/>
  <c r="N1201" i="1"/>
  <c r="M1201" i="1"/>
  <c r="L1201" i="1"/>
  <c r="J1201" i="1"/>
  <c r="K1201" i="1" s="1"/>
  <c r="O1200" i="1"/>
  <c r="N1200" i="1"/>
  <c r="M1200" i="1"/>
  <c r="L1200" i="1"/>
  <c r="J1200" i="1"/>
  <c r="K1200" i="1" s="1"/>
  <c r="O1199" i="1"/>
  <c r="N1199" i="1"/>
  <c r="M1199" i="1"/>
  <c r="L1199" i="1"/>
  <c r="J1199" i="1"/>
  <c r="K1199" i="1" s="1"/>
  <c r="O1198" i="1"/>
  <c r="N1198" i="1"/>
  <c r="M1198" i="1"/>
  <c r="L1198" i="1"/>
  <c r="J1198" i="1"/>
  <c r="K1198" i="1" s="1"/>
  <c r="O1197" i="1"/>
  <c r="N1197" i="1"/>
  <c r="M1197" i="1"/>
  <c r="L1197" i="1"/>
  <c r="J1197" i="1"/>
  <c r="K1197" i="1" s="1"/>
  <c r="O1196" i="1"/>
  <c r="N1196" i="1"/>
  <c r="M1196" i="1"/>
  <c r="L1196" i="1"/>
  <c r="J1196" i="1"/>
  <c r="K1196" i="1" s="1"/>
  <c r="O1195" i="1"/>
  <c r="N1195" i="1"/>
  <c r="M1195" i="1"/>
  <c r="L1195" i="1"/>
  <c r="J1195" i="1"/>
  <c r="K1195" i="1" s="1"/>
  <c r="O1194" i="1"/>
  <c r="N1194" i="1"/>
  <c r="M1194" i="1"/>
  <c r="L1194" i="1"/>
  <c r="J1194" i="1"/>
  <c r="K1194" i="1" s="1"/>
  <c r="O1193" i="1"/>
  <c r="N1193" i="1"/>
  <c r="M1193" i="1"/>
  <c r="L1193" i="1"/>
  <c r="J1193" i="1"/>
  <c r="K1193" i="1" s="1"/>
  <c r="O1192" i="1"/>
  <c r="N1192" i="1"/>
  <c r="M1192" i="1"/>
  <c r="L1192" i="1"/>
  <c r="J1192" i="1"/>
  <c r="K1192" i="1" s="1"/>
  <c r="O1191" i="1"/>
  <c r="N1191" i="1"/>
  <c r="M1191" i="1"/>
  <c r="L1191" i="1"/>
  <c r="J1191" i="1"/>
  <c r="K1191" i="1" s="1"/>
  <c r="O1190" i="1"/>
  <c r="N1190" i="1"/>
  <c r="M1190" i="1"/>
  <c r="L1190" i="1"/>
  <c r="J1190" i="1"/>
  <c r="K1190" i="1" s="1"/>
  <c r="O1189" i="1"/>
  <c r="N1189" i="1"/>
  <c r="M1189" i="1"/>
  <c r="L1189" i="1"/>
  <c r="J1189" i="1"/>
  <c r="K1189" i="1" s="1"/>
  <c r="O1188" i="1"/>
  <c r="N1188" i="1"/>
  <c r="M1188" i="1"/>
  <c r="L1188" i="1"/>
  <c r="J1188" i="1"/>
  <c r="K1188" i="1" s="1"/>
  <c r="O1187" i="1"/>
  <c r="N1187" i="1"/>
  <c r="M1187" i="1"/>
  <c r="L1187" i="1"/>
  <c r="J1187" i="1"/>
  <c r="K1187" i="1" s="1"/>
  <c r="O1186" i="1"/>
  <c r="N1186" i="1"/>
  <c r="M1186" i="1"/>
  <c r="L1186" i="1"/>
  <c r="J1186" i="1"/>
  <c r="K1186" i="1" s="1"/>
  <c r="O1185" i="1"/>
  <c r="N1185" i="1"/>
  <c r="M1185" i="1"/>
  <c r="L1185" i="1"/>
  <c r="J1185" i="1"/>
  <c r="K1185" i="1" s="1"/>
  <c r="O1184" i="1"/>
  <c r="N1184" i="1"/>
  <c r="M1184" i="1"/>
  <c r="L1184" i="1"/>
  <c r="J1184" i="1"/>
  <c r="K1184" i="1" s="1"/>
  <c r="O1183" i="1"/>
  <c r="N1183" i="1"/>
  <c r="M1183" i="1"/>
  <c r="L1183" i="1"/>
  <c r="J1183" i="1"/>
  <c r="K1183" i="1" s="1"/>
  <c r="O1182" i="1"/>
  <c r="N1182" i="1"/>
  <c r="M1182" i="1"/>
  <c r="L1182" i="1"/>
  <c r="J1182" i="1"/>
  <c r="K1182" i="1" s="1"/>
  <c r="O1181" i="1"/>
  <c r="N1181" i="1"/>
  <c r="M1181" i="1"/>
  <c r="L1181" i="1"/>
  <c r="J1181" i="1"/>
  <c r="K1181" i="1" s="1"/>
  <c r="O1180" i="1"/>
  <c r="N1180" i="1"/>
  <c r="M1180" i="1"/>
  <c r="L1180" i="1"/>
  <c r="J1180" i="1"/>
  <c r="K1180" i="1" s="1"/>
  <c r="O1179" i="1"/>
  <c r="N1179" i="1"/>
  <c r="M1179" i="1"/>
  <c r="L1179" i="1"/>
  <c r="J1179" i="1"/>
  <c r="K1179" i="1" s="1"/>
  <c r="O1178" i="1"/>
  <c r="N1178" i="1"/>
  <c r="M1178" i="1"/>
  <c r="L1178" i="1"/>
  <c r="J1178" i="1"/>
  <c r="K1178" i="1" s="1"/>
  <c r="O1177" i="1"/>
  <c r="N1177" i="1"/>
  <c r="M1177" i="1"/>
  <c r="L1177" i="1"/>
  <c r="J1177" i="1"/>
  <c r="K1177" i="1" s="1"/>
  <c r="O1176" i="1"/>
  <c r="N1176" i="1"/>
  <c r="M1176" i="1"/>
  <c r="L1176" i="1"/>
  <c r="J1176" i="1"/>
  <c r="K1176" i="1" s="1"/>
  <c r="O1175" i="1"/>
  <c r="N1175" i="1"/>
  <c r="M1175" i="1"/>
  <c r="L1175" i="1"/>
  <c r="J1175" i="1"/>
  <c r="K1175" i="1" s="1"/>
  <c r="O1174" i="1"/>
  <c r="N1174" i="1"/>
  <c r="M1174" i="1"/>
  <c r="L1174" i="1"/>
  <c r="J1174" i="1"/>
  <c r="K1174" i="1" s="1"/>
  <c r="O1173" i="1"/>
  <c r="N1173" i="1"/>
  <c r="M1173" i="1"/>
  <c r="L1173" i="1"/>
  <c r="J1173" i="1"/>
  <c r="K1173" i="1" s="1"/>
  <c r="O1172" i="1"/>
  <c r="N1172" i="1"/>
  <c r="M1172" i="1"/>
  <c r="L1172" i="1"/>
  <c r="J1172" i="1"/>
  <c r="K1172" i="1" s="1"/>
  <c r="O1171" i="1"/>
  <c r="N1171" i="1"/>
  <c r="M1171" i="1"/>
  <c r="L1171" i="1"/>
  <c r="J1171" i="1"/>
  <c r="K1171" i="1" s="1"/>
  <c r="O1170" i="1"/>
  <c r="N1170" i="1"/>
  <c r="M1170" i="1"/>
  <c r="L1170" i="1"/>
  <c r="J1170" i="1"/>
  <c r="K1170" i="1" s="1"/>
  <c r="O1169" i="1"/>
  <c r="N1169" i="1"/>
  <c r="M1169" i="1"/>
  <c r="L1169" i="1"/>
  <c r="J1169" i="1"/>
  <c r="K1169" i="1" s="1"/>
  <c r="O1168" i="1"/>
  <c r="N1168" i="1"/>
  <c r="M1168" i="1"/>
  <c r="L1168" i="1"/>
  <c r="J1168" i="1"/>
  <c r="K1168" i="1" s="1"/>
  <c r="O1167" i="1"/>
  <c r="N1167" i="1"/>
  <c r="M1167" i="1"/>
  <c r="L1167" i="1"/>
  <c r="J1167" i="1"/>
  <c r="K1167" i="1" s="1"/>
  <c r="O1166" i="1"/>
  <c r="N1166" i="1"/>
  <c r="M1166" i="1"/>
  <c r="L1166" i="1"/>
  <c r="J1166" i="1"/>
  <c r="K1166" i="1" s="1"/>
  <c r="O1165" i="1"/>
  <c r="N1165" i="1"/>
  <c r="M1165" i="1"/>
  <c r="L1165" i="1"/>
  <c r="J1165" i="1"/>
  <c r="K1165" i="1" s="1"/>
  <c r="O1164" i="1"/>
  <c r="N1164" i="1"/>
  <c r="M1164" i="1"/>
  <c r="L1164" i="1"/>
  <c r="J1164" i="1"/>
  <c r="K1164" i="1" s="1"/>
  <c r="O1163" i="1"/>
  <c r="N1163" i="1"/>
  <c r="M1163" i="1"/>
  <c r="L1163" i="1"/>
  <c r="J1163" i="1"/>
  <c r="K1163" i="1" s="1"/>
  <c r="O1162" i="1"/>
  <c r="N1162" i="1"/>
  <c r="M1162" i="1"/>
  <c r="L1162" i="1"/>
  <c r="J1162" i="1"/>
  <c r="K1162" i="1" s="1"/>
  <c r="O1161" i="1"/>
  <c r="N1161" i="1"/>
  <c r="M1161" i="1"/>
  <c r="L1161" i="1"/>
  <c r="J1161" i="1"/>
  <c r="K1161" i="1" s="1"/>
  <c r="O1160" i="1"/>
  <c r="N1160" i="1"/>
  <c r="M1160" i="1"/>
  <c r="L1160" i="1"/>
  <c r="J1160" i="1"/>
  <c r="K1160" i="1" s="1"/>
  <c r="O1159" i="1"/>
  <c r="N1159" i="1"/>
  <c r="M1159" i="1"/>
  <c r="L1159" i="1"/>
  <c r="J1159" i="1"/>
  <c r="K1159" i="1" s="1"/>
  <c r="O1158" i="1"/>
  <c r="N1158" i="1"/>
  <c r="M1158" i="1"/>
  <c r="L1158" i="1"/>
  <c r="J1158" i="1"/>
  <c r="K1158" i="1" s="1"/>
  <c r="O1157" i="1"/>
  <c r="N1157" i="1"/>
  <c r="M1157" i="1"/>
  <c r="L1157" i="1"/>
  <c r="J1157" i="1"/>
  <c r="K1157" i="1" s="1"/>
  <c r="O1156" i="1"/>
  <c r="N1156" i="1"/>
  <c r="M1156" i="1"/>
  <c r="L1156" i="1"/>
  <c r="J1156" i="1"/>
  <c r="K1156" i="1" s="1"/>
  <c r="O1155" i="1"/>
  <c r="N1155" i="1"/>
  <c r="M1155" i="1"/>
  <c r="L1155" i="1"/>
  <c r="J1155" i="1"/>
  <c r="K1155" i="1" s="1"/>
  <c r="O1154" i="1"/>
  <c r="N1154" i="1"/>
  <c r="M1154" i="1"/>
  <c r="L1154" i="1"/>
  <c r="J1154" i="1"/>
  <c r="K1154" i="1" s="1"/>
  <c r="O1153" i="1"/>
  <c r="N1153" i="1"/>
  <c r="M1153" i="1"/>
  <c r="L1153" i="1"/>
  <c r="J1153" i="1"/>
  <c r="K1153" i="1" s="1"/>
  <c r="O1152" i="1"/>
  <c r="N1152" i="1"/>
  <c r="M1152" i="1"/>
  <c r="L1152" i="1"/>
  <c r="J1152" i="1"/>
  <c r="K1152" i="1" s="1"/>
  <c r="O1151" i="1"/>
  <c r="N1151" i="1"/>
  <c r="M1151" i="1"/>
  <c r="L1151" i="1"/>
  <c r="J1151" i="1"/>
  <c r="K1151" i="1" s="1"/>
  <c r="O1150" i="1"/>
  <c r="N1150" i="1"/>
  <c r="M1150" i="1"/>
  <c r="L1150" i="1"/>
  <c r="J1150" i="1"/>
  <c r="K1150" i="1" s="1"/>
  <c r="O1149" i="1"/>
  <c r="N1149" i="1"/>
  <c r="M1149" i="1"/>
  <c r="L1149" i="1"/>
  <c r="J1149" i="1"/>
  <c r="K1149" i="1" s="1"/>
  <c r="O1148" i="1"/>
  <c r="N1148" i="1"/>
  <c r="M1148" i="1"/>
  <c r="L1148" i="1"/>
  <c r="J1148" i="1"/>
  <c r="K1148" i="1" s="1"/>
  <c r="O1147" i="1"/>
  <c r="N1147" i="1"/>
  <c r="M1147" i="1"/>
  <c r="L1147" i="1"/>
  <c r="J1147" i="1"/>
  <c r="K1147" i="1" s="1"/>
  <c r="O1146" i="1"/>
  <c r="N1146" i="1"/>
  <c r="M1146" i="1"/>
  <c r="L1146" i="1"/>
  <c r="J1146" i="1"/>
  <c r="K1146" i="1" s="1"/>
  <c r="O1145" i="1"/>
  <c r="N1145" i="1"/>
  <c r="M1145" i="1"/>
  <c r="L1145" i="1"/>
  <c r="J1145" i="1"/>
  <c r="K1145" i="1" s="1"/>
  <c r="O1144" i="1"/>
  <c r="N1144" i="1"/>
  <c r="M1144" i="1"/>
  <c r="L1144" i="1"/>
  <c r="J1144" i="1"/>
  <c r="K1144" i="1" s="1"/>
  <c r="O1143" i="1"/>
  <c r="N1143" i="1"/>
  <c r="M1143" i="1"/>
  <c r="L1143" i="1"/>
  <c r="J1143" i="1"/>
  <c r="K1143" i="1" s="1"/>
  <c r="O1142" i="1"/>
  <c r="N1142" i="1"/>
  <c r="M1142" i="1"/>
  <c r="L1142" i="1"/>
  <c r="J1142" i="1"/>
  <c r="K1142" i="1" s="1"/>
  <c r="O1141" i="1"/>
  <c r="N1141" i="1"/>
  <c r="M1141" i="1"/>
  <c r="L1141" i="1"/>
  <c r="J1141" i="1"/>
  <c r="K1141" i="1" s="1"/>
  <c r="O1140" i="1"/>
  <c r="N1140" i="1"/>
  <c r="M1140" i="1"/>
  <c r="L1140" i="1"/>
  <c r="J1140" i="1"/>
  <c r="K1140" i="1" s="1"/>
  <c r="O1139" i="1"/>
  <c r="N1139" i="1"/>
  <c r="M1139" i="1"/>
  <c r="L1139" i="1"/>
  <c r="J1139" i="1"/>
  <c r="K1139" i="1" s="1"/>
  <c r="O1138" i="1"/>
  <c r="N1138" i="1"/>
  <c r="M1138" i="1"/>
  <c r="L1138" i="1"/>
  <c r="J1138" i="1"/>
  <c r="K1138" i="1" s="1"/>
  <c r="O1137" i="1"/>
  <c r="N1137" i="1"/>
  <c r="M1137" i="1"/>
  <c r="L1137" i="1"/>
  <c r="J1137" i="1"/>
  <c r="K1137" i="1" s="1"/>
  <c r="O1136" i="1"/>
  <c r="N1136" i="1"/>
  <c r="M1136" i="1"/>
  <c r="L1136" i="1"/>
  <c r="J1136" i="1"/>
  <c r="K1136" i="1" s="1"/>
  <c r="O1135" i="1"/>
  <c r="N1135" i="1"/>
  <c r="M1135" i="1"/>
  <c r="L1135" i="1"/>
  <c r="J1135" i="1"/>
  <c r="K1135" i="1" s="1"/>
  <c r="O1134" i="1"/>
  <c r="N1134" i="1"/>
  <c r="M1134" i="1"/>
  <c r="L1134" i="1"/>
  <c r="J1134" i="1"/>
  <c r="K1134" i="1" s="1"/>
  <c r="O1133" i="1"/>
  <c r="N1133" i="1"/>
  <c r="M1133" i="1"/>
  <c r="L1133" i="1"/>
  <c r="J1133" i="1"/>
  <c r="K1133" i="1" s="1"/>
  <c r="O1132" i="1"/>
  <c r="N1132" i="1"/>
  <c r="M1132" i="1"/>
  <c r="L1132" i="1"/>
  <c r="J1132" i="1"/>
  <c r="K1132" i="1" s="1"/>
  <c r="O1131" i="1"/>
  <c r="N1131" i="1"/>
  <c r="M1131" i="1"/>
  <c r="L1131" i="1"/>
  <c r="J1131" i="1"/>
  <c r="K1131" i="1" s="1"/>
  <c r="O1130" i="1"/>
  <c r="N1130" i="1"/>
  <c r="M1130" i="1"/>
  <c r="L1130" i="1"/>
  <c r="J1130" i="1"/>
  <c r="K1130" i="1" s="1"/>
  <c r="O1129" i="1"/>
  <c r="N1129" i="1"/>
  <c r="M1129" i="1"/>
  <c r="L1129" i="1"/>
  <c r="J1129" i="1"/>
  <c r="K1129" i="1" s="1"/>
  <c r="O1128" i="1"/>
  <c r="N1128" i="1"/>
  <c r="M1128" i="1"/>
  <c r="L1128" i="1"/>
  <c r="J1128" i="1"/>
  <c r="K1128" i="1" s="1"/>
  <c r="O1127" i="1"/>
  <c r="N1127" i="1"/>
  <c r="M1127" i="1"/>
  <c r="L1127" i="1"/>
  <c r="J1127" i="1"/>
  <c r="K1127" i="1" s="1"/>
  <c r="O1126" i="1"/>
  <c r="N1126" i="1"/>
  <c r="M1126" i="1"/>
  <c r="L1126" i="1"/>
  <c r="J1126" i="1"/>
  <c r="K1126" i="1" s="1"/>
  <c r="O1125" i="1"/>
  <c r="N1125" i="1"/>
  <c r="M1125" i="1"/>
  <c r="L1125" i="1"/>
  <c r="J1125" i="1"/>
  <c r="K1125" i="1" s="1"/>
  <c r="O1124" i="1"/>
  <c r="N1124" i="1"/>
  <c r="M1124" i="1"/>
  <c r="L1124" i="1"/>
  <c r="J1124" i="1"/>
  <c r="K1124" i="1" s="1"/>
  <c r="O1123" i="1"/>
  <c r="N1123" i="1"/>
  <c r="M1123" i="1"/>
  <c r="L1123" i="1"/>
  <c r="J1123" i="1"/>
  <c r="K1123" i="1" s="1"/>
  <c r="O1122" i="1"/>
  <c r="N1122" i="1"/>
  <c r="M1122" i="1"/>
  <c r="L1122" i="1"/>
  <c r="J1122" i="1"/>
  <c r="K1122" i="1" s="1"/>
  <c r="O1121" i="1"/>
  <c r="N1121" i="1"/>
  <c r="M1121" i="1"/>
  <c r="L1121" i="1"/>
  <c r="J1121" i="1"/>
  <c r="K1121" i="1" s="1"/>
  <c r="O1120" i="1"/>
  <c r="N1120" i="1"/>
  <c r="M1120" i="1"/>
  <c r="L1120" i="1"/>
  <c r="J1120" i="1"/>
  <c r="K1120" i="1" s="1"/>
  <c r="O1119" i="1"/>
  <c r="N1119" i="1"/>
  <c r="M1119" i="1"/>
  <c r="L1119" i="1"/>
  <c r="J1119" i="1"/>
  <c r="K1119" i="1" s="1"/>
  <c r="O1118" i="1"/>
  <c r="N1118" i="1"/>
  <c r="M1118" i="1"/>
  <c r="L1118" i="1"/>
  <c r="J1118" i="1"/>
  <c r="K1118" i="1" s="1"/>
  <c r="O1117" i="1"/>
  <c r="N1117" i="1"/>
  <c r="M1117" i="1"/>
  <c r="L1117" i="1"/>
  <c r="J1117" i="1"/>
  <c r="K1117" i="1" s="1"/>
  <c r="O1116" i="1"/>
  <c r="N1116" i="1"/>
  <c r="M1116" i="1"/>
  <c r="L1116" i="1"/>
  <c r="J1116" i="1"/>
  <c r="K1116" i="1" s="1"/>
  <c r="O1115" i="1"/>
  <c r="N1115" i="1"/>
  <c r="M1115" i="1"/>
  <c r="L1115" i="1"/>
  <c r="J1115" i="1"/>
  <c r="K1115" i="1" s="1"/>
  <c r="O1114" i="1"/>
  <c r="N1114" i="1"/>
  <c r="M1114" i="1"/>
  <c r="L1114" i="1"/>
  <c r="J1114" i="1"/>
  <c r="K1114" i="1" s="1"/>
  <c r="O1113" i="1"/>
  <c r="N1113" i="1"/>
  <c r="M1113" i="1"/>
  <c r="L1113" i="1"/>
  <c r="J1113" i="1"/>
  <c r="K1113" i="1" s="1"/>
  <c r="O1112" i="1"/>
  <c r="N1112" i="1"/>
  <c r="M1112" i="1"/>
  <c r="L1112" i="1"/>
  <c r="J1112" i="1"/>
  <c r="K1112" i="1" s="1"/>
  <c r="O1111" i="1"/>
  <c r="N1111" i="1"/>
  <c r="M1111" i="1"/>
  <c r="L1111" i="1"/>
  <c r="J1111" i="1"/>
  <c r="K1111" i="1" s="1"/>
  <c r="O1110" i="1"/>
  <c r="N1110" i="1"/>
  <c r="M1110" i="1"/>
  <c r="L1110" i="1"/>
  <c r="J1110" i="1"/>
  <c r="K1110" i="1" s="1"/>
  <c r="O1109" i="1"/>
  <c r="N1109" i="1"/>
  <c r="M1109" i="1"/>
  <c r="L1109" i="1"/>
  <c r="J1109" i="1"/>
  <c r="K1109" i="1" s="1"/>
  <c r="O1108" i="1"/>
  <c r="N1108" i="1"/>
  <c r="M1108" i="1"/>
  <c r="L1108" i="1"/>
  <c r="J1108" i="1"/>
  <c r="K1108" i="1" s="1"/>
  <c r="O1107" i="1"/>
  <c r="N1107" i="1"/>
  <c r="M1107" i="1"/>
  <c r="L1107" i="1"/>
  <c r="J1107" i="1"/>
  <c r="K1107" i="1" s="1"/>
  <c r="O1106" i="1"/>
  <c r="N1106" i="1"/>
  <c r="M1106" i="1"/>
  <c r="L1106" i="1"/>
  <c r="J1106" i="1"/>
  <c r="K1106" i="1" s="1"/>
  <c r="O1105" i="1"/>
  <c r="N1105" i="1"/>
  <c r="M1105" i="1"/>
  <c r="L1105" i="1"/>
  <c r="J1105" i="1"/>
  <c r="K1105" i="1" s="1"/>
  <c r="O1104" i="1"/>
  <c r="N1104" i="1"/>
  <c r="M1104" i="1"/>
  <c r="L1104" i="1"/>
  <c r="J1104" i="1"/>
  <c r="K1104" i="1" s="1"/>
  <c r="O1103" i="1"/>
  <c r="N1103" i="1"/>
  <c r="M1103" i="1"/>
  <c r="L1103" i="1"/>
  <c r="J1103" i="1"/>
  <c r="K1103" i="1" s="1"/>
  <c r="O1102" i="1"/>
  <c r="N1102" i="1"/>
  <c r="M1102" i="1"/>
  <c r="L1102" i="1"/>
  <c r="J1102" i="1"/>
  <c r="K1102" i="1" s="1"/>
  <c r="O1101" i="1"/>
  <c r="N1101" i="1"/>
  <c r="M1101" i="1"/>
  <c r="L1101" i="1"/>
  <c r="J1101" i="1"/>
  <c r="K1101" i="1" s="1"/>
  <c r="O1100" i="1"/>
  <c r="N1100" i="1"/>
  <c r="M1100" i="1"/>
  <c r="L1100" i="1"/>
  <c r="J1100" i="1"/>
  <c r="K1100" i="1" s="1"/>
  <c r="O1099" i="1"/>
  <c r="N1099" i="1"/>
  <c r="M1099" i="1"/>
  <c r="L1099" i="1"/>
  <c r="J1099" i="1"/>
  <c r="K1099" i="1" s="1"/>
  <c r="O1098" i="1"/>
  <c r="N1098" i="1"/>
  <c r="M1098" i="1"/>
  <c r="L1098" i="1"/>
  <c r="J1098" i="1"/>
  <c r="K1098" i="1" s="1"/>
  <c r="O1097" i="1"/>
  <c r="N1097" i="1"/>
  <c r="M1097" i="1"/>
  <c r="L1097" i="1"/>
  <c r="J1097" i="1"/>
  <c r="K1097" i="1" s="1"/>
  <c r="O1096" i="1"/>
  <c r="N1096" i="1"/>
  <c r="M1096" i="1"/>
  <c r="L1096" i="1"/>
  <c r="J1096" i="1"/>
  <c r="K1096" i="1" s="1"/>
  <c r="O1095" i="1"/>
  <c r="N1095" i="1"/>
  <c r="M1095" i="1"/>
  <c r="L1095" i="1"/>
  <c r="J1095" i="1"/>
  <c r="K1095" i="1" s="1"/>
  <c r="O1094" i="1"/>
  <c r="N1094" i="1"/>
  <c r="M1094" i="1"/>
  <c r="L1094" i="1"/>
  <c r="J1094" i="1"/>
  <c r="K1094" i="1" s="1"/>
  <c r="O1093" i="1"/>
  <c r="N1093" i="1"/>
  <c r="M1093" i="1"/>
  <c r="L1093" i="1"/>
  <c r="J1093" i="1"/>
  <c r="K1093" i="1" s="1"/>
  <c r="O1092" i="1"/>
  <c r="N1092" i="1"/>
  <c r="M1092" i="1"/>
  <c r="L1092" i="1"/>
  <c r="J1092" i="1"/>
  <c r="K1092" i="1" s="1"/>
  <c r="O1091" i="1"/>
  <c r="N1091" i="1"/>
  <c r="M1091" i="1"/>
  <c r="L1091" i="1"/>
  <c r="J1091" i="1"/>
  <c r="K1091" i="1" s="1"/>
  <c r="O1090" i="1"/>
  <c r="N1090" i="1"/>
  <c r="M1090" i="1"/>
  <c r="L1090" i="1"/>
  <c r="J1090" i="1"/>
  <c r="K1090" i="1" s="1"/>
  <c r="O1089" i="1"/>
  <c r="N1089" i="1"/>
  <c r="M1089" i="1"/>
  <c r="L1089" i="1"/>
  <c r="J1089" i="1"/>
  <c r="K1089" i="1" s="1"/>
  <c r="O1088" i="1"/>
  <c r="N1088" i="1"/>
  <c r="M1088" i="1"/>
  <c r="L1088" i="1"/>
  <c r="J1088" i="1"/>
  <c r="K1088" i="1" s="1"/>
  <c r="O1087" i="1"/>
  <c r="N1087" i="1"/>
  <c r="M1087" i="1"/>
  <c r="L1087" i="1"/>
  <c r="J1087" i="1"/>
  <c r="K1087" i="1" s="1"/>
  <c r="O1086" i="1"/>
  <c r="N1086" i="1"/>
  <c r="M1086" i="1"/>
  <c r="L1086" i="1"/>
  <c r="J1086" i="1"/>
  <c r="K1086" i="1" s="1"/>
  <c r="O1085" i="1"/>
  <c r="N1085" i="1"/>
  <c r="M1085" i="1"/>
  <c r="L1085" i="1"/>
  <c r="J1085" i="1"/>
  <c r="K1085" i="1" s="1"/>
  <c r="O1084" i="1"/>
  <c r="N1084" i="1"/>
  <c r="M1084" i="1"/>
  <c r="L1084" i="1"/>
  <c r="J1084" i="1"/>
  <c r="K1084" i="1" s="1"/>
  <c r="O1083" i="1"/>
  <c r="N1083" i="1"/>
  <c r="M1083" i="1"/>
  <c r="L1083" i="1"/>
  <c r="J1083" i="1"/>
  <c r="K1083" i="1" s="1"/>
  <c r="O1082" i="1"/>
  <c r="N1082" i="1"/>
  <c r="M1082" i="1"/>
  <c r="L1082" i="1"/>
  <c r="J1082" i="1"/>
  <c r="K1082" i="1" s="1"/>
  <c r="O1081" i="1"/>
  <c r="N1081" i="1"/>
  <c r="M1081" i="1"/>
  <c r="L1081" i="1"/>
  <c r="J1081" i="1"/>
  <c r="K1081" i="1" s="1"/>
  <c r="O1080" i="1"/>
  <c r="N1080" i="1"/>
  <c r="M1080" i="1"/>
  <c r="L1080" i="1"/>
  <c r="J1080" i="1"/>
  <c r="K1080" i="1" s="1"/>
  <c r="O1079" i="1"/>
  <c r="N1079" i="1"/>
  <c r="M1079" i="1"/>
  <c r="L1079" i="1"/>
  <c r="J1079" i="1"/>
  <c r="K1079" i="1" s="1"/>
  <c r="O1078" i="1"/>
  <c r="N1078" i="1"/>
  <c r="M1078" i="1"/>
  <c r="L1078" i="1"/>
  <c r="J1078" i="1"/>
  <c r="K1078" i="1" s="1"/>
  <c r="O1077" i="1"/>
  <c r="N1077" i="1"/>
  <c r="M1077" i="1"/>
  <c r="L1077" i="1"/>
  <c r="J1077" i="1"/>
  <c r="K1077" i="1" s="1"/>
  <c r="O1076" i="1"/>
  <c r="N1076" i="1"/>
  <c r="M1076" i="1"/>
  <c r="L1076" i="1"/>
  <c r="J1076" i="1"/>
  <c r="K1076" i="1" s="1"/>
  <c r="O1075" i="1"/>
  <c r="N1075" i="1"/>
  <c r="M1075" i="1"/>
  <c r="L1075" i="1"/>
  <c r="J1075" i="1"/>
  <c r="K1075" i="1" s="1"/>
  <c r="O1074" i="1"/>
  <c r="N1074" i="1"/>
  <c r="M1074" i="1"/>
  <c r="L1074" i="1"/>
  <c r="J1074" i="1"/>
  <c r="K1074" i="1" s="1"/>
  <c r="O1073" i="1"/>
  <c r="N1073" i="1"/>
  <c r="M1073" i="1"/>
  <c r="L1073" i="1"/>
  <c r="J1073" i="1"/>
  <c r="K1073" i="1" s="1"/>
  <c r="O1072" i="1"/>
  <c r="N1072" i="1"/>
  <c r="M1072" i="1"/>
  <c r="L1072" i="1"/>
  <c r="J1072" i="1"/>
  <c r="K1072" i="1" s="1"/>
  <c r="O1071" i="1"/>
  <c r="N1071" i="1"/>
  <c r="M1071" i="1"/>
  <c r="L1071" i="1"/>
  <c r="J1071" i="1"/>
  <c r="K1071" i="1" s="1"/>
  <c r="O1070" i="1"/>
  <c r="N1070" i="1"/>
  <c r="M1070" i="1"/>
  <c r="L1070" i="1"/>
  <c r="J1070" i="1"/>
  <c r="K1070" i="1" s="1"/>
  <c r="O1069" i="1"/>
  <c r="N1069" i="1"/>
  <c r="M1069" i="1"/>
  <c r="L1069" i="1"/>
  <c r="J1069" i="1"/>
  <c r="K1069" i="1" s="1"/>
  <c r="O1068" i="1"/>
  <c r="N1068" i="1"/>
  <c r="M1068" i="1"/>
  <c r="L1068" i="1"/>
  <c r="J1068" i="1"/>
  <c r="K1068" i="1" s="1"/>
  <c r="O1067" i="1"/>
  <c r="N1067" i="1"/>
  <c r="M1067" i="1"/>
  <c r="L1067" i="1"/>
  <c r="J1067" i="1"/>
  <c r="K1067" i="1" s="1"/>
  <c r="O1066" i="1"/>
  <c r="N1066" i="1"/>
  <c r="M1066" i="1"/>
  <c r="L1066" i="1"/>
  <c r="J1066" i="1"/>
  <c r="K1066" i="1" s="1"/>
  <c r="O1065" i="1"/>
  <c r="N1065" i="1"/>
  <c r="M1065" i="1"/>
  <c r="L1065" i="1"/>
  <c r="J1065" i="1"/>
  <c r="K1065" i="1" s="1"/>
  <c r="O1064" i="1"/>
  <c r="N1064" i="1"/>
  <c r="M1064" i="1"/>
  <c r="L1064" i="1"/>
  <c r="J1064" i="1"/>
  <c r="K1064" i="1" s="1"/>
  <c r="O1063" i="1"/>
  <c r="N1063" i="1"/>
  <c r="M1063" i="1"/>
  <c r="L1063" i="1"/>
  <c r="J1063" i="1"/>
  <c r="K1063" i="1" s="1"/>
  <c r="O1062" i="1"/>
  <c r="N1062" i="1"/>
  <c r="M1062" i="1"/>
  <c r="L1062" i="1"/>
  <c r="J1062" i="1"/>
  <c r="K1062" i="1" s="1"/>
  <c r="O1061" i="1"/>
  <c r="N1061" i="1"/>
  <c r="M1061" i="1"/>
  <c r="L1061" i="1"/>
  <c r="J1061" i="1"/>
  <c r="K1061" i="1" s="1"/>
  <c r="O1060" i="1"/>
  <c r="N1060" i="1"/>
  <c r="M1060" i="1"/>
  <c r="L1060" i="1"/>
  <c r="J1060" i="1"/>
  <c r="K1060" i="1" s="1"/>
  <c r="O1059" i="1"/>
  <c r="N1059" i="1"/>
  <c r="M1059" i="1"/>
  <c r="L1059" i="1"/>
  <c r="J1059" i="1"/>
  <c r="K1059" i="1" s="1"/>
  <c r="O1058" i="1"/>
  <c r="N1058" i="1"/>
  <c r="M1058" i="1"/>
  <c r="L1058" i="1"/>
  <c r="J1058" i="1"/>
  <c r="K1058" i="1" s="1"/>
  <c r="O1057" i="1"/>
  <c r="N1057" i="1"/>
  <c r="M1057" i="1"/>
  <c r="L1057" i="1"/>
  <c r="J1057" i="1"/>
  <c r="K1057" i="1" s="1"/>
  <c r="O1056" i="1"/>
  <c r="N1056" i="1"/>
  <c r="M1056" i="1"/>
  <c r="L1056" i="1"/>
  <c r="J1056" i="1"/>
  <c r="K1056" i="1" s="1"/>
  <c r="O1055" i="1"/>
  <c r="N1055" i="1"/>
  <c r="M1055" i="1"/>
  <c r="L1055" i="1"/>
  <c r="J1055" i="1"/>
  <c r="K1055" i="1" s="1"/>
  <c r="O1054" i="1"/>
  <c r="N1054" i="1"/>
  <c r="M1054" i="1"/>
  <c r="L1054" i="1"/>
  <c r="J1054" i="1"/>
  <c r="K1054" i="1" s="1"/>
  <c r="O1053" i="1"/>
  <c r="N1053" i="1"/>
  <c r="M1053" i="1"/>
  <c r="L1053" i="1"/>
  <c r="J1053" i="1"/>
  <c r="K1053" i="1" s="1"/>
  <c r="O1052" i="1"/>
  <c r="N1052" i="1"/>
  <c r="M1052" i="1"/>
  <c r="L1052" i="1"/>
  <c r="J1052" i="1"/>
  <c r="K1052" i="1" s="1"/>
  <c r="O1051" i="1"/>
  <c r="N1051" i="1"/>
  <c r="M1051" i="1"/>
  <c r="L1051" i="1"/>
  <c r="J1051" i="1"/>
  <c r="K1051" i="1" s="1"/>
  <c r="O1050" i="1"/>
  <c r="N1050" i="1"/>
  <c r="M1050" i="1"/>
  <c r="L1050" i="1"/>
  <c r="J1050" i="1"/>
  <c r="K1050" i="1" s="1"/>
  <c r="O1049" i="1"/>
  <c r="N1049" i="1"/>
  <c r="M1049" i="1"/>
  <c r="L1049" i="1"/>
  <c r="J1049" i="1"/>
  <c r="K1049" i="1" s="1"/>
  <c r="O1048" i="1"/>
  <c r="N1048" i="1"/>
  <c r="M1048" i="1"/>
  <c r="L1048" i="1"/>
  <c r="J1048" i="1"/>
  <c r="K1048" i="1" s="1"/>
  <c r="O1047" i="1"/>
  <c r="N1047" i="1"/>
  <c r="M1047" i="1"/>
  <c r="L1047" i="1"/>
  <c r="J1047" i="1"/>
  <c r="K1047" i="1" s="1"/>
  <c r="O1046" i="1"/>
  <c r="N1046" i="1"/>
  <c r="M1046" i="1"/>
  <c r="L1046" i="1"/>
  <c r="J1046" i="1"/>
  <c r="K1046" i="1" s="1"/>
  <c r="O1045" i="1"/>
  <c r="N1045" i="1"/>
  <c r="M1045" i="1"/>
  <c r="L1045" i="1"/>
  <c r="J1045" i="1"/>
  <c r="K1045" i="1" s="1"/>
  <c r="O1044" i="1"/>
  <c r="N1044" i="1"/>
  <c r="M1044" i="1"/>
  <c r="L1044" i="1"/>
  <c r="J1044" i="1"/>
  <c r="K1044" i="1" s="1"/>
  <c r="O1043" i="1"/>
  <c r="N1043" i="1"/>
  <c r="M1043" i="1"/>
  <c r="L1043" i="1"/>
  <c r="J1043" i="1"/>
  <c r="K1043" i="1" s="1"/>
  <c r="O1042" i="1"/>
  <c r="N1042" i="1"/>
  <c r="M1042" i="1"/>
  <c r="L1042" i="1"/>
  <c r="J1042" i="1"/>
  <c r="K1042" i="1" s="1"/>
  <c r="O1041" i="1"/>
  <c r="N1041" i="1"/>
  <c r="M1041" i="1"/>
  <c r="L1041" i="1"/>
  <c r="J1041" i="1"/>
  <c r="K1041" i="1" s="1"/>
  <c r="O1040" i="1"/>
  <c r="N1040" i="1"/>
  <c r="M1040" i="1"/>
  <c r="L1040" i="1"/>
  <c r="J1040" i="1"/>
  <c r="K1040" i="1" s="1"/>
  <c r="O1039" i="1"/>
  <c r="N1039" i="1"/>
  <c r="M1039" i="1"/>
  <c r="L1039" i="1"/>
  <c r="J1039" i="1"/>
  <c r="K1039" i="1" s="1"/>
  <c r="O1038" i="1"/>
  <c r="N1038" i="1"/>
  <c r="M1038" i="1"/>
  <c r="L1038" i="1"/>
  <c r="J1038" i="1"/>
  <c r="K1038" i="1" s="1"/>
  <c r="O1037" i="1"/>
  <c r="N1037" i="1"/>
  <c r="M1037" i="1"/>
  <c r="L1037" i="1"/>
  <c r="J1037" i="1"/>
  <c r="K1037" i="1" s="1"/>
  <c r="O1036" i="1"/>
  <c r="N1036" i="1"/>
  <c r="M1036" i="1"/>
  <c r="L1036" i="1"/>
  <c r="J1036" i="1"/>
  <c r="K1036" i="1" s="1"/>
  <c r="O1035" i="1"/>
  <c r="N1035" i="1"/>
  <c r="M1035" i="1"/>
  <c r="L1035" i="1"/>
  <c r="J1035" i="1"/>
  <c r="K1035" i="1" s="1"/>
  <c r="O1034" i="1"/>
  <c r="N1034" i="1"/>
  <c r="M1034" i="1"/>
  <c r="L1034" i="1"/>
  <c r="J1034" i="1"/>
  <c r="K1034" i="1" s="1"/>
  <c r="O1033" i="1"/>
  <c r="N1033" i="1"/>
  <c r="M1033" i="1"/>
  <c r="L1033" i="1"/>
  <c r="J1033" i="1"/>
  <c r="K1033" i="1" s="1"/>
  <c r="O1032" i="1"/>
  <c r="N1032" i="1"/>
  <c r="M1032" i="1"/>
  <c r="L1032" i="1"/>
  <c r="J1032" i="1"/>
  <c r="K1032" i="1" s="1"/>
  <c r="O1031" i="1"/>
  <c r="N1031" i="1"/>
  <c r="M1031" i="1"/>
  <c r="L1031" i="1"/>
  <c r="J1031" i="1"/>
  <c r="K1031" i="1" s="1"/>
  <c r="O1030" i="1"/>
  <c r="N1030" i="1"/>
  <c r="M1030" i="1"/>
  <c r="L1030" i="1"/>
  <c r="J1030" i="1"/>
  <c r="K1030" i="1" s="1"/>
  <c r="O1029" i="1"/>
  <c r="N1029" i="1"/>
  <c r="M1029" i="1"/>
  <c r="L1029" i="1"/>
  <c r="J1029" i="1"/>
  <c r="K1029" i="1" s="1"/>
  <c r="O1028" i="1"/>
  <c r="N1028" i="1"/>
  <c r="M1028" i="1"/>
  <c r="L1028" i="1"/>
  <c r="J1028" i="1"/>
  <c r="K1028" i="1" s="1"/>
  <c r="O1027" i="1"/>
  <c r="N1027" i="1"/>
  <c r="M1027" i="1"/>
  <c r="L1027" i="1"/>
  <c r="J1027" i="1"/>
  <c r="K1027" i="1" s="1"/>
  <c r="O1026" i="1"/>
  <c r="N1026" i="1"/>
  <c r="M1026" i="1"/>
  <c r="L1026" i="1"/>
  <c r="J1026" i="1"/>
  <c r="K1026" i="1" s="1"/>
  <c r="O1025" i="1"/>
  <c r="N1025" i="1"/>
  <c r="M1025" i="1"/>
  <c r="L1025" i="1"/>
  <c r="J1025" i="1"/>
  <c r="K1025" i="1" s="1"/>
  <c r="O1024" i="1"/>
  <c r="N1024" i="1"/>
  <c r="M1024" i="1"/>
  <c r="L1024" i="1"/>
  <c r="J1024" i="1"/>
  <c r="K1024" i="1" s="1"/>
  <c r="O1023" i="1"/>
  <c r="N1023" i="1"/>
  <c r="M1023" i="1"/>
  <c r="L1023" i="1"/>
  <c r="J1023" i="1"/>
  <c r="K1023" i="1" s="1"/>
  <c r="O1022" i="1"/>
  <c r="N1022" i="1"/>
  <c r="M1022" i="1"/>
  <c r="L1022" i="1"/>
  <c r="J1022" i="1"/>
  <c r="K1022" i="1" s="1"/>
  <c r="O1021" i="1"/>
  <c r="N1021" i="1"/>
  <c r="M1021" i="1"/>
  <c r="L1021" i="1"/>
  <c r="J1021" i="1"/>
  <c r="K1021" i="1" s="1"/>
  <c r="O1020" i="1"/>
  <c r="N1020" i="1"/>
  <c r="M1020" i="1"/>
  <c r="L1020" i="1"/>
  <c r="J1020" i="1"/>
  <c r="K1020" i="1" s="1"/>
  <c r="O1019" i="1"/>
  <c r="N1019" i="1"/>
  <c r="M1019" i="1"/>
  <c r="L1019" i="1"/>
  <c r="J1019" i="1"/>
  <c r="K1019" i="1" s="1"/>
  <c r="O1018" i="1"/>
  <c r="N1018" i="1"/>
  <c r="M1018" i="1"/>
  <c r="L1018" i="1"/>
  <c r="J1018" i="1"/>
  <c r="K1018" i="1" s="1"/>
  <c r="O1017" i="1"/>
  <c r="N1017" i="1"/>
  <c r="M1017" i="1"/>
  <c r="L1017" i="1"/>
  <c r="J1017" i="1"/>
  <c r="K1017" i="1" s="1"/>
  <c r="O1016" i="1"/>
  <c r="N1016" i="1"/>
  <c r="M1016" i="1"/>
  <c r="L1016" i="1"/>
  <c r="J1016" i="1"/>
  <c r="K1016" i="1" s="1"/>
  <c r="O1015" i="1"/>
  <c r="N1015" i="1"/>
  <c r="M1015" i="1"/>
  <c r="L1015" i="1"/>
  <c r="J1015" i="1"/>
  <c r="K1015" i="1" s="1"/>
  <c r="O1014" i="1"/>
  <c r="N1014" i="1"/>
  <c r="M1014" i="1"/>
  <c r="L1014" i="1"/>
  <c r="J1014" i="1"/>
  <c r="K1014" i="1" s="1"/>
  <c r="O1013" i="1"/>
  <c r="N1013" i="1"/>
  <c r="M1013" i="1"/>
  <c r="L1013" i="1"/>
  <c r="J1013" i="1"/>
  <c r="K1013" i="1" s="1"/>
  <c r="O1012" i="1"/>
  <c r="N1012" i="1"/>
  <c r="M1012" i="1"/>
  <c r="L1012" i="1"/>
  <c r="J1012" i="1"/>
  <c r="K1012" i="1" s="1"/>
  <c r="O1011" i="1"/>
  <c r="N1011" i="1"/>
  <c r="M1011" i="1"/>
  <c r="L1011" i="1"/>
  <c r="J1011" i="1"/>
  <c r="K1011" i="1" s="1"/>
  <c r="O1010" i="1"/>
  <c r="N1010" i="1"/>
  <c r="M1010" i="1"/>
  <c r="L1010" i="1"/>
  <c r="J1010" i="1"/>
  <c r="K1010" i="1" s="1"/>
  <c r="O1009" i="1"/>
  <c r="N1009" i="1"/>
  <c r="M1009" i="1"/>
  <c r="L1009" i="1"/>
  <c r="J1009" i="1"/>
  <c r="K1009" i="1" s="1"/>
  <c r="O1008" i="1"/>
  <c r="N1008" i="1"/>
  <c r="M1008" i="1"/>
  <c r="L1008" i="1"/>
  <c r="J1008" i="1"/>
  <c r="K1008" i="1" s="1"/>
  <c r="O1007" i="1"/>
  <c r="N1007" i="1"/>
  <c r="M1007" i="1"/>
  <c r="L1007" i="1"/>
  <c r="J1007" i="1"/>
  <c r="K1007" i="1" s="1"/>
  <c r="O1006" i="1"/>
  <c r="N1006" i="1"/>
  <c r="M1006" i="1"/>
  <c r="L1006" i="1"/>
  <c r="J1006" i="1"/>
  <c r="K1006" i="1" s="1"/>
  <c r="O1005" i="1"/>
  <c r="N1005" i="1"/>
  <c r="M1005" i="1"/>
  <c r="L1005" i="1"/>
  <c r="J1005" i="1"/>
  <c r="K1005" i="1" s="1"/>
  <c r="O1004" i="1"/>
  <c r="N1004" i="1"/>
  <c r="M1004" i="1"/>
  <c r="L1004" i="1"/>
  <c r="J1004" i="1"/>
  <c r="K1004" i="1" s="1"/>
  <c r="O1003" i="1"/>
  <c r="N1003" i="1"/>
  <c r="M1003" i="1"/>
  <c r="L1003" i="1"/>
  <c r="J1003" i="1"/>
  <c r="K1003" i="1" s="1"/>
  <c r="O1002" i="1"/>
  <c r="N1002" i="1"/>
  <c r="M1002" i="1"/>
  <c r="L1002" i="1"/>
  <c r="J1002" i="1"/>
  <c r="K1002" i="1" s="1"/>
  <c r="O1001" i="1"/>
  <c r="N1001" i="1"/>
  <c r="M1001" i="1"/>
  <c r="L1001" i="1"/>
  <c r="J1001" i="1"/>
  <c r="K1001" i="1" s="1"/>
  <c r="O1000" i="1"/>
  <c r="N1000" i="1"/>
  <c r="M1000" i="1"/>
  <c r="L1000" i="1"/>
  <c r="J1000" i="1"/>
  <c r="K1000" i="1" s="1"/>
  <c r="O999" i="1"/>
  <c r="N999" i="1"/>
  <c r="M999" i="1"/>
  <c r="L999" i="1"/>
  <c r="J999" i="1"/>
  <c r="K999" i="1" s="1"/>
  <c r="O998" i="1"/>
  <c r="N998" i="1"/>
  <c r="M998" i="1"/>
  <c r="L998" i="1"/>
  <c r="J998" i="1"/>
  <c r="K998" i="1" s="1"/>
  <c r="O997" i="1"/>
  <c r="N997" i="1"/>
  <c r="M997" i="1"/>
  <c r="L997" i="1"/>
  <c r="J997" i="1"/>
  <c r="K997" i="1" s="1"/>
  <c r="O996" i="1"/>
  <c r="N996" i="1"/>
  <c r="M996" i="1"/>
  <c r="L996" i="1"/>
  <c r="J996" i="1"/>
  <c r="K996" i="1" s="1"/>
  <c r="O995" i="1"/>
  <c r="N995" i="1"/>
  <c r="M995" i="1"/>
  <c r="L995" i="1"/>
  <c r="J995" i="1"/>
  <c r="K995" i="1" s="1"/>
  <c r="O994" i="1"/>
  <c r="N994" i="1"/>
  <c r="M994" i="1"/>
  <c r="L994" i="1"/>
  <c r="J994" i="1"/>
  <c r="K994" i="1" s="1"/>
  <c r="O993" i="1"/>
  <c r="N993" i="1"/>
  <c r="M993" i="1"/>
  <c r="L993" i="1"/>
  <c r="J993" i="1"/>
  <c r="K993" i="1" s="1"/>
  <c r="O992" i="1"/>
  <c r="N992" i="1"/>
  <c r="M992" i="1"/>
  <c r="L992" i="1"/>
  <c r="J992" i="1"/>
  <c r="K992" i="1" s="1"/>
  <c r="O991" i="1"/>
  <c r="N991" i="1"/>
  <c r="M991" i="1"/>
  <c r="L991" i="1"/>
  <c r="J991" i="1"/>
  <c r="K991" i="1" s="1"/>
  <c r="O990" i="1"/>
  <c r="N990" i="1"/>
  <c r="M990" i="1"/>
  <c r="L990" i="1"/>
  <c r="J990" i="1"/>
  <c r="K990" i="1" s="1"/>
  <c r="O989" i="1"/>
  <c r="N989" i="1"/>
  <c r="M989" i="1"/>
  <c r="L989" i="1"/>
  <c r="J989" i="1"/>
  <c r="K989" i="1" s="1"/>
  <c r="O988" i="1"/>
  <c r="N988" i="1"/>
  <c r="M988" i="1"/>
  <c r="L988" i="1"/>
  <c r="J988" i="1"/>
  <c r="K988" i="1" s="1"/>
  <c r="O987" i="1"/>
  <c r="N987" i="1"/>
  <c r="M987" i="1"/>
  <c r="L987" i="1"/>
  <c r="J987" i="1"/>
  <c r="K987" i="1" s="1"/>
  <c r="O986" i="1"/>
  <c r="N986" i="1"/>
  <c r="M986" i="1"/>
  <c r="L986" i="1"/>
  <c r="J986" i="1"/>
  <c r="K986" i="1" s="1"/>
  <c r="O985" i="1"/>
  <c r="N985" i="1"/>
  <c r="M985" i="1"/>
  <c r="L985" i="1"/>
  <c r="J985" i="1"/>
  <c r="K985" i="1" s="1"/>
  <c r="O984" i="1"/>
  <c r="N984" i="1"/>
  <c r="M984" i="1"/>
  <c r="L984" i="1"/>
  <c r="J984" i="1"/>
  <c r="K984" i="1" s="1"/>
  <c r="O983" i="1"/>
  <c r="N983" i="1"/>
  <c r="M983" i="1"/>
  <c r="L983" i="1"/>
  <c r="J983" i="1"/>
  <c r="K983" i="1" s="1"/>
  <c r="O982" i="1"/>
  <c r="N982" i="1"/>
  <c r="M982" i="1"/>
  <c r="L982" i="1"/>
  <c r="J982" i="1"/>
  <c r="K982" i="1" s="1"/>
  <c r="O981" i="1"/>
  <c r="N981" i="1"/>
  <c r="M981" i="1"/>
  <c r="L981" i="1"/>
  <c r="J981" i="1"/>
  <c r="K981" i="1" s="1"/>
  <c r="O980" i="1"/>
  <c r="N980" i="1"/>
  <c r="M980" i="1"/>
  <c r="L980" i="1"/>
  <c r="J980" i="1"/>
  <c r="K980" i="1" s="1"/>
  <c r="O979" i="1"/>
  <c r="N979" i="1"/>
  <c r="M979" i="1"/>
  <c r="L979" i="1"/>
  <c r="J979" i="1"/>
  <c r="K979" i="1" s="1"/>
  <c r="O978" i="1"/>
  <c r="N978" i="1"/>
  <c r="M978" i="1"/>
  <c r="L978" i="1"/>
  <c r="J978" i="1"/>
  <c r="K978" i="1" s="1"/>
  <c r="O977" i="1"/>
  <c r="N977" i="1"/>
  <c r="M977" i="1"/>
  <c r="L977" i="1"/>
  <c r="J977" i="1"/>
  <c r="K977" i="1" s="1"/>
  <c r="O976" i="1"/>
  <c r="N976" i="1"/>
  <c r="M976" i="1"/>
  <c r="L976" i="1"/>
  <c r="J976" i="1"/>
  <c r="K976" i="1" s="1"/>
  <c r="O975" i="1"/>
  <c r="N975" i="1"/>
  <c r="M975" i="1"/>
  <c r="L975" i="1"/>
  <c r="J975" i="1"/>
  <c r="K975" i="1" s="1"/>
  <c r="O974" i="1"/>
  <c r="N974" i="1"/>
  <c r="M974" i="1"/>
  <c r="L974" i="1"/>
  <c r="J974" i="1"/>
  <c r="K974" i="1" s="1"/>
  <c r="O973" i="1"/>
  <c r="N973" i="1"/>
  <c r="M973" i="1"/>
  <c r="L973" i="1"/>
  <c r="J973" i="1"/>
  <c r="K973" i="1" s="1"/>
  <c r="O972" i="1"/>
  <c r="N972" i="1"/>
  <c r="M972" i="1"/>
  <c r="L972" i="1"/>
  <c r="J972" i="1"/>
  <c r="K972" i="1" s="1"/>
  <c r="O971" i="1"/>
  <c r="N971" i="1"/>
  <c r="M971" i="1"/>
  <c r="L971" i="1"/>
  <c r="J971" i="1"/>
  <c r="K971" i="1" s="1"/>
  <c r="O970" i="1"/>
  <c r="N970" i="1"/>
  <c r="M970" i="1"/>
  <c r="L970" i="1"/>
  <c r="J970" i="1"/>
  <c r="K970" i="1" s="1"/>
  <c r="O969" i="1"/>
  <c r="N969" i="1"/>
  <c r="M969" i="1"/>
  <c r="L969" i="1"/>
  <c r="J969" i="1"/>
  <c r="K969" i="1" s="1"/>
  <c r="O968" i="1"/>
  <c r="N968" i="1"/>
  <c r="M968" i="1"/>
  <c r="L968" i="1"/>
  <c r="J968" i="1"/>
  <c r="K968" i="1" s="1"/>
  <c r="O967" i="1"/>
  <c r="N967" i="1"/>
  <c r="M967" i="1"/>
  <c r="L967" i="1"/>
  <c r="J967" i="1"/>
  <c r="K967" i="1" s="1"/>
  <c r="O966" i="1"/>
  <c r="N966" i="1"/>
  <c r="M966" i="1"/>
  <c r="L966" i="1"/>
  <c r="J966" i="1"/>
  <c r="K966" i="1" s="1"/>
  <c r="O965" i="1"/>
  <c r="N965" i="1"/>
  <c r="M965" i="1"/>
  <c r="L965" i="1"/>
  <c r="J965" i="1"/>
  <c r="K965" i="1" s="1"/>
  <c r="O964" i="1"/>
  <c r="N964" i="1"/>
  <c r="M964" i="1"/>
  <c r="L964" i="1"/>
  <c r="J964" i="1"/>
  <c r="K964" i="1" s="1"/>
  <c r="O963" i="1"/>
  <c r="N963" i="1"/>
  <c r="M963" i="1"/>
  <c r="L963" i="1"/>
  <c r="J963" i="1"/>
  <c r="K963" i="1" s="1"/>
  <c r="O962" i="1"/>
  <c r="N962" i="1"/>
  <c r="M962" i="1"/>
  <c r="L962" i="1"/>
  <c r="J962" i="1"/>
  <c r="K962" i="1" s="1"/>
  <c r="O961" i="1"/>
  <c r="N961" i="1"/>
  <c r="M961" i="1"/>
  <c r="L961" i="1"/>
  <c r="J961" i="1"/>
  <c r="K961" i="1" s="1"/>
  <c r="O960" i="1"/>
  <c r="N960" i="1"/>
  <c r="M960" i="1"/>
  <c r="L960" i="1"/>
  <c r="J960" i="1"/>
  <c r="K960" i="1" s="1"/>
  <c r="O959" i="1"/>
  <c r="N959" i="1"/>
  <c r="M959" i="1"/>
  <c r="L959" i="1"/>
  <c r="J959" i="1"/>
  <c r="K959" i="1" s="1"/>
  <c r="O958" i="1"/>
  <c r="N958" i="1"/>
  <c r="M958" i="1"/>
  <c r="L958" i="1"/>
  <c r="J958" i="1"/>
  <c r="K958" i="1" s="1"/>
  <c r="O957" i="1"/>
  <c r="N957" i="1"/>
  <c r="M957" i="1"/>
  <c r="L957" i="1"/>
  <c r="J957" i="1"/>
  <c r="K957" i="1" s="1"/>
  <c r="O956" i="1"/>
  <c r="N956" i="1"/>
  <c r="M956" i="1"/>
  <c r="L956" i="1"/>
  <c r="J956" i="1"/>
  <c r="K956" i="1" s="1"/>
  <c r="O955" i="1"/>
  <c r="N955" i="1"/>
  <c r="M955" i="1"/>
  <c r="L955" i="1"/>
  <c r="J955" i="1"/>
  <c r="K955" i="1" s="1"/>
  <c r="O954" i="1"/>
  <c r="N954" i="1"/>
  <c r="M954" i="1"/>
  <c r="L954" i="1"/>
  <c r="J954" i="1"/>
  <c r="K954" i="1" s="1"/>
  <c r="O953" i="1"/>
  <c r="N953" i="1"/>
  <c r="M953" i="1"/>
  <c r="L953" i="1"/>
  <c r="J953" i="1"/>
  <c r="K953" i="1" s="1"/>
  <c r="O952" i="1"/>
  <c r="N952" i="1"/>
  <c r="M952" i="1"/>
  <c r="L952" i="1"/>
  <c r="J952" i="1"/>
  <c r="K952" i="1" s="1"/>
  <c r="O951" i="1"/>
  <c r="N951" i="1"/>
  <c r="M951" i="1"/>
  <c r="L951" i="1"/>
  <c r="J951" i="1"/>
  <c r="K951" i="1" s="1"/>
  <c r="O950" i="1"/>
  <c r="N950" i="1"/>
  <c r="M950" i="1"/>
  <c r="L950" i="1"/>
  <c r="J950" i="1"/>
  <c r="K950" i="1" s="1"/>
  <c r="O949" i="1"/>
  <c r="N949" i="1"/>
  <c r="M949" i="1"/>
  <c r="L949" i="1"/>
  <c r="J949" i="1"/>
  <c r="K949" i="1" s="1"/>
  <c r="O948" i="1"/>
  <c r="N948" i="1"/>
  <c r="M948" i="1"/>
  <c r="L948" i="1"/>
  <c r="J948" i="1"/>
  <c r="K948" i="1" s="1"/>
  <c r="O947" i="1"/>
  <c r="N947" i="1"/>
  <c r="M947" i="1"/>
  <c r="L947" i="1"/>
  <c r="J947" i="1"/>
  <c r="K947" i="1" s="1"/>
  <c r="O946" i="1"/>
  <c r="N946" i="1"/>
  <c r="M946" i="1"/>
  <c r="L946" i="1"/>
  <c r="J946" i="1"/>
  <c r="K946" i="1" s="1"/>
  <c r="O945" i="1"/>
  <c r="N945" i="1"/>
  <c r="M945" i="1"/>
  <c r="L945" i="1"/>
  <c r="J945" i="1"/>
  <c r="K945" i="1" s="1"/>
  <c r="O944" i="1"/>
  <c r="N944" i="1"/>
  <c r="M944" i="1"/>
  <c r="L944" i="1"/>
  <c r="J944" i="1"/>
  <c r="K944" i="1" s="1"/>
  <c r="O943" i="1"/>
  <c r="N943" i="1"/>
  <c r="M943" i="1"/>
  <c r="L943" i="1"/>
  <c r="J943" i="1"/>
  <c r="K943" i="1" s="1"/>
  <c r="O942" i="1"/>
  <c r="N942" i="1"/>
  <c r="M942" i="1"/>
  <c r="L942" i="1"/>
  <c r="J942" i="1"/>
  <c r="K942" i="1" s="1"/>
  <c r="O941" i="1"/>
  <c r="N941" i="1"/>
  <c r="M941" i="1"/>
  <c r="L941" i="1"/>
  <c r="J941" i="1"/>
  <c r="K941" i="1" s="1"/>
  <c r="O940" i="1"/>
  <c r="N940" i="1"/>
  <c r="M940" i="1"/>
  <c r="L940" i="1"/>
  <c r="J940" i="1"/>
  <c r="K940" i="1" s="1"/>
  <c r="O939" i="1"/>
  <c r="N939" i="1"/>
  <c r="M939" i="1"/>
  <c r="L939" i="1"/>
  <c r="J939" i="1"/>
  <c r="K939" i="1" s="1"/>
  <c r="O938" i="1"/>
  <c r="N938" i="1"/>
  <c r="M938" i="1"/>
  <c r="L938" i="1"/>
  <c r="J938" i="1"/>
  <c r="K938" i="1" s="1"/>
  <c r="O937" i="1"/>
  <c r="N937" i="1"/>
  <c r="M937" i="1"/>
  <c r="L937" i="1"/>
  <c r="J937" i="1"/>
  <c r="K937" i="1" s="1"/>
  <c r="O936" i="1"/>
  <c r="N936" i="1"/>
  <c r="M936" i="1"/>
  <c r="L936" i="1"/>
  <c r="J936" i="1"/>
  <c r="K936" i="1" s="1"/>
  <c r="O935" i="1"/>
  <c r="N935" i="1"/>
  <c r="M935" i="1"/>
  <c r="L935" i="1"/>
  <c r="J935" i="1"/>
  <c r="K935" i="1" s="1"/>
  <c r="O934" i="1"/>
  <c r="N934" i="1"/>
  <c r="M934" i="1"/>
  <c r="L934" i="1"/>
  <c r="J934" i="1"/>
  <c r="K934" i="1" s="1"/>
  <c r="O933" i="1"/>
  <c r="N933" i="1"/>
  <c r="M933" i="1"/>
  <c r="L933" i="1"/>
  <c r="J933" i="1"/>
  <c r="K933" i="1" s="1"/>
  <c r="O932" i="1"/>
  <c r="N932" i="1"/>
  <c r="M932" i="1"/>
  <c r="L932" i="1"/>
  <c r="J932" i="1"/>
  <c r="K932" i="1" s="1"/>
  <c r="O931" i="1"/>
  <c r="N931" i="1"/>
  <c r="M931" i="1"/>
  <c r="L931" i="1"/>
  <c r="J931" i="1"/>
  <c r="K931" i="1" s="1"/>
  <c r="O930" i="1"/>
  <c r="N930" i="1"/>
  <c r="M930" i="1"/>
  <c r="L930" i="1"/>
  <c r="J930" i="1"/>
  <c r="K930" i="1" s="1"/>
  <c r="O929" i="1"/>
  <c r="N929" i="1"/>
  <c r="M929" i="1"/>
  <c r="L929" i="1"/>
  <c r="J929" i="1"/>
  <c r="K929" i="1" s="1"/>
  <c r="O928" i="1"/>
  <c r="N928" i="1"/>
  <c r="M928" i="1"/>
  <c r="L928" i="1"/>
  <c r="J928" i="1"/>
  <c r="K928" i="1" s="1"/>
  <c r="O927" i="1"/>
  <c r="N927" i="1"/>
  <c r="M927" i="1"/>
  <c r="L927" i="1"/>
  <c r="J927" i="1"/>
  <c r="K927" i="1" s="1"/>
  <c r="O926" i="1"/>
  <c r="N926" i="1"/>
  <c r="M926" i="1"/>
  <c r="L926" i="1"/>
  <c r="J926" i="1"/>
  <c r="K926" i="1" s="1"/>
  <c r="O925" i="1"/>
  <c r="N925" i="1"/>
  <c r="M925" i="1"/>
  <c r="L925" i="1"/>
  <c r="J925" i="1"/>
  <c r="K925" i="1" s="1"/>
  <c r="O924" i="1"/>
  <c r="N924" i="1"/>
  <c r="M924" i="1"/>
  <c r="L924" i="1"/>
  <c r="J924" i="1"/>
  <c r="K924" i="1" s="1"/>
  <c r="O923" i="1"/>
  <c r="N923" i="1"/>
  <c r="M923" i="1"/>
  <c r="L923" i="1"/>
  <c r="J923" i="1"/>
  <c r="K923" i="1" s="1"/>
  <c r="O922" i="1"/>
  <c r="N922" i="1"/>
  <c r="M922" i="1"/>
  <c r="L922" i="1"/>
  <c r="J922" i="1"/>
  <c r="K922" i="1" s="1"/>
  <c r="O921" i="1"/>
  <c r="N921" i="1"/>
  <c r="M921" i="1"/>
  <c r="L921" i="1"/>
  <c r="J921" i="1"/>
  <c r="K921" i="1" s="1"/>
  <c r="O920" i="1"/>
  <c r="N920" i="1"/>
  <c r="M920" i="1"/>
  <c r="L920" i="1"/>
  <c r="J920" i="1"/>
  <c r="K920" i="1" s="1"/>
  <c r="O919" i="1"/>
  <c r="N919" i="1"/>
  <c r="M919" i="1"/>
  <c r="L919" i="1"/>
  <c r="J919" i="1"/>
  <c r="K919" i="1" s="1"/>
  <c r="O918" i="1"/>
  <c r="N918" i="1"/>
  <c r="M918" i="1"/>
  <c r="L918" i="1"/>
  <c r="J918" i="1"/>
  <c r="K918" i="1" s="1"/>
  <c r="O917" i="1"/>
  <c r="N917" i="1"/>
  <c r="M917" i="1"/>
  <c r="L917" i="1"/>
  <c r="J917" i="1"/>
  <c r="K917" i="1" s="1"/>
  <c r="O916" i="1"/>
  <c r="N916" i="1"/>
  <c r="M916" i="1"/>
  <c r="L916" i="1"/>
  <c r="J916" i="1"/>
  <c r="K916" i="1" s="1"/>
  <c r="O915" i="1"/>
  <c r="N915" i="1"/>
  <c r="M915" i="1"/>
  <c r="L915" i="1"/>
  <c r="J915" i="1"/>
  <c r="K915" i="1" s="1"/>
  <c r="O914" i="1"/>
  <c r="N914" i="1"/>
  <c r="M914" i="1"/>
  <c r="L914" i="1"/>
  <c r="J914" i="1"/>
  <c r="K914" i="1" s="1"/>
  <c r="O913" i="1"/>
  <c r="N913" i="1"/>
  <c r="M913" i="1"/>
  <c r="L913" i="1"/>
  <c r="J913" i="1"/>
  <c r="K913" i="1" s="1"/>
  <c r="O912" i="1"/>
  <c r="N912" i="1"/>
  <c r="M912" i="1"/>
  <c r="L912" i="1"/>
  <c r="J912" i="1"/>
  <c r="K912" i="1" s="1"/>
  <c r="O911" i="1"/>
  <c r="N911" i="1"/>
  <c r="M911" i="1"/>
  <c r="L911" i="1"/>
  <c r="J911" i="1"/>
  <c r="K911" i="1" s="1"/>
  <c r="O910" i="1"/>
  <c r="N910" i="1"/>
  <c r="M910" i="1"/>
  <c r="L910" i="1"/>
  <c r="J910" i="1"/>
  <c r="K910" i="1" s="1"/>
  <c r="O909" i="1"/>
  <c r="N909" i="1"/>
  <c r="M909" i="1"/>
  <c r="L909" i="1"/>
  <c r="J909" i="1"/>
  <c r="K909" i="1" s="1"/>
  <c r="O908" i="1"/>
  <c r="N908" i="1"/>
  <c r="M908" i="1"/>
  <c r="L908" i="1"/>
  <c r="J908" i="1"/>
  <c r="K908" i="1" s="1"/>
  <c r="O907" i="1"/>
  <c r="N907" i="1"/>
  <c r="M907" i="1"/>
  <c r="L907" i="1"/>
  <c r="J907" i="1"/>
  <c r="K907" i="1" s="1"/>
  <c r="O906" i="1"/>
  <c r="N906" i="1"/>
  <c r="M906" i="1"/>
  <c r="L906" i="1"/>
  <c r="J906" i="1"/>
  <c r="K906" i="1" s="1"/>
  <c r="O905" i="1"/>
  <c r="N905" i="1"/>
  <c r="M905" i="1"/>
  <c r="L905" i="1"/>
  <c r="J905" i="1"/>
  <c r="K905" i="1" s="1"/>
  <c r="O904" i="1"/>
  <c r="N904" i="1"/>
  <c r="M904" i="1"/>
  <c r="L904" i="1"/>
  <c r="J904" i="1"/>
  <c r="K904" i="1" s="1"/>
  <c r="O903" i="1"/>
  <c r="N903" i="1"/>
  <c r="M903" i="1"/>
  <c r="L903" i="1"/>
  <c r="J903" i="1"/>
  <c r="K903" i="1" s="1"/>
  <c r="O902" i="1"/>
  <c r="N902" i="1"/>
  <c r="M902" i="1"/>
  <c r="L902" i="1"/>
  <c r="J902" i="1"/>
  <c r="K902" i="1" s="1"/>
  <c r="O901" i="1"/>
  <c r="N901" i="1"/>
  <c r="M901" i="1"/>
  <c r="L901" i="1"/>
  <c r="J901" i="1"/>
  <c r="K901" i="1" s="1"/>
  <c r="O900" i="1"/>
  <c r="N900" i="1"/>
  <c r="M900" i="1"/>
  <c r="L900" i="1"/>
  <c r="J900" i="1"/>
  <c r="K900" i="1" s="1"/>
  <c r="O899" i="1"/>
  <c r="N899" i="1"/>
  <c r="M899" i="1"/>
  <c r="L899" i="1"/>
  <c r="J899" i="1"/>
  <c r="K899" i="1" s="1"/>
  <c r="O898" i="1"/>
  <c r="N898" i="1"/>
  <c r="M898" i="1"/>
  <c r="L898" i="1"/>
  <c r="J898" i="1"/>
  <c r="K898" i="1" s="1"/>
  <c r="O897" i="1"/>
  <c r="N897" i="1"/>
  <c r="M897" i="1"/>
  <c r="L897" i="1"/>
  <c r="J897" i="1"/>
  <c r="K897" i="1" s="1"/>
  <c r="O896" i="1"/>
  <c r="N896" i="1"/>
  <c r="M896" i="1"/>
  <c r="L896" i="1"/>
  <c r="J896" i="1"/>
  <c r="K896" i="1" s="1"/>
  <c r="O895" i="1"/>
  <c r="N895" i="1"/>
  <c r="M895" i="1"/>
  <c r="L895" i="1"/>
  <c r="J895" i="1"/>
  <c r="K895" i="1" s="1"/>
  <c r="O894" i="1"/>
  <c r="N894" i="1"/>
  <c r="M894" i="1"/>
  <c r="L894" i="1"/>
  <c r="J894" i="1"/>
  <c r="K894" i="1" s="1"/>
  <c r="O893" i="1"/>
  <c r="N893" i="1"/>
  <c r="M893" i="1"/>
  <c r="L893" i="1"/>
  <c r="J893" i="1"/>
  <c r="K893" i="1" s="1"/>
  <c r="O892" i="1"/>
  <c r="N892" i="1"/>
  <c r="M892" i="1"/>
  <c r="L892" i="1"/>
  <c r="J892" i="1"/>
  <c r="K892" i="1" s="1"/>
  <c r="O891" i="1"/>
  <c r="N891" i="1"/>
  <c r="M891" i="1"/>
  <c r="L891" i="1"/>
  <c r="J891" i="1"/>
  <c r="K891" i="1" s="1"/>
  <c r="O890" i="1"/>
  <c r="N890" i="1"/>
  <c r="M890" i="1"/>
  <c r="L890" i="1"/>
  <c r="J890" i="1"/>
  <c r="K890" i="1" s="1"/>
  <c r="O889" i="1"/>
  <c r="N889" i="1"/>
  <c r="M889" i="1"/>
  <c r="L889" i="1"/>
  <c r="J889" i="1"/>
  <c r="K889" i="1" s="1"/>
  <c r="O888" i="1"/>
  <c r="N888" i="1"/>
  <c r="M888" i="1"/>
  <c r="L888" i="1"/>
  <c r="J888" i="1"/>
  <c r="K888" i="1" s="1"/>
  <c r="O887" i="1"/>
  <c r="N887" i="1"/>
  <c r="M887" i="1"/>
  <c r="L887" i="1"/>
  <c r="J887" i="1"/>
  <c r="K887" i="1" s="1"/>
  <c r="O886" i="1"/>
  <c r="N886" i="1"/>
  <c r="M886" i="1"/>
  <c r="L886" i="1"/>
  <c r="J886" i="1"/>
  <c r="K886" i="1" s="1"/>
  <c r="O885" i="1"/>
  <c r="N885" i="1"/>
  <c r="M885" i="1"/>
  <c r="L885" i="1"/>
  <c r="J885" i="1"/>
  <c r="K885" i="1" s="1"/>
  <c r="O884" i="1"/>
  <c r="N884" i="1"/>
  <c r="M884" i="1"/>
  <c r="L884" i="1"/>
  <c r="J884" i="1"/>
  <c r="K884" i="1" s="1"/>
  <c r="O883" i="1"/>
  <c r="N883" i="1"/>
  <c r="M883" i="1"/>
  <c r="L883" i="1"/>
  <c r="J883" i="1"/>
  <c r="K883" i="1" s="1"/>
  <c r="O882" i="1"/>
  <c r="N882" i="1"/>
  <c r="M882" i="1"/>
  <c r="L882" i="1"/>
  <c r="J882" i="1"/>
  <c r="K882" i="1" s="1"/>
  <c r="O881" i="1"/>
  <c r="N881" i="1"/>
  <c r="M881" i="1"/>
  <c r="L881" i="1"/>
  <c r="J881" i="1"/>
  <c r="K881" i="1" s="1"/>
  <c r="O880" i="1"/>
  <c r="N880" i="1"/>
  <c r="M880" i="1"/>
  <c r="L880" i="1"/>
  <c r="J880" i="1"/>
  <c r="K880" i="1" s="1"/>
  <c r="O879" i="1"/>
  <c r="N879" i="1"/>
  <c r="M879" i="1"/>
  <c r="L879" i="1"/>
  <c r="J879" i="1"/>
  <c r="K879" i="1" s="1"/>
  <c r="O878" i="1"/>
  <c r="N878" i="1"/>
  <c r="M878" i="1"/>
  <c r="L878" i="1"/>
  <c r="J878" i="1"/>
  <c r="K878" i="1" s="1"/>
  <c r="O877" i="1"/>
  <c r="N877" i="1"/>
  <c r="M877" i="1"/>
  <c r="L877" i="1"/>
  <c r="J877" i="1"/>
  <c r="K877" i="1" s="1"/>
  <c r="O876" i="1"/>
  <c r="N876" i="1"/>
  <c r="M876" i="1"/>
  <c r="L876" i="1"/>
  <c r="J876" i="1"/>
  <c r="K876" i="1" s="1"/>
  <c r="O875" i="1"/>
  <c r="N875" i="1"/>
  <c r="M875" i="1"/>
  <c r="L875" i="1"/>
  <c r="J875" i="1"/>
  <c r="K875" i="1" s="1"/>
  <c r="O874" i="1"/>
  <c r="N874" i="1"/>
  <c r="M874" i="1"/>
  <c r="L874" i="1"/>
  <c r="J874" i="1"/>
  <c r="K874" i="1" s="1"/>
  <c r="O873" i="1"/>
  <c r="N873" i="1"/>
  <c r="M873" i="1"/>
  <c r="L873" i="1"/>
  <c r="J873" i="1"/>
  <c r="K873" i="1" s="1"/>
  <c r="O872" i="1"/>
  <c r="N872" i="1"/>
  <c r="M872" i="1"/>
  <c r="L872" i="1"/>
  <c r="J872" i="1"/>
  <c r="K872" i="1" s="1"/>
  <c r="O871" i="1"/>
  <c r="N871" i="1"/>
  <c r="M871" i="1"/>
  <c r="L871" i="1"/>
  <c r="J871" i="1"/>
  <c r="K871" i="1" s="1"/>
  <c r="O870" i="1"/>
  <c r="N870" i="1"/>
  <c r="M870" i="1"/>
  <c r="L870" i="1"/>
  <c r="J870" i="1"/>
  <c r="K870" i="1" s="1"/>
  <c r="O869" i="1"/>
  <c r="N869" i="1"/>
  <c r="M869" i="1"/>
  <c r="L869" i="1"/>
  <c r="J869" i="1"/>
  <c r="K869" i="1" s="1"/>
  <c r="O868" i="1"/>
  <c r="N868" i="1"/>
  <c r="M868" i="1"/>
  <c r="L868" i="1"/>
  <c r="J868" i="1"/>
  <c r="K868" i="1" s="1"/>
  <c r="O867" i="1"/>
  <c r="N867" i="1"/>
  <c r="M867" i="1"/>
  <c r="L867" i="1"/>
  <c r="J867" i="1"/>
  <c r="K867" i="1" s="1"/>
  <c r="O866" i="1"/>
  <c r="N866" i="1"/>
  <c r="M866" i="1"/>
  <c r="L866" i="1"/>
  <c r="J866" i="1"/>
  <c r="K866" i="1" s="1"/>
  <c r="O865" i="1"/>
  <c r="N865" i="1"/>
  <c r="M865" i="1"/>
  <c r="L865" i="1"/>
  <c r="J865" i="1"/>
  <c r="K865" i="1" s="1"/>
  <c r="O864" i="1"/>
  <c r="N864" i="1"/>
  <c r="M864" i="1"/>
  <c r="L864" i="1"/>
  <c r="J864" i="1"/>
  <c r="K864" i="1" s="1"/>
  <c r="O863" i="1"/>
  <c r="N863" i="1"/>
  <c r="M863" i="1"/>
  <c r="L863" i="1"/>
  <c r="J863" i="1"/>
  <c r="K863" i="1" s="1"/>
  <c r="O862" i="1"/>
  <c r="N862" i="1"/>
  <c r="M862" i="1"/>
  <c r="L862" i="1"/>
  <c r="J862" i="1"/>
  <c r="K862" i="1" s="1"/>
  <c r="O861" i="1"/>
  <c r="N861" i="1"/>
  <c r="M861" i="1"/>
  <c r="L861" i="1"/>
  <c r="J861" i="1"/>
  <c r="K861" i="1" s="1"/>
  <c r="O860" i="1"/>
  <c r="N860" i="1"/>
  <c r="M860" i="1"/>
  <c r="L860" i="1"/>
  <c r="J860" i="1"/>
  <c r="K860" i="1" s="1"/>
  <c r="O859" i="1"/>
  <c r="N859" i="1"/>
  <c r="M859" i="1"/>
  <c r="L859" i="1"/>
  <c r="J859" i="1"/>
  <c r="K859" i="1" s="1"/>
  <c r="O858" i="1"/>
  <c r="N858" i="1"/>
  <c r="M858" i="1"/>
  <c r="L858" i="1"/>
  <c r="J858" i="1"/>
  <c r="K858" i="1" s="1"/>
  <c r="O857" i="1"/>
  <c r="N857" i="1"/>
  <c r="M857" i="1"/>
  <c r="L857" i="1"/>
  <c r="J857" i="1"/>
  <c r="K857" i="1" s="1"/>
  <c r="O856" i="1"/>
  <c r="N856" i="1"/>
  <c r="M856" i="1"/>
  <c r="L856" i="1"/>
  <c r="J856" i="1"/>
  <c r="K856" i="1" s="1"/>
  <c r="O855" i="1"/>
  <c r="N855" i="1"/>
  <c r="M855" i="1"/>
  <c r="L855" i="1"/>
  <c r="J855" i="1"/>
  <c r="K855" i="1" s="1"/>
  <c r="O854" i="1"/>
  <c r="N854" i="1"/>
  <c r="M854" i="1"/>
  <c r="L854" i="1"/>
  <c r="J854" i="1"/>
  <c r="K854" i="1" s="1"/>
  <c r="O853" i="1"/>
  <c r="N853" i="1"/>
  <c r="M853" i="1"/>
  <c r="L853" i="1"/>
  <c r="J853" i="1"/>
  <c r="K853" i="1" s="1"/>
  <c r="O852" i="1"/>
  <c r="N852" i="1"/>
  <c r="M852" i="1"/>
  <c r="L852" i="1"/>
  <c r="J852" i="1"/>
  <c r="K852" i="1" s="1"/>
  <c r="O851" i="1"/>
  <c r="N851" i="1"/>
  <c r="M851" i="1"/>
  <c r="L851" i="1"/>
  <c r="J851" i="1"/>
  <c r="K851" i="1" s="1"/>
  <c r="O850" i="1"/>
  <c r="N850" i="1"/>
  <c r="M850" i="1"/>
  <c r="L850" i="1"/>
  <c r="J850" i="1"/>
  <c r="K850" i="1" s="1"/>
  <c r="O849" i="1"/>
  <c r="N849" i="1"/>
  <c r="M849" i="1"/>
  <c r="L849" i="1"/>
  <c r="J849" i="1"/>
  <c r="K849" i="1" s="1"/>
  <c r="O848" i="1"/>
  <c r="N848" i="1"/>
  <c r="M848" i="1"/>
  <c r="L848" i="1"/>
  <c r="J848" i="1"/>
  <c r="K848" i="1" s="1"/>
  <c r="O847" i="1"/>
  <c r="N847" i="1"/>
  <c r="M847" i="1"/>
  <c r="L847" i="1"/>
  <c r="J847" i="1"/>
  <c r="K847" i="1" s="1"/>
  <c r="O846" i="1"/>
  <c r="N846" i="1"/>
  <c r="M846" i="1"/>
  <c r="L846" i="1"/>
  <c r="J846" i="1"/>
  <c r="K846" i="1" s="1"/>
  <c r="O845" i="1"/>
  <c r="N845" i="1"/>
  <c r="M845" i="1"/>
  <c r="L845" i="1"/>
  <c r="J845" i="1"/>
  <c r="K845" i="1" s="1"/>
  <c r="O844" i="1"/>
  <c r="N844" i="1"/>
  <c r="M844" i="1"/>
  <c r="L844" i="1"/>
  <c r="J844" i="1"/>
  <c r="K844" i="1" s="1"/>
  <c r="O843" i="1"/>
  <c r="N843" i="1"/>
  <c r="M843" i="1"/>
  <c r="L843" i="1"/>
  <c r="J843" i="1"/>
  <c r="K843" i="1" s="1"/>
  <c r="O842" i="1"/>
  <c r="N842" i="1"/>
  <c r="M842" i="1"/>
  <c r="L842" i="1"/>
  <c r="J842" i="1"/>
  <c r="K842" i="1" s="1"/>
  <c r="O841" i="1"/>
  <c r="N841" i="1"/>
  <c r="M841" i="1"/>
  <c r="L841" i="1"/>
  <c r="J841" i="1"/>
  <c r="K841" i="1" s="1"/>
  <c r="O840" i="1"/>
  <c r="N840" i="1"/>
  <c r="M840" i="1"/>
  <c r="L840" i="1"/>
  <c r="J840" i="1"/>
  <c r="K840" i="1" s="1"/>
  <c r="O839" i="1"/>
  <c r="N839" i="1"/>
  <c r="M839" i="1"/>
  <c r="L839" i="1"/>
  <c r="J839" i="1"/>
  <c r="K839" i="1" s="1"/>
  <c r="O838" i="1"/>
  <c r="N838" i="1"/>
  <c r="M838" i="1"/>
  <c r="L838" i="1"/>
  <c r="J838" i="1"/>
  <c r="K838" i="1" s="1"/>
  <c r="O837" i="1"/>
  <c r="N837" i="1"/>
  <c r="M837" i="1"/>
  <c r="L837" i="1"/>
  <c r="J837" i="1"/>
  <c r="K837" i="1" s="1"/>
  <c r="O836" i="1"/>
  <c r="N836" i="1"/>
  <c r="M836" i="1"/>
  <c r="L836" i="1"/>
  <c r="J836" i="1"/>
  <c r="K836" i="1" s="1"/>
  <c r="O835" i="1"/>
  <c r="N835" i="1"/>
  <c r="M835" i="1"/>
  <c r="L835" i="1"/>
  <c r="J835" i="1"/>
  <c r="K835" i="1" s="1"/>
  <c r="O834" i="1"/>
  <c r="N834" i="1"/>
  <c r="M834" i="1"/>
  <c r="L834" i="1"/>
  <c r="J834" i="1"/>
  <c r="K834" i="1" s="1"/>
  <c r="O833" i="1"/>
  <c r="N833" i="1"/>
  <c r="M833" i="1"/>
  <c r="L833" i="1"/>
  <c r="J833" i="1"/>
  <c r="K833" i="1" s="1"/>
  <c r="O832" i="1"/>
  <c r="N832" i="1"/>
  <c r="M832" i="1"/>
  <c r="L832" i="1"/>
  <c r="J832" i="1"/>
  <c r="K832" i="1" s="1"/>
  <c r="O831" i="1"/>
  <c r="N831" i="1"/>
  <c r="M831" i="1"/>
  <c r="L831" i="1"/>
  <c r="J831" i="1"/>
  <c r="K831" i="1" s="1"/>
  <c r="O830" i="1"/>
  <c r="N830" i="1"/>
  <c r="M830" i="1"/>
  <c r="L830" i="1"/>
  <c r="J830" i="1"/>
  <c r="K830" i="1" s="1"/>
  <c r="O829" i="1"/>
  <c r="N829" i="1"/>
  <c r="M829" i="1"/>
  <c r="L829" i="1"/>
  <c r="J829" i="1"/>
  <c r="K829" i="1" s="1"/>
  <c r="O828" i="1"/>
  <c r="N828" i="1"/>
  <c r="M828" i="1"/>
  <c r="L828" i="1"/>
  <c r="J828" i="1"/>
  <c r="K828" i="1" s="1"/>
  <c r="O827" i="1"/>
  <c r="N827" i="1"/>
  <c r="M827" i="1"/>
  <c r="L827" i="1"/>
  <c r="J827" i="1"/>
  <c r="K827" i="1" s="1"/>
  <c r="O826" i="1"/>
  <c r="N826" i="1"/>
  <c r="M826" i="1"/>
  <c r="L826" i="1"/>
  <c r="J826" i="1"/>
  <c r="K826" i="1" s="1"/>
  <c r="O825" i="1"/>
  <c r="N825" i="1"/>
  <c r="M825" i="1"/>
  <c r="L825" i="1"/>
  <c r="J825" i="1"/>
  <c r="K825" i="1" s="1"/>
  <c r="O824" i="1"/>
  <c r="N824" i="1"/>
  <c r="M824" i="1"/>
  <c r="L824" i="1"/>
  <c r="J824" i="1"/>
  <c r="K824" i="1" s="1"/>
  <c r="O823" i="1"/>
  <c r="N823" i="1"/>
  <c r="M823" i="1"/>
  <c r="L823" i="1"/>
  <c r="J823" i="1"/>
  <c r="K823" i="1" s="1"/>
  <c r="O822" i="1"/>
  <c r="N822" i="1"/>
  <c r="M822" i="1"/>
  <c r="L822" i="1"/>
  <c r="J822" i="1"/>
  <c r="K822" i="1" s="1"/>
  <c r="O821" i="1"/>
  <c r="N821" i="1"/>
  <c r="M821" i="1"/>
  <c r="L821" i="1"/>
  <c r="J821" i="1"/>
  <c r="K821" i="1" s="1"/>
  <c r="O820" i="1"/>
  <c r="N820" i="1"/>
  <c r="M820" i="1"/>
  <c r="L820" i="1"/>
  <c r="J820" i="1"/>
  <c r="K820" i="1" s="1"/>
  <c r="O819" i="1"/>
  <c r="N819" i="1"/>
  <c r="M819" i="1"/>
  <c r="L819" i="1"/>
  <c r="J819" i="1"/>
  <c r="K819" i="1" s="1"/>
  <c r="O818" i="1"/>
  <c r="N818" i="1"/>
  <c r="M818" i="1"/>
  <c r="L818" i="1"/>
  <c r="J818" i="1"/>
  <c r="K818" i="1" s="1"/>
  <c r="O817" i="1"/>
  <c r="N817" i="1"/>
  <c r="M817" i="1"/>
  <c r="L817" i="1"/>
  <c r="J817" i="1"/>
  <c r="K817" i="1" s="1"/>
  <c r="O816" i="1"/>
  <c r="N816" i="1"/>
  <c r="M816" i="1"/>
  <c r="L816" i="1"/>
  <c r="J816" i="1"/>
  <c r="K816" i="1" s="1"/>
  <c r="O815" i="1"/>
  <c r="N815" i="1"/>
  <c r="M815" i="1"/>
  <c r="L815" i="1"/>
  <c r="J815" i="1"/>
  <c r="K815" i="1" s="1"/>
  <c r="O814" i="1"/>
  <c r="N814" i="1"/>
  <c r="M814" i="1"/>
  <c r="L814" i="1"/>
  <c r="J814" i="1"/>
  <c r="K814" i="1" s="1"/>
  <c r="O813" i="1"/>
  <c r="N813" i="1"/>
  <c r="M813" i="1"/>
  <c r="L813" i="1"/>
  <c r="J813" i="1"/>
  <c r="K813" i="1" s="1"/>
  <c r="O812" i="1"/>
  <c r="N812" i="1"/>
  <c r="M812" i="1"/>
  <c r="L812" i="1"/>
  <c r="J812" i="1"/>
  <c r="K812" i="1" s="1"/>
  <c r="O811" i="1"/>
  <c r="N811" i="1"/>
  <c r="M811" i="1"/>
  <c r="L811" i="1"/>
  <c r="J811" i="1"/>
  <c r="K811" i="1" s="1"/>
  <c r="O810" i="1"/>
  <c r="N810" i="1"/>
  <c r="M810" i="1"/>
  <c r="L810" i="1"/>
  <c r="J810" i="1"/>
  <c r="K810" i="1" s="1"/>
  <c r="O809" i="1"/>
  <c r="N809" i="1"/>
  <c r="M809" i="1"/>
  <c r="L809" i="1"/>
  <c r="J809" i="1"/>
  <c r="K809" i="1" s="1"/>
  <c r="O808" i="1"/>
  <c r="N808" i="1"/>
  <c r="M808" i="1"/>
  <c r="L808" i="1"/>
  <c r="J808" i="1"/>
  <c r="K808" i="1" s="1"/>
  <c r="O807" i="1"/>
  <c r="N807" i="1"/>
  <c r="M807" i="1"/>
  <c r="L807" i="1"/>
  <c r="J807" i="1"/>
  <c r="K807" i="1" s="1"/>
  <c r="O806" i="1"/>
  <c r="N806" i="1"/>
  <c r="M806" i="1"/>
  <c r="L806" i="1"/>
  <c r="J806" i="1"/>
  <c r="K806" i="1" s="1"/>
  <c r="O805" i="1"/>
  <c r="N805" i="1"/>
  <c r="M805" i="1"/>
  <c r="L805" i="1"/>
  <c r="J805" i="1"/>
  <c r="K805" i="1" s="1"/>
  <c r="O804" i="1"/>
  <c r="N804" i="1"/>
  <c r="M804" i="1"/>
  <c r="L804" i="1"/>
  <c r="J804" i="1"/>
  <c r="K804" i="1" s="1"/>
  <c r="O803" i="1"/>
  <c r="N803" i="1"/>
  <c r="M803" i="1"/>
  <c r="L803" i="1"/>
  <c r="J803" i="1"/>
  <c r="K803" i="1" s="1"/>
  <c r="O802" i="1"/>
  <c r="N802" i="1"/>
  <c r="M802" i="1"/>
  <c r="L802" i="1"/>
  <c r="J802" i="1"/>
  <c r="K802" i="1" s="1"/>
  <c r="O801" i="1"/>
  <c r="N801" i="1"/>
  <c r="M801" i="1"/>
  <c r="L801" i="1"/>
  <c r="J801" i="1"/>
  <c r="K801" i="1" s="1"/>
  <c r="O800" i="1"/>
  <c r="N800" i="1"/>
  <c r="M800" i="1"/>
  <c r="L800" i="1"/>
  <c r="J800" i="1"/>
  <c r="K800" i="1" s="1"/>
  <c r="O799" i="1"/>
  <c r="N799" i="1"/>
  <c r="M799" i="1"/>
  <c r="L799" i="1"/>
  <c r="J799" i="1"/>
  <c r="K799" i="1" s="1"/>
  <c r="O798" i="1"/>
  <c r="N798" i="1"/>
  <c r="M798" i="1"/>
  <c r="L798" i="1"/>
  <c r="J798" i="1"/>
  <c r="K798" i="1" s="1"/>
  <c r="O797" i="1"/>
  <c r="N797" i="1"/>
  <c r="M797" i="1"/>
  <c r="L797" i="1"/>
  <c r="J797" i="1"/>
  <c r="K797" i="1" s="1"/>
  <c r="O796" i="1"/>
  <c r="N796" i="1"/>
  <c r="M796" i="1"/>
  <c r="L796" i="1"/>
  <c r="J796" i="1"/>
  <c r="K796" i="1" s="1"/>
  <c r="O795" i="1"/>
  <c r="N795" i="1"/>
  <c r="M795" i="1"/>
  <c r="L795" i="1"/>
  <c r="J795" i="1"/>
  <c r="K795" i="1" s="1"/>
  <c r="O794" i="1"/>
  <c r="N794" i="1"/>
  <c r="M794" i="1"/>
  <c r="L794" i="1"/>
  <c r="J794" i="1"/>
  <c r="K794" i="1" s="1"/>
  <c r="O793" i="1"/>
  <c r="N793" i="1"/>
  <c r="M793" i="1"/>
  <c r="L793" i="1"/>
  <c r="J793" i="1"/>
  <c r="K793" i="1" s="1"/>
  <c r="O792" i="1"/>
  <c r="N792" i="1"/>
  <c r="M792" i="1"/>
  <c r="L792" i="1"/>
  <c r="J792" i="1"/>
  <c r="K792" i="1" s="1"/>
  <c r="O791" i="1"/>
  <c r="N791" i="1"/>
  <c r="M791" i="1"/>
  <c r="L791" i="1"/>
  <c r="J791" i="1"/>
  <c r="K791" i="1" s="1"/>
  <c r="O790" i="1"/>
  <c r="N790" i="1"/>
  <c r="M790" i="1"/>
  <c r="L790" i="1"/>
  <c r="J790" i="1"/>
  <c r="K790" i="1" s="1"/>
  <c r="O789" i="1"/>
  <c r="N789" i="1"/>
  <c r="M789" i="1"/>
  <c r="L789" i="1"/>
  <c r="J789" i="1"/>
  <c r="K789" i="1" s="1"/>
  <c r="O788" i="1"/>
  <c r="N788" i="1"/>
  <c r="M788" i="1"/>
  <c r="L788" i="1"/>
  <c r="J788" i="1"/>
  <c r="K788" i="1" s="1"/>
  <c r="O787" i="1"/>
  <c r="N787" i="1"/>
  <c r="M787" i="1"/>
  <c r="L787" i="1"/>
  <c r="J787" i="1"/>
  <c r="K787" i="1" s="1"/>
  <c r="O786" i="1"/>
  <c r="N786" i="1"/>
  <c r="M786" i="1"/>
  <c r="L786" i="1"/>
  <c r="J786" i="1"/>
  <c r="K786" i="1" s="1"/>
  <c r="O785" i="1"/>
  <c r="N785" i="1"/>
  <c r="M785" i="1"/>
  <c r="L785" i="1"/>
  <c r="J785" i="1"/>
  <c r="K785" i="1" s="1"/>
  <c r="O784" i="1"/>
  <c r="N784" i="1"/>
  <c r="M784" i="1"/>
  <c r="L784" i="1"/>
  <c r="J784" i="1"/>
  <c r="K784" i="1" s="1"/>
  <c r="O783" i="1"/>
  <c r="N783" i="1"/>
  <c r="M783" i="1"/>
  <c r="L783" i="1"/>
  <c r="J783" i="1"/>
  <c r="K783" i="1" s="1"/>
  <c r="O782" i="1"/>
  <c r="N782" i="1"/>
  <c r="M782" i="1"/>
  <c r="L782" i="1"/>
  <c r="J782" i="1"/>
  <c r="K782" i="1" s="1"/>
  <c r="O781" i="1"/>
  <c r="N781" i="1"/>
  <c r="M781" i="1"/>
  <c r="L781" i="1"/>
  <c r="J781" i="1"/>
  <c r="K781" i="1" s="1"/>
  <c r="O780" i="1"/>
  <c r="N780" i="1"/>
  <c r="M780" i="1"/>
  <c r="L780" i="1"/>
  <c r="J780" i="1"/>
  <c r="K780" i="1" s="1"/>
  <c r="O779" i="1"/>
  <c r="N779" i="1"/>
  <c r="M779" i="1"/>
  <c r="L779" i="1"/>
  <c r="J779" i="1"/>
  <c r="K779" i="1" s="1"/>
  <c r="O778" i="1"/>
  <c r="N778" i="1"/>
  <c r="M778" i="1"/>
  <c r="L778" i="1"/>
  <c r="J778" i="1"/>
  <c r="K778" i="1" s="1"/>
  <c r="O777" i="1"/>
  <c r="N777" i="1"/>
  <c r="M777" i="1"/>
  <c r="L777" i="1"/>
  <c r="J777" i="1"/>
  <c r="K777" i="1" s="1"/>
  <c r="O776" i="1"/>
  <c r="N776" i="1"/>
  <c r="M776" i="1"/>
  <c r="L776" i="1"/>
  <c r="J776" i="1"/>
  <c r="K776" i="1" s="1"/>
  <c r="O775" i="1"/>
  <c r="N775" i="1"/>
  <c r="M775" i="1"/>
  <c r="L775" i="1"/>
  <c r="J775" i="1"/>
  <c r="K775" i="1" s="1"/>
  <c r="O774" i="1"/>
  <c r="N774" i="1"/>
  <c r="M774" i="1"/>
  <c r="L774" i="1"/>
  <c r="J774" i="1"/>
  <c r="K774" i="1" s="1"/>
  <c r="O773" i="1"/>
  <c r="N773" i="1"/>
  <c r="M773" i="1"/>
  <c r="L773" i="1"/>
  <c r="J773" i="1"/>
  <c r="K773" i="1" s="1"/>
  <c r="O772" i="1"/>
  <c r="N772" i="1"/>
  <c r="M772" i="1"/>
  <c r="L772" i="1"/>
  <c r="J772" i="1"/>
  <c r="K772" i="1" s="1"/>
  <c r="O771" i="1"/>
  <c r="N771" i="1"/>
  <c r="M771" i="1"/>
  <c r="L771" i="1"/>
  <c r="J771" i="1"/>
  <c r="K771" i="1" s="1"/>
  <c r="O770" i="1"/>
  <c r="N770" i="1"/>
  <c r="M770" i="1"/>
  <c r="L770" i="1"/>
  <c r="J770" i="1"/>
  <c r="K770" i="1" s="1"/>
  <c r="O769" i="1"/>
  <c r="N769" i="1"/>
  <c r="M769" i="1"/>
  <c r="L769" i="1"/>
  <c r="J769" i="1"/>
  <c r="K769" i="1" s="1"/>
  <c r="O756" i="1"/>
  <c r="O480" i="1"/>
  <c r="N480" i="1"/>
  <c r="O736" i="1"/>
  <c r="N736" i="1"/>
  <c r="O683" i="1"/>
  <c r="N662" i="1"/>
  <c r="O764" i="1"/>
  <c r="N764" i="1"/>
  <c r="O699" i="1"/>
  <c r="N749" i="1"/>
  <c r="O512" i="1"/>
  <c r="N512" i="1"/>
  <c r="O511" i="1"/>
  <c r="N632" i="1"/>
  <c r="O355" i="1"/>
  <c r="O479" i="1"/>
  <c r="N385" i="1"/>
  <c r="O508" i="1"/>
  <c r="O768" i="1"/>
  <c r="N768" i="1"/>
  <c r="M768" i="1"/>
  <c r="O767" i="1"/>
  <c r="N767" i="1"/>
  <c r="M767" i="1"/>
  <c r="O766" i="1"/>
  <c r="N766" i="1"/>
  <c r="M766" i="1"/>
  <c r="O765" i="1"/>
  <c r="N765" i="1"/>
  <c r="M765" i="1"/>
  <c r="M764" i="1"/>
  <c r="O763" i="1"/>
  <c r="N763" i="1"/>
  <c r="M763" i="1"/>
  <c r="O762" i="1"/>
  <c r="N762" i="1"/>
  <c r="M762" i="1"/>
  <c r="O761" i="1"/>
  <c r="N761" i="1"/>
  <c r="M761" i="1"/>
  <c r="O760" i="1"/>
  <c r="N760" i="1"/>
  <c r="M760" i="1"/>
  <c r="O759" i="1"/>
  <c r="N759" i="1"/>
  <c r="M759" i="1"/>
  <c r="O758" i="1"/>
  <c r="N758" i="1"/>
  <c r="M758" i="1"/>
  <c r="O757" i="1"/>
  <c r="N757" i="1"/>
  <c r="M757" i="1"/>
  <c r="N756" i="1"/>
  <c r="M756" i="1"/>
  <c r="O755" i="1"/>
  <c r="N755" i="1"/>
  <c r="M755" i="1"/>
  <c r="O754" i="1"/>
  <c r="N754" i="1"/>
  <c r="M754" i="1"/>
  <c r="O753" i="1"/>
  <c r="N753" i="1"/>
  <c r="M753" i="1"/>
  <c r="O752" i="1"/>
  <c r="N752" i="1"/>
  <c r="M752" i="1"/>
  <c r="O751" i="1"/>
  <c r="N751" i="1"/>
  <c r="M751" i="1"/>
  <c r="O750" i="1"/>
  <c r="N750" i="1"/>
  <c r="M750" i="1"/>
  <c r="O749" i="1"/>
  <c r="M749" i="1"/>
  <c r="O748" i="1"/>
  <c r="N748" i="1"/>
  <c r="M748" i="1"/>
  <c r="O747" i="1"/>
  <c r="N747" i="1"/>
  <c r="M747" i="1"/>
  <c r="O746" i="1"/>
  <c r="N746" i="1"/>
  <c r="M746" i="1"/>
  <c r="O745" i="1"/>
  <c r="N745" i="1"/>
  <c r="M745" i="1"/>
  <c r="O744" i="1"/>
  <c r="N744" i="1"/>
  <c r="M744" i="1"/>
  <c r="O743" i="1"/>
  <c r="N743" i="1"/>
  <c r="M743" i="1"/>
  <c r="O742" i="1"/>
  <c r="N742" i="1"/>
  <c r="M742" i="1"/>
  <c r="O741" i="1"/>
  <c r="N741" i="1"/>
  <c r="M741" i="1"/>
  <c r="O740" i="1"/>
  <c r="N740" i="1"/>
  <c r="M740" i="1"/>
  <c r="O739" i="1"/>
  <c r="N739" i="1"/>
  <c r="M739" i="1"/>
  <c r="O738" i="1"/>
  <c r="N738" i="1"/>
  <c r="M738" i="1"/>
  <c r="O737" i="1"/>
  <c r="N737" i="1"/>
  <c r="M737" i="1"/>
  <c r="M736" i="1"/>
  <c r="N735" i="1"/>
  <c r="M735" i="1"/>
  <c r="O734" i="1"/>
  <c r="N734" i="1"/>
  <c r="M734" i="1"/>
  <c r="O733" i="1"/>
  <c r="N733" i="1"/>
  <c r="M733" i="1"/>
  <c r="O732" i="1"/>
  <c r="N732" i="1"/>
  <c r="M732" i="1"/>
  <c r="O731" i="1"/>
  <c r="N731" i="1"/>
  <c r="M731" i="1"/>
  <c r="O730" i="1"/>
  <c r="N730" i="1"/>
  <c r="M730" i="1"/>
  <c r="O729" i="1"/>
  <c r="N729" i="1"/>
  <c r="M729" i="1"/>
  <c r="O728" i="1"/>
  <c r="N728" i="1"/>
  <c r="M728" i="1"/>
  <c r="O727" i="1"/>
  <c r="N727" i="1"/>
  <c r="M727" i="1"/>
  <c r="N726" i="1"/>
  <c r="M726" i="1"/>
  <c r="O725" i="1"/>
  <c r="N725" i="1"/>
  <c r="M725" i="1"/>
  <c r="O724" i="1"/>
  <c r="N724" i="1"/>
  <c r="M724" i="1"/>
  <c r="O723" i="1"/>
  <c r="N723" i="1"/>
  <c r="M723" i="1"/>
  <c r="O722" i="1"/>
  <c r="N722" i="1"/>
  <c r="M722" i="1"/>
  <c r="O721" i="1"/>
  <c r="N721" i="1"/>
  <c r="M721" i="1"/>
  <c r="O720" i="1"/>
  <c r="N720" i="1"/>
  <c r="M720" i="1"/>
  <c r="O719" i="1"/>
  <c r="N719" i="1"/>
  <c r="M719" i="1"/>
  <c r="O718" i="1"/>
  <c r="N718" i="1"/>
  <c r="M718" i="1"/>
  <c r="O717" i="1"/>
  <c r="N717" i="1"/>
  <c r="M717" i="1"/>
  <c r="O716" i="1"/>
  <c r="N716" i="1"/>
  <c r="M716" i="1"/>
  <c r="O715" i="1"/>
  <c r="N715" i="1"/>
  <c r="M715" i="1"/>
  <c r="O714" i="1"/>
  <c r="N714" i="1"/>
  <c r="M714" i="1"/>
  <c r="O713" i="1"/>
  <c r="N713" i="1"/>
  <c r="M713" i="1"/>
  <c r="O712" i="1"/>
  <c r="N712" i="1"/>
  <c r="M712" i="1"/>
  <c r="O711" i="1"/>
  <c r="N711" i="1"/>
  <c r="M711" i="1"/>
  <c r="O710" i="1"/>
  <c r="N710" i="1"/>
  <c r="M710" i="1"/>
  <c r="O709" i="1"/>
  <c r="N709" i="1"/>
  <c r="M709" i="1"/>
  <c r="O708" i="1"/>
  <c r="N708" i="1"/>
  <c r="M708" i="1"/>
  <c r="O707" i="1"/>
  <c r="N707" i="1"/>
  <c r="M707" i="1"/>
  <c r="O706" i="1"/>
  <c r="N706" i="1"/>
  <c r="M706" i="1"/>
  <c r="O705" i="1"/>
  <c r="N705" i="1"/>
  <c r="M705" i="1"/>
  <c r="O704" i="1"/>
  <c r="N704" i="1"/>
  <c r="M704" i="1"/>
  <c r="O703" i="1"/>
  <c r="N703" i="1"/>
  <c r="M703" i="1"/>
  <c r="O702" i="1"/>
  <c r="N702" i="1"/>
  <c r="M702" i="1"/>
  <c r="O701" i="1"/>
  <c r="N701" i="1"/>
  <c r="M701" i="1"/>
  <c r="O700" i="1"/>
  <c r="N700" i="1"/>
  <c r="M700" i="1"/>
  <c r="M699" i="1"/>
  <c r="O698" i="1"/>
  <c r="N698" i="1"/>
  <c r="M698" i="1"/>
  <c r="O697" i="1"/>
  <c r="N697" i="1"/>
  <c r="M697" i="1"/>
  <c r="O696" i="1"/>
  <c r="N696" i="1"/>
  <c r="M696" i="1"/>
  <c r="O695" i="1"/>
  <c r="N695" i="1"/>
  <c r="M695" i="1"/>
  <c r="O694" i="1"/>
  <c r="N694" i="1"/>
  <c r="M694" i="1"/>
  <c r="O693" i="1"/>
  <c r="N693" i="1"/>
  <c r="M693" i="1"/>
  <c r="O692" i="1"/>
  <c r="N692" i="1"/>
  <c r="M692" i="1"/>
  <c r="O691" i="1"/>
  <c r="N691" i="1"/>
  <c r="M691" i="1"/>
  <c r="O690" i="1"/>
  <c r="N690" i="1"/>
  <c r="M690" i="1"/>
  <c r="O689" i="1"/>
  <c r="N689" i="1"/>
  <c r="M689" i="1"/>
  <c r="O688" i="1"/>
  <c r="N688" i="1"/>
  <c r="M688" i="1"/>
  <c r="O687" i="1"/>
  <c r="N687" i="1"/>
  <c r="M687" i="1"/>
  <c r="N686" i="1"/>
  <c r="M686" i="1"/>
  <c r="O685" i="1"/>
  <c r="N685" i="1"/>
  <c r="M685" i="1"/>
  <c r="O684" i="1"/>
  <c r="N684" i="1"/>
  <c r="M684" i="1"/>
  <c r="N683" i="1"/>
  <c r="M683" i="1"/>
  <c r="O682" i="1"/>
  <c r="N682" i="1"/>
  <c r="M682" i="1"/>
  <c r="O681" i="1"/>
  <c r="N681" i="1"/>
  <c r="M681" i="1"/>
  <c r="O680" i="1"/>
  <c r="N680" i="1"/>
  <c r="M680" i="1"/>
  <c r="O679" i="1"/>
  <c r="N679" i="1"/>
  <c r="M679" i="1"/>
  <c r="O678" i="1"/>
  <c r="N678" i="1"/>
  <c r="M678" i="1"/>
  <c r="O677" i="1"/>
  <c r="N677" i="1"/>
  <c r="M677" i="1"/>
  <c r="O676" i="1"/>
  <c r="N676" i="1"/>
  <c r="M676" i="1"/>
  <c r="O675" i="1"/>
  <c r="N675" i="1"/>
  <c r="M675" i="1"/>
  <c r="N674" i="1"/>
  <c r="M674" i="1"/>
  <c r="O673" i="1"/>
  <c r="N673" i="1"/>
  <c r="M673" i="1"/>
  <c r="O672" i="1"/>
  <c r="N672" i="1"/>
  <c r="M672" i="1"/>
  <c r="O671" i="1"/>
  <c r="N671" i="1"/>
  <c r="M671" i="1"/>
  <c r="O670" i="1"/>
  <c r="N670" i="1"/>
  <c r="M670" i="1"/>
  <c r="O669" i="1"/>
  <c r="N669" i="1"/>
  <c r="M669" i="1"/>
  <c r="O668" i="1"/>
  <c r="N668" i="1"/>
  <c r="M668" i="1"/>
  <c r="O667" i="1"/>
  <c r="N667" i="1"/>
  <c r="M667" i="1"/>
  <c r="O666" i="1"/>
  <c r="N666" i="1"/>
  <c r="M666" i="1"/>
  <c r="O665" i="1"/>
  <c r="N665" i="1"/>
  <c r="M665" i="1"/>
  <c r="O664" i="1"/>
  <c r="N664" i="1"/>
  <c r="M664" i="1"/>
  <c r="M663" i="1"/>
  <c r="M662" i="1"/>
  <c r="O661" i="1"/>
  <c r="N661" i="1"/>
  <c r="M661" i="1"/>
  <c r="O660" i="1"/>
  <c r="N660" i="1"/>
  <c r="M660" i="1"/>
  <c r="O659" i="1"/>
  <c r="N659" i="1"/>
  <c r="M659" i="1"/>
  <c r="N658" i="1"/>
  <c r="M658" i="1"/>
  <c r="O657" i="1"/>
  <c r="N657" i="1"/>
  <c r="M657" i="1"/>
  <c r="O656" i="1"/>
  <c r="N656" i="1"/>
  <c r="M656" i="1"/>
  <c r="O655" i="1"/>
  <c r="N655" i="1"/>
  <c r="M655" i="1"/>
  <c r="M654" i="1"/>
  <c r="O653" i="1"/>
  <c r="N653" i="1"/>
  <c r="M653" i="1"/>
  <c r="O652" i="1"/>
  <c r="N652" i="1"/>
  <c r="M652" i="1"/>
  <c r="N651" i="1"/>
  <c r="M651" i="1"/>
  <c r="M650" i="1"/>
  <c r="O649" i="1"/>
  <c r="N649" i="1"/>
  <c r="M649" i="1"/>
  <c r="O648" i="1"/>
  <c r="N648" i="1"/>
  <c r="M648" i="1"/>
  <c r="O647" i="1"/>
  <c r="N647" i="1"/>
  <c r="M647" i="1"/>
  <c r="O646" i="1"/>
  <c r="N646" i="1"/>
  <c r="M646" i="1"/>
  <c r="O645" i="1"/>
  <c r="N645" i="1"/>
  <c r="M645" i="1"/>
  <c r="O644" i="1"/>
  <c r="N644" i="1"/>
  <c r="M644" i="1"/>
  <c r="O643" i="1"/>
  <c r="N643" i="1"/>
  <c r="M643" i="1"/>
  <c r="O642" i="1"/>
  <c r="N642" i="1"/>
  <c r="M642" i="1"/>
  <c r="O641" i="1"/>
  <c r="N641" i="1"/>
  <c r="M641" i="1"/>
  <c r="O640" i="1"/>
  <c r="N640" i="1"/>
  <c r="M640" i="1"/>
  <c r="O639" i="1"/>
  <c r="N639" i="1"/>
  <c r="M639" i="1"/>
  <c r="O638" i="1"/>
  <c r="N638" i="1"/>
  <c r="M638" i="1"/>
  <c r="O637" i="1"/>
  <c r="N637" i="1"/>
  <c r="M637" i="1"/>
  <c r="O636" i="1"/>
  <c r="N636" i="1"/>
  <c r="M636" i="1"/>
  <c r="O635" i="1"/>
  <c r="N635" i="1"/>
  <c r="M635" i="1"/>
  <c r="O634" i="1"/>
  <c r="N634" i="1"/>
  <c r="M634" i="1"/>
  <c r="O633" i="1"/>
  <c r="N633" i="1"/>
  <c r="M633" i="1"/>
  <c r="O632" i="1"/>
  <c r="M632" i="1"/>
  <c r="O631" i="1"/>
  <c r="N631" i="1"/>
  <c r="M631" i="1"/>
  <c r="O630" i="1"/>
  <c r="N630" i="1"/>
  <c r="M630" i="1"/>
  <c r="O629" i="1"/>
  <c r="N629" i="1"/>
  <c r="M629" i="1"/>
  <c r="O628" i="1"/>
  <c r="N628" i="1"/>
  <c r="M628" i="1"/>
  <c r="O627" i="1"/>
  <c r="N627" i="1"/>
  <c r="M627" i="1"/>
  <c r="O626" i="1"/>
  <c r="N626" i="1"/>
  <c r="M626" i="1"/>
  <c r="O625" i="1"/>
  <c r="N625" i="1"/>
  <c r="M625" i="1"/>
  <c r="O624" i="1"/>
  <c r="N624" i="1"/>
  <c r="M624" i="1"/>
  <c r="O623" i="1"/>
  <c r="N623" i="1"/>
  <c r="M623" i="1"/>
  <c r="O622" i="1"/>
  <c r="N622" i="1"/>
  <c r="M622" i="1"/>
  <c r="O621" i="1"/>
  <c r="N621" i="1"/>
  <c r="M621" i="1"/>
  <c r="O620" i="1"/>
  <c r="N620" i="1"/>
  <c r="M620" i="1"/>
  <c r="O619" i="1"/>
  <c r="N619" i="1"/>
  <c r="M619" i="1"/>
  <c r="O618" i="1"/>
  <c r="N618" i="1"/>
  <c r="M618" i="1"/>
  <c r="O617" i="1"/>
  <c r="N617" i="1"/>
  <c r="M617" i="1"/>
  <c r="O616" i="1"/>
  <c r="N616" i="1"/>
  <c r="M616" i="1"/>
  <c r="O615" i="1"/>
  <c r="N615" i="1"/>
  <c r="M615" i="1"/>
  <c r="O614" i="1"/>
  <c r="N614" i="1"/>
  <c r="M614" i="1"/>
  <c r="O613" i="1"/>
  <c r="N613" i="1"/>
  <c r="M613" i="1"/>
  <c r="O612" i="1"/>
  <c r="N612" i="1"/>
  <c r="M612" i="1"/>
  <c r="O611" i="1"/>
  <c r="N611" i="1"/>
  <c r="M611" i="1"/>
  <c r="O610" i="1"/>
  <c r="N610" i="1"/>
  <c r="M610" i="1"/>
  <c r="O609" i="1"/>
  <c r="N609" i="1"/>
  <c r="M609" i="1"/>
  <c r="O608" i="1"/>
  <c r="N608" i="1"/>
  <c r="M608" i="1"/>
  <c r="O607" i="1"/>
  <c r="N607" i="1"/>
  <c r="M607" i="1"/>
  <c r="O606" i="1"/>
  <c r="N606" i="1"/>
  <c r="M606" i="1"/>
  <c r="O605" i="1"/>
  <c r="N605" i="1"/>
  <c r="M605" i="1"/>
  <c r="O604" i="1"/>
  <c r="N604" i="1"/>
  <c r="M604" i="1"/>
  <c r="O603" i="1"/>
  <c r="N603" i="1"/>
  <c r="M603" i="1"/>
  <c r="O602" i="1"/>
  <c r="N602" i="1"/>
  <c r="M602" i="1"/>
  <c r="O601" i="1"/>
  <c r="N601" i="1"/>
  <c r="M601" i="1"/>
  <c r="O600" i="1"/>
  <c r="N600" i="1"/>
  <c r="M600" i="1"/>
  <c r="O599" i="1"/>
  <c r="N599" i="1"/>
  <c r="M599" i="1"/>
  <c r="O598" i="1"/>
  <c r="N598" i="1"/>
  <c r="M598" i="1"/>
  <c r="O597" i="1"/>
  <c r="N597" i="1"/>
  <c r="M597" i="1"/>
  <c r="O596" i="1"/>
  <c r="N596" i="1"/>
  <c r="M596" i="1"/>
  <c r="O595" i="1"/>
  <c r="N595" i="1"/>
  <c r="M595" i="1"/>
  <c r="O594" i="1"/>
  <c r="N594" i="1"/>
  <c r="M594" i="1"/>
  <c r="O593" i="1"/>
  <c r="N593" i="1"/>
  <c r="M593" i="1"/>
  <c r="O592" i="1"/>
  <c r="N592" i="1"/>
  <c r="M592" i="1"/>
  <c r="O591" i="1"/>
  <c r="N591" i="1"/>
  <c r="M591" i="1"/>
  <c r="N590" i="1"/>
  <c r="M590" i="1"/>
  <c r="O589" i="1"/>
  <c r="N589" i="1"/>
  <c r="M589" i="1"/>
  <c r="O588" i="1"/>
  <c r="N588" i="1"/>
  <c r="M588" i="1"/>
  <c r="O587" i="1"/>
  <c r="N587" i="1"/>
  <c r="M587" i="1"/>
  <c r="O586" i="1"/>
  <c r="N586" i="1"/>
  <c r="M586" i="1"/>
  <c r="O585" i="1"/>
  <c r="N585" i="1"/>
  <c r="M585" i="1"/>
  <c r="O584" i="1"/>
  <c r="N584" i="1"/>
  <c r="M584" i="1"/>
  <c r="O583" i="1"/>
  <c r="N583" i="1"/>
  <c r="M583" i="1"/>
  <c r="O582" i="1"/>
  <c r="N582" i="1"/>
  <c r="M582" i="1"/>
  <c r="O581" i="1"/>
  <c r="N581" i="1"/>
  <c r="M581" i="1"/>
  <c r="O580" i="1"/>
  <c r="N580" i="1"/>
  <c r="M580" i="1"/>
  <c r="O579" i="1"/>
  <c r="N579" i="1"/>
  <c r="M579" i="1"/>
  <c r="M578" i="1"/>
  <c r="O577" i="1"/>
  <c r="N577" i="1"/>
  <c r="M577" i="1"/>
  <c r="O576" i="1"/>
  <c r="N576" i="1"/>
  <c r="M576" i="1"/>
  <c r="M575" i="1"/>
  <c r="O574" i="1"/>
  <c r="N574" i="1"/>
  <c r="M574" i="1"/>
  <c r="O573" i="1"/>
  <c r="N573" i="1"/>
  <c r="M573" i="1"/>
  <c r="O572" i="1"/>
  <c r="N572" i="1"/>
  <c r="M572" i="1"/>
  <c r="O571" i="1"/>
  <c r="N571" i="1"/>
  <c r="M571" i="1"/>
  <c r="O570" i="1"/>
  <c r="N570" i="1"/>
  <c r="M570" i="1"/>
  <c r="O569" i="1"/>
  <c r="N569" i="1"/>
  <c r="M569" i="1"/>
  <c r="O568" i="1"/>
  <c r="N568" i="1"/>
  <c r="M568" i="1"/>
  <c r="O567" i="1"/>
  <c r="N567" i="1"/>
  <c r="M567" i="1"/>
  <c r="O566" i="1"/>
  <c r="N566" i="1"/>
  <c r="M566" i="1"/>
  <c r="O565" i="1"/>
  <c r="N565" i="1"/>
  <c r="M565" i="1"/>
  <c r="O564" i="1"/>
  <c r="N564" i="1"/>
  <c r="M564" i="1"/>
  <c r="O563" i="1"/>
  <c r="N563" i="1"/>
  <c r="M563" i="1"/>
  <c r="O562" i="1"/>
  <c r="N562" i="1"/>
  <c r="M562" i="1"/>
  <c r="O561" i="1"/>
  <c r="N561" i="1"/>
  <c r="M561" i="1"/>
  <c r="O560" i="1"/>
  <c r="N560" i="1"/>
  <c r="M560" i="1"/>
  <c r="O559" i="1"/>
  <c r="N559" i="1"/>
  <c r="M559" i="1"/>
  <c r="O558" i="1"/>
  <c r="N558" i="1"/>
  <c r="M558" i="1"/>
  <c r="O557" i="1"/>
  <c r="N557" i="1"/>
  <c r="M557" i="1"/>
  <c r="O556" i="1"/>
  <c r="N556" i="1"/>
  <c r="M556" i="1"/>
  <c r="O555" i="1"/>
  <c r="N555" i="1"/>
  <c r="M555" i="1"/>
  <c r="O554" i="1"/>
  <c r="N554" i="1"/>
  <c r="M554" i="1"/>
  <c r="O553" i="1"/>
  <c r="N553" i="1"/>
  <c r="M553" i="1"/>
  <c r="O552" i="1"/>
  <c r="N552" i="1"/>
  <c r="M552" i="1"/>
  <c r="O551" i="1"/>
  <c r="N551" i="1"/>
  <c r="M551" i="1"/>
  <c r="O550" i="1"/>
  <c r="N550" i="1"/>
  <c r="M550" i="1"/>
  <c r="O549" i="1"/>
  <c r="N549" i="1"/>
  <c r="M549" i="1"/>
  <c r="O548" i="1"/>
  <c r="N548" i="1"/>
  <c r="M548" i="1"/>
  <c r="O547" i="1"/>
  <c r="N547" i="1"/>
  <c r="M547" i="1"/>
  <c r="O546" i="1"/>
  <c r="N546" i="1"/>
  <c r="M546" i="1"/>
  <c r="O545" i="1"/>
  <c r="N545" i="1"/>
  <c r="M545" i="1"/>
  <c r="O544" i="1"/>
  <c r="N544" i="1"/>
  <c r="M544" i="1"/>
  <c r="O543" i="1"/>
  <c r="N543" i="1"/>
  <c r="M543" i="1"/>
  <c r="O542" i="1"/>
  <c r="N542" i="1"/>
  <c r="M542" i="1"/>
  <c r="O541" i="1"/>
  <c r="N541" i="1"/>
  <c r="M541" i="1"/>
  <c r="O540" i="1"/>
  <c r="N540" i="1"/>
  <c r="M540" i="1"/>
  <c r="O539" i="1"/>
  <c r="N539" i="1"/>
  <c r="M539" i="1"/>
  <c r="O538" i="1"/>
  <c r="N538" i="1"/>
  <c r="M538" i="1"/>
  <c r="O537" i="1"/>
  <c r="N537" i="1"/>
  <c r="M537" i="1"/>
  <c r="O536" i="1"/>
  <c r="N536" i="1"/>
  <c r="M536" i="1"/>
  <c r="O535" i="1"/>
  <c r="N535" i="1"/>
  <c r="M535" i="1"/>
  <c r="O534" i="1"/>
  <c r="N534" i="1"/>
  <c r="M534" i="1"/>
  <c r="O533" i="1"/>
  <c r="N533" i="1"/>
  <c r="M533" i="1"/>
  <c r="O532" i="1"/>
  <c r="N532" i="1"/>
  <c r="M532" i="1"/>
  <c r="O531" i="1"/>
  <c r="N531" i="1"/>
  <c r="M531" i="1"/>
  <c r="O530" i="1"/>
  <c r="N530" i="1"/>
  <c r="M530" i="1"/>
  <c r="O529" i="1"/>
  <c r="N529" i="1"/>
  <c r="M529" i="1"/>
  <c r="O528" i="1"/>
  <c r="N528" i="1"/>
  <c r="M528" i="1"/>
  <c r="O527" i="1"/>
  <c r="N527" i="1"/>
  <c r="M527" i="1"/>
  <c r="O526" i="1"/>
  <c r="N526" i="1"/>
  <c r="M526" i="1"/>
  <c r="O525" i="1"/>
  <c r="N525" i="1"/>
  <c r="M525" i="1"/>
  <c r="O524" i="1"/>
  <c r="N524" i="1"/>
  <c r="M524" i="1"/>
  <c r="O523" i="1"/>
  <c r="N523" i="1"/>
  <c r="M523" i="1"/>
  <c r="O522" i="1"/>
  <c r="N522" i="1"/>
  <c r="M522" i="1"/>
  <c r="O521" i="1"/>
  <c r="N521" i="1"/>
  <c r="M521" i="1"/>
  <c r="O520" i="1"/>
  <c r="N520" i="1"/>
  <c r="M520" i="1"/>
  <c r="O519" i="1"/>
  <c r="N519" i="1"/>
  <c r="M519" i="1"/>
  <c r="O518" i="1"/>
  <c r="N518" i="1"/>
  <c r="M518" i="1"/>
  <c r="O517" i="1"/>
  <c r="N517" i="1"/>
  <c r="M517" i="1"/>
  <c r="O516" i="1"/>
  <c r="N516" i="1"/>
  <c r="M516" i="1"/>
  <c r="O515" i="1"/>
  <c r="N515" i="1"/>
  <c r="M515" i="1"/>
  <c r="O514" i="1"/>
  <c r="N514" i="1"/>
  <c r="M514" i="1"/>
  <c r="O513" i="1"/>
  <c r="N513" i="1"/>
  <c r="M513" i="1"/>
  <c r="M512" i="1"/>
  <c r="N511" i="1"/>
  <c r="M511" i="1"/>
  <c r="O510" i="1"/>
  <c r="N510" i="1"/>
  <c r="M510" i="1"/>
  <c r="O509" i="1"/>
  <c r="N509" i="1"/>
  <c r="M509" i="1"/>
  <c r="N508" i="1"/>
  <c r="M508" i="1"/>
  <c r="M507" i="1"/>
  <c r="O506" i="1"/>
  <c r="N506" i="1"/>
  <c r="M506" i="1"/>
  <c r="O505" i="1"/>
  <c r="N505" i="1"/>
  <c r="M505" i="1"/>
  <c r="O504" i="1"/>
  <c r="N504" i="1"/>
  <c r="M504" i="1"/>
  <c r="O503" i="1"/>
  <c r="N503" i="1"/>
  <c r="M503" i="1"/>
  <c r="O502" i="1"/>
  <c r="N502" i="1"/>
  <c r="M502" i="1"/>
  <c r="O501" i="1"/>
  <c r="N501" i="1"/>
  <c r="M501" i="1"/>
  <c r="O500" i="1"/>
  <c r="N500" i="1"/>
  <c r="M500" i="1"/>
  <c r="O499" i="1"/>
  <c r="N499" i="1"/>
  <c r="M499" i="1"/>
  <c r="O498" i="1"/>
  <c r="N498" i="1"/>
  <c r="M498" i="1"/>
  <c r="O497" i="1"/>
  <c r="N497" i="1"/>
  <c r="M497" i="1"/>
  <c r="O496" i="1"/>
  <c r="N496" i="1"/>
  <c r="M496" i="1"/>
  <c r="O495" i="1"/>
  <c r="N495" i="1"/>
  <c r="M495" i="1"/>
  <c r="O494" i="1"/>
  <c r="N494" i="1"/>
  <c r="M494" i="1"/>
  <c r="O493" i="1"/>
  <c r="N493" i="1"/>
  <c r="M493" i="1"/>
  <c r="O492" i="1"/>
  <c r="N492" i="1"/>
  <c r="M492" i="1"/>
  <c r="O491" i="1"/>
  <c r="N491" i="1"/>
  <c r="M491" i="1"/>
  <c r="O490" i="1"/>
  <c r="N490" i="1"/>
  <c r="M490" i="1"/>
  <c r="O489" i="1"/>
  <c r="N489" i="1"/>
  <c r="M489" i="1"/>
  <c r="O488" i="1"/>
  <c r="N488" i="1"/>
  <c r="M488" i="1"/>
  <c r="O487" i="1"/>
  <c r="N487" i="1"/>
  <c r="M487" i="1"/>
  <c r="O486" i="1"/>
  <c r="N486" i="1"/>
  <c r="M486" i="1"/>
  <c r="O485" i="1"/>
  <c r="N485" i="1"/>
  <c r="M485" i="1"/>
  <c r="O484" i="1"/>
  <c r="N484" i="1"/>
  <c r="M484" i="1"/>
  <c r="O483" i="1"/>
  <c r="N483" i="1"/>
  <c r="M483" i="1"/>
  <c r="O482" i="1"/>
  <c r="N482" i="1"/>
  <c r="M482" i="1"/>
  <c r="O481" i="1"/>
  <c r="N481" i="1"/>
  <c r="M481" i="1"/>
  <c r="M480" i="1"/>
  <c r="M479" i="1"/>
  <c r="O478" i="1"/>
  <c r="N478" i="1"/>
  <c r="M478" i="1"/>
  <c r="O477" i="1"/>
  <c r="N477" i="1"/>
  <c r="M477" i="1"/>
  <c r="O476" i="1"/>
  <c r="N476" i="1"/>
  <c r="M476" i="1"/>
  <c r="O475" i="1"/>
  <c r="N475" i="1"/>
  <c r="M475" i="1"/>
  <c r="O474" i="1"/>
  <c r="N474" i="1"/>
  <c r="M474" i="1"/>
  <c r="O473" i="1"/>
  <c r="N473" i="1"/>
  <c r="M473" i="1"/>
  <c r="O472" i="1"/>
  <c r="N472" i="1"/>
  <c r="M472" i="1"/>
  <c r="O471" i="1"/>
  <c r="N471" i="1"/>
  <c r="M471" i="1"/>
  <c r="O470" i="1"/>
  <c r="N470" i="1"/>
  <c r="M470" i="1"/>
  <c r="O469" i="1"/>
  <c r="N469" i="1"/>
  <c r="M469" i="1"/>
  <c r="O468" i="1"/>
  <c r="N468" i="1"/>
  <c r="M468" i="1"/>
  <c r="O467" i="1"/>
  <c r="N467" i="1"/>
  <c r="M467" i="1"/>
  <c r="O466" i="1"/>
  <c r="N466" i="1"/>
  <c r="M466" i="1"/>
  <c r="O465" i="1"/>
  <c r="N465" i="1"/>
  <c r="M465" i="1"/>
  <c r="O464" i="1"/>
  <c r="N464" i="1"/>
  <c r="M464" i="1"/>
  <c r="O463" i="1"/>
  <c r="N463" i="1"/>
  <c r="M463" i="1"/>
  <c r="O462" i="1"/>
  <c r="N462" i="1"/>
  <c r="M462" i="1"/>
  <c r="O461" i="1"/>
  <c r="N461" i="1"/>
  <c r="M461" i="1"/>
  <c r="O460" i="1"/>
  <c r="N460" i="1"/>
  <c r="M460" i="1"/>
  <c r="O459" i="1"/>
  <c r="N459" i="1"/>
  <c r="M459" i="1"/>
  <c r="O458" i="1"/>
  <c r="N458" i="1"/>
  <c r="M458" i="1"/>
  <c r="O457" i="1"/>
  <c r="N457" i="1"/>
  <c r="M457" i="1"/>
  <c r="O456" i="1"/>
  <c r="N456" i="1"/>
  <c r="M456" i="1"/>
  <c r="O455" i="1"/>
  <c r="N455" i="1"/>
  <c r="M455" i="1"/>
  <c r="O454" i="1"/>
  <c r="N454" i="1"/>
  <c r="M454" i="1"/>
  <c r="O453" i="1"/>
  <c r="N453" i="1"/>
  <c r="M453" i="1"/>
  <c r="O452" i="1"/>
  <c r="N452" i="1"/>
  <c r="M452" i="1"/>
  <c r="O451" i="1"/>
  <c r="N451" i="1"/>
  <c r="M451" i="1"/>
  <c r="O450" i="1"/>
  <c r="N450" i="1"/>
  <c r="M450" i="1"/>
  <c r="O449" i="1"/>
  <c r="N449" i="1"/>
  <c r="M449" i="1"/>
  <c r="O448" i="1"/>
  <c r="N448" i="1"/>
  <c r="M448" i="1"/>
  <c r="O447" i="1"/>
  <c r="N447" i="1"/>
  <c r="M447" i="1"/>
  <c r="O446" i="1"/>
  <c r="N446" i="1"/>
  <c r="M446" i="1"/>
  <c r="O445" i="1"/>
  <c r="N445" i="1"/>
  <c r="M445" i="1"/>
  <c r="O444" i="1"/>
  <c r="N444" i="1"/>
  <c r="M444" i="1"/>
  <c r="O443" i="1"/>
  <c r="N443" i="1"/>
  <c r="M443" i="1"/>
  <c r="O442" i="1"/>
  <c r="N442" i="1"/>
  <c r="M442" i="1"/>
  <c r="O441" i="1"/>
  <c r="N441" i="1"/>
  <c r="M441" i="1"/>
  <c r="O440" i="1"/>
  <c r="N440" i="1"/>
  <c r="M440" i="1"/>
  <c r="O439" i="1"/>
  <c r="N439" i="1"/>
  <c r="M439" i="1"/>
  <c r="O438" i="1"/>
  <c r="N438" i="1"/>
  <c r="M438" i="1"/>
  <c r="O437" i="1"/>
  <c r="N437" i="1"/>
  <c r="M437" i="1"/>
  <c r="O436" i="1"/>
  <c r="N436" i="1"/>
  <c r="M436" i="1"/>
  <c r="O435" i="1"/>
  <c r="N435" i="1"/>
  <c r="M435" i="1"/>
  <c r="O434" i="1"/>
  <c r="N434" i="1"/>
  <c r="M434" i="1"/>
  <c r="O433" i="1"/>
  <c r="N433" i="1"/>
  <c r="M433" i="1"/>
  <c r="O432" i="1"/>
  <c r="N432" i="1"/>
  <c r="M432" i="1"/>
  <c r="O431" i="1"/>
  <c r="N431" i="1"/>
  <c r="M431" i="1"/>
  <c r="O430" i="1"/>
  <c r="N430" i="1"/>
  <c r="M430" i="1"/>
  <c r="O429" i="1"/>
  <c r="N429" i="1"/>
  <c r="M429" i="1"/>
  <c r="O428" i="1"/>
  <c r="N428" i="1"/>
  <c r="M428" i="1"/>
  <c r="O427" i="1"/>
  <c r="N427" i="1"/>
  <c r="M427" i="1"/>
  <c r="O426" i="1"/>
  <c r="N426" i="1"/>
  <c r="M426" i="1"/>
  <c r="O425" i="1"/>
  <c r="N425" i="1"/>
  <c r="M425" i="1"/>
  <c r="O424" i="1"/>
  <c r="N424" i="1"/>
  <c r="M424" i="1"/>
  <c r="O423" i="1"/>
  <c r="N423" i="1"/>
  <c r="M423" i="1"/>
  <c r="O422" i="1"/>
  <c r="N422" i="1"/>
  <c r="M422" i="1"/>
  <c r="O421" i="1"/>
  <c r="N421" i="1"/>
  <c r="M421" i="1"/>
  <c r="O420" i="1"/>
  <c r="N420" i="1"/>
  <c r="M420" i="1"/>
  <c r="O419" i="1"/>
  <c r="N419" i="1"/>
  <c r="M419" i="1"/>
  <c r="O418" i="1"/>
  <c r="N418" i="1"/>
  <c r="M418" i="1"/>
  <c r="O417" i="1"/>
  <c r="N417" i="1"/>
  <c r="M417" i="1"/>
  <c r="O416" i="1"/>
  <c r="N416" i="1"/>
  <c r="M416" i="1"/>
  <c r="O415" i="1"/>
  <c r="N415" i="1"/>
  <c r="M415" i="1"/>
  <c r="O414" i="1"/>
  <c r="N414" i="1"/>
  <c r="M414" i="1"/>
  <c r="O413" i="1"/>
  <c r="N413" i="1"/>
  <c r="M413" i="1"/>
  <c r="O412" i="1"/>
  <c r="N412" i="1"/>
  <c r="M412" i="1"/>
  <c r="O411" i="1"/>
  <c r="N411" i="1"/>
  <c r="M411" i="1"/>
  <c r="O410" i="1"/>
  <c r="N410" i="1"/>
  <c r="M410" i="1"/>
  <c r="O409" i="1"/>
  <c r="N409" i="1"/>
  <c r="M409" i="1"/>
  <c r="O408" i="1"/>
  <c r="N408" i="1"/>
  <c r="M408" i="1"/>
  <c r="O407" i="1"/>
  <c r="N407" i="1"/>
  <c r="M407" i="1"/>
  <c r="O406" i="1"/>
  <c r="N406" i="1"/>
  <c r="M406" i="1"/>
  <c r="O405" i="1"/>
  <c r="N405" i="1"/>
  <c r="M405" i="1"/>
  <c r="M404" i="1"/>
  <c r="O403" i="1"/>
  <c r="N403" i="1"/>
  <c r="M403" i="1"/>
  <c r="O402" i="1"/>
  <c r="N402" i="1"/>
  <c r="M402" i="1"/>
  <c r="O401" i="1"/>
  <c r="N401" i="1"/>
  <c r="M401" i="1"/>
  <c r="O400" i="1"/>
  <c r="N400" i="1"/>
  <c r="M400" i="1"/>
  <c r="M399" i="1"/>
  <c r="O398" i="1"/>
  <c r="N398" i="1"/>
  <c r="M398" i="1"/>
  <c r="O397" i="1"/>
  <c r="N397" i="1"/>
  <c r="M397" i="1"/>
  <c r="O396" i="1"/>
  <c r="N396" i="1"/>
  <c r="M396" i="1"/>
  <c r="O395" i="1"/>
  <c r="N395" i="1"/>
  <c r="M395" i="1"/>
  <c r="N394" i="1"/>
  <c r="M394" i="1"/>
  <c r="O393" i="1"/>
  <c r="N393" i="1"/>
  <c r="M393" i="1"/>
  <c r="O392" i="1"/>
  <c r="N392" i="1"/>
  <c r="M392" i="1"/>
  <c r="O391" i="1"/>
  <c r="N391" i="1"/>
  <c r="M391" i="1"/>
  <c r="O390" i="1"/>
  <c r="N390" i="1"/>
  <c r="M390" i="1"/>
  <c r="O389" i="1"/>
  <c r="N389" i="1"/>
  <c r="M389" i="1"/>
  <c r="O388" i="1"/>
  <c r="N388" i="1"/>
  <c r="M388" i="1"/>
  <c r="O387" i="1"/>
  <c r="N387" i="1"/>
  <c r="M387" i="1"/>
  <c r="O386" i="1"/>
  <c r="N386" i="1"/>
  <c r="M386" i="1"/>
  <c r="O385" i="1"/>
  <c r="M385" i="1"/>
  <c r="O384" i="1"/>
  <c r="N384" i="1"/>
  <c r="M384" i="1"/>
  <c r="O383" i="1"/>
  <c r="N383" i="1"/>
  <c r="M383" i="1"/>
  <c r="O382" i="1"/>
  <c r="N382" i="1"/>
  <c r="M382" i="1"/>
  <c r="O381" i="1"/>
  <c r="N381" i="1"/>
  <c r="M381" i="1"/>
  <c r="O380" i="1"/>
  <c r="N380" i="1"/>
  <c r="M380" i="1"/>
  <c r="O379" i="1"/>
  <c r="N379" i="1"/>
  <c r="M379" i="1"/>
  <c r="O378" i="1"/>
  <c r="N378" i="1"/>
  <c r="M378" i="1"/>
  <c r="O377" i="1"/>
  <c r="N377" i="1"/>
  <c r="M377" i="1"/>
  <c r="O376" i="1"/>
  <c r="N376" i="1"/>
  <c r="M376" i="1"/>
  <c r="O375" i="1"/>
  <c r="N375" i="1"/>
  <c r="M375" i="1"/>
  <c r="O374" i="1"/>
  <c r="N374" i="1"/>
  <c r="M374" i="1"/>
  <c r="O373" i="1"/>
  <c r="N373" i="1"/>
  <c r="M373" i="1"/>
  <c r="O372" i="1"/>
  <c r="N372" i="1"/>
  <c r="M372" i="1"/>
  <c r="O371" i="1"/>
  <c r="N371" i="1"/>
  <c r="M371" i="1"/>
  <c r="O370" i="1"/>
  <c r="N370" i="1"/>
  <c r="M370" i="1"/>
  <c r="O369" i="1"/>
  <c r="N369" i="1"/>
  <c r="M369" i="1"/>
  <c r="O368" i="1"/>
  <c r="N368" i="1"/>
  <c r="M368" i="1"/>
  <c r="O367" i="1"/>
  <c r="N367" i="1"/>
  <c r="M367" i="1"/>
  <c r="O366" i="1"/>
  <c r="N366" i="1"/>
  <c r="M366" i="1"/>
  <c r="O365" i="1"/>
  <c r="N365" i="1"/>
  <c r="M365" i="1"/>
  <c r="O364" i="1"/>
  <c r="N364" i="1"/>
  <c r="M364" i="1"/>
  <c r="O363" i="1"/>
  <c r="N363" i="1"/>
  <c r="M363" i="1"/>
  <c r="O362" i="1"/>
  <c r="N362" i="1"/>
  <c r="M362" i="1"/>
  <c r="O361" i="1"/>
  <c r="N361" i="1"/>
  <c r="M361" i="1"/>
  <c r="O360" i="1"/>
  <c r="N360" i="1"/>
  <c r="M360" i="1"/>
  <c r="O359" i="1"/>
  <c r="N359" i="1"/>
  <c r="M359" i="1"/>
  <c r="O358" i="1"/>
  <c r="N358" i="1"/>
  <c r="M358" i="1"/>
  <c r="O357" i="1"/>
  <c r="N357" i="1"/>
  <c r="M357" i="1"/>
  <c r="O356" i="1"/>
  <c r="N356" i="1"/>
  <c r="M356" i="1"/>
  <c r="N355" i="1"/>
  <c r="M355" i="1"/>
  <c r="O354" i="1"/>
  <c r="N354" i="1"/>
  <c r="M354" i="1"/>
  <c r="O353" i="1"/>
  <c r="N353" i="1"/>
  <c r="M353" i="1"/>
  <c r="O352" i="1"/>
  <c r="N352" i="1"/>
  <c r="M352" i="1"/>
  <c r="O351" i="1"/>
  <c r="N351" i="1"/>
  <c r="M351" i="1"/>
  <c r="O350" i="1"/>
  <c r="N350" i="1"/>
  <c r="M350" i="1"/>
  <c r="O349" i="1"/>
  <c r="N349" i="1"/>
  <c r="M349" i="1"/>
  <c r="O348" i="1"/>
  <c r="N348" i="1"/>
  <c r="M348" i="1"/>
  <c r="O347" i="1"/>
  <c r="N347" i="1"/>
  <c r="M347" i="1"/>
  <c r="O346" i="1"/>
  <c r="N346" i="1"/>
  <c r="M346" i="1"/>
  <c r="O345" i="1"/>
  <c r="N345" i="1"/>
  <c r="M345" i="1"/>
  <c r="O344" i="1"/>
  <c r="N344" i="1"/>
  <c r="M344" i="1"/>
  <c r="O343" i="1"/>
  <c r="N343" i="1"/>
  <c r="M343" i="1"/>
  <c r="O342" i="1"/>
  <c r="N342" i="1"/>
  <c r="M342" i="1"/>
  <c r="O341" i="1"/>
  <c r="N341" i="1"/>
  <c r="M341" i="1"/>
  <c r="O340" i="1"/>
  <c r="N340" i="1"/>
  <c r="M340" i="1"/>
  <c r="O339" i="1"/>
  <c r="N339" i="1"/>
  <c r="M339" i="1"/>
  <c r="O338" i="1"/>
  <c r="N338" i="1"/>
  <c r="M338" i="1"/>
  <c r="O337" i="1"/>
  <c r="N337" i="1"/>
  <c r="M337" i="1"/>
  <c r="O336" i="1"/>
  <c r="N336" i="1"/>
  <c r="M336" i="1"/>
  <c r="O335" i="1"/>
  <c r="N335" i="1"/>
  <c r="M335" i="1"/>
  <c r="O334" i="1"/>
  <c r="N334" i="1"/>
  <c r="M334" i="1"/>
  <c r="O333" i="1"/>
  <c r="N333" i="1"/>
  <c r="M333" i="1"/>
  <c r="O332" i="1"/>
  <c r="N332" i="1"/>
  <c r="M332" i="1"/>
  <c r="O331" i="1"/>
  <c r="N331" i="1"/>
  <c r="M331" i="1"/>
  <c r="O330" i="1"/>
  <c r="N330" i="1"/>
  <c r="M330" i="1"/>
  <c r="O329" i="1"/>
  <c r="N329" i="1"/>
  <c r="M329" i="1"/>
  <c r="O328" i="1"/>
  <c r="N328" i="1"/>
  <c r="M328" i="1"/>
  <c r="O327" i="1"/>
  <c r="N327" i="1"/>
  <c r="M327" i="1"/>
  <c r="O326" i="1"/>
  <c r="N326" i="1"/>
  <c r="M326" i="1"/>
  <c r="O325" i="1"/>
  <c r="N325" i="1"/>
  <c r="M325" i="1"/>
  <c r="O324" i="1"/>
  <c r="N324" i="1"/>
  <c r="M324" i="1"/>
  <c r="O323" i="1"/>
  <c r="N323" i="1"/>
  <c r="M323" i="1"/>
  <c r="O322" i="1"/>
  <c r="N322" i="1"/>
  <c r="M322" i="1"/>
  <c r="O321" i="1"/>
  <c r="N321" i="1"/>
  <c r="M321" i="1"/>
  <c r="O320" i="1"/>
  <c r="N320" i="1"/>
  <c r="M320" i="1"/>
  <c r="O319" i="1"/>
  <c r="N319" i="1"/>
  <c r="M319" i="1"/>
  <c r="O318" i="1"/>
  <c r="N318" i="1"/>
  <c r="M318" i="1"/>
  <c r="O317" i="1"/>
  <c r="N317" i="1"/>
  <c r="M317" i="1"/>
  <c r="O316" i="1"/>
  <c r="N316" i="1"/>
  <c r="M316" i="1"/>
  <c r="O315" i="1"/>
  <c r="N315" i="1"/>
  <c r="M315" i="1"/>
  <c r="O314" i="1"/>
  <c r="N314" i="1"/>
  <c r="M314" i="1"/>
  <c r="O313" i="1"/>
  <c r="N313" i="1"/>
  <c r="M313" i="1"/>
  <c r="O312" i="1"/>
  <c r="N312" i="1"/>
  <c r="M312" i="1"/>
  <c r="O311" i="1"/>
  <c r="N311" i="1"/>
  <c r="M311" i="1"/>
  <c r="O310" i="1"/>
  <c r="N310" i="1"/>
  <c r="M310" i="1"/>
  <c r="O309" i="1"/>
  <c r="N309" i="1"/>
  <c r="M309" i="1"/>
  <c r="O308" i="1"/>
  <c r="N308" i="1"/>
  <c r="M308" i="1"/>
  <c r="O307" i="1"/>
  <c r="N307" i="1"/>
  <c r="M307" i="1"/>
  <c r="O306" i="1"/>
  <c r="N306" i="1"/>
  <c r="M306" i="1"/>
  <c r="O305" i="1"/>
  <c r="N305" i="1"/>
  <c r="M305" i="1"/>
  <c r="O304" i="1"/>
  <c r="N304" i="1"/>
  <c r="M304" i="1"/>
  <c r="O303" i="1"/>
  <c r="N303" i="1"/>
  <c r="M303" i="1"/>
  <c r="O302" i="1"/>
  <c r="N302" i="1"/>
  <c r="M302" i="1"/>
  <c r="O301" i="1"/>
  <c r="N301" i="1"/>
  <c r="M301" i="1"/>
  <c r="O300" i="1"/>
  <c r="N300" i="1"/>
  <c r="M300" i="1"/>
  <c r="O299" i="1"/>
  <c r="N299" i="1"/>
  <c r="M299" i="1"/>
  <c r="O298" i="1"/>
  <c r="N298" i="1"/>
  <c r="M298" i="1"/>
  <c r="O297" i="1"/>
  <c r="N297" i="1"/>
  <c r="M297" i="1"/>
  <c r="O296" i="1"/>
  <c r="N296" i="1"/>
  <c r="M296" i="1"/>
  <c r="O295" i="1"/>
  <c r="N295" i="1"/>
  <c r="M295" i="1"/>
  <c r="O294" i="1"/>
  <c r="N294" i="1"/>
  <c r="M294" i="1"/>
  <c r="O293" i="1"/>
  <c r="N293" i="1"/>
  <c r="M293" i="1"/>
  <c r="O292" i="1"/>
  <c r="N292" i="1"/>
  <c r="M292" i="1"/>
  <c r="O291" i="1"/>
  <c r="N291" i="1"/>
  <c r="M291" i="1"/>
  <c r="O290" i="1"/>
  <c r="N290" i="1"/>
  <c r="M290" i="1"/>
  <c r="O289" i="1"/>
  <c r="N289" i="1"/>
  <c r="M289" i="1"/>
  <c r="O288" i="1"/>
  <c r="N288" i="1"/>
  <c r="M288" i="1"/>
  <c r="O287" i="1"/>
  <c r="N287" i="1"/>
  <c r="M287" i="1"/>
  <c r="O286" i="1"/>
  <c r="N286" i="1"/>
  <c r="M286" i="1"/>
  <c r="O285" i="1"/>
  <c r="N285" i="1"/>
  <c r="M285" i="1"/>
  <c r="O284" i="1"/>
  <c r="N284" i="1"/>
  <c r="M284" i="1"/>
  <c r="O283" i="1"/>
  <c r="N283" i="1"/>
  <c r="M283" i="1"/>
  <c r="O282" i="1"/>
  <c r="N282" i="1"/>
  <c r="M282" i="1"/>
  <c r="O281" i="1"/>
  <c r="N281" i="1"/>
  <c r="M281" i="1"/>
  <c r="O280" i="1"/>
  <c r="N280" i="1"/>
  <c r="M280" i="1"/>
  <c r="O279" i="1"/>
  <c r="N279" i="1"/>
  <c r="M279" i="1"/>
  <c r="M278" i="1"/>
  <c r="O277" i="1"/>
  <c r="N277" i="1"/>
  <c r="M277" i="1"/>
  <c r="O276" i="1"/>
  <c r="N276" i="1"/>
  <c r="M276" i="1"/>
  <c r="O275" i="1"/>
  <c r="N275" i="1"/>
  <c r="M275" i="1"/>
  <c r="O274" i="1"/>
  <c r="N274" i="1"/>
  <c r="M274" i="1"/>
  <c r="O273" i="1"/>
  <c r="N273" i="1"/>
  <c r="M273" i="1"/>
  <c r="O272" i="1"/>
  <c r="N272" i="1"/>
  <c r="M272" i="1"/>
  <c r="O271" i="1"/>
  <c r="N271" i="1"/>
  <c r="M271" i="1"/>
  <c r="O270" i="1"/>
  <c r="N270" i="1"/>
  <c r="M270" i="1"/>
  <c r="O269" i="1"/>
  <c r="N269" i="1"/>
  <c r="M269" i="1"/>
  <c r="O268" i="1"/>
  <c r="N268" i="1"/>
  <c r="M268" i="1"/>
  <c r="O267" i="1"/>
  <c r="N267" i="1"/>
  <c r="M267" i="1"/>
  <c r="O266" i="1"/>
  <c r="N266" i="1"/>
  <c r="M266" i="1"/>
  <c r="O265" i="1"/>
  <c r="N265" i="1"/>
  <c r="M265" i="1"/>
  <c r="O264" i="1"/>
  <c r="N264" i="1"/>
  <c r="M264" i="1"/>
  <c r="O263" i="1"/>
  <c r="N263" i="1"/>
  <c r="M263" i="1"/>
  <c r="O262" i="1"/>
  <c r="N262" i="1"/>
  <c r="M262" i="1"/>
  <c r="O261" i="1"/>
  <c r="N261" i="1"/>
  <c r="M261" i="1"/>
  <c r="O260" i="1"/>
  <c r="N260" i="1"/>
  <c r="M260" i="1"/>
  <c r="O259" i="1"/>
  <c r="N259" i="1"/>
  <c r="M259" i="1"/>
  <c r="O258" i="1"/>
  <c r="N258" i="1"/>
  <c r="M258" i="1"/>
  <c r="O257" i="1"/>
  <c r="N257" i="1"/>
  <c r="M257" i="1"/>
  <c r="O256" i="1"/>
  <c r="N256" i="1"/>
  <c r="M256" i="1"/>
  <c r="O255" i="1"/>
  <c r="N255" i="1"/>
  <c r="M255" i="1"/>
  <c r="O254" i="1"/>
  <c r="N254" i="1"/>
  <c r="M254" i="1"/>
  <c r="O253" i="1"/>
  <c r="N253" i="1"/>
  <c r="M253" i="1"/>
  <c r="O252" i="1"/>
  <c r="N252" i="1"/>
  <c r="M252" i="1"/>
  <c r="O251" i="1"/>
  <c r="N251" i="1"/>
  <c r="M251" i="1"/>
  <c r="O250" i="1"/>
  <c r="N250" i="1"/>
  <c r="M250" i="1"/>
  <c r="O249" i="1"/>
  <c r="N249" i="1"/>
  <c r="M249" i="1"/>
  <c r="O248" i="1"/>
  <c r="N248" i="1"/>
  <c r="M248" i="1"/>
  <c r="O247" i="1"/>
  <c r="N247" i="1"/>
  <c r="M247" i="1"/>
  <c r="O246" i="1"/>
  <c r="N246" i="1"/>
  <c r="M246" i="1"/>
  <c r="O245" i="1"/>
  <c r="N245" i="1"/>
  <c r="M245" i="1"/>
  <c r="O244" i="1"/>
  <c r="N244" i="1"/>
  <c r="M244" i="1"/>
  <c r="O243" i="1"/>
  <c r="N243" i="1"/>
  <c r="M243" i="1"/>
  <c r="O242" i="1"/>
  <c r="N242" i="1"/>
  <c r="M242" i="1"/>
  <c r="O241" i="1"/>
  <c r="N241" i="1"/>
  <c r="M241" i="1"/>
  <c r="O240" i="1"/>
  <c r="N240" i="1"/>
  <c r="M240" i="1"/>
  <c r="O239" i="1"/>
  <c r="N239" i="1"/>
  <c r="M239" i="1"/>
  <c r="O238" i="1"/>
  <c r="N238" i="1"/>
  <c r="M238" i="1"/>
  <c r="O237" i="1"/>
  <c r="N237" i="1"/>
  <c r="M237" i="1"/>
  <c r="O236" i="1"/>
  <c r="N236" i="1"/>
  <c r="M236" i="1"/>
  <c r="O235" i="1"/>
  <c r="N235" i="1"/>
  <c r="M235" i="1"/>
  <c r="O234" i="1"/>
  <c r="N234" i="1"/>
  <c r="M234" i="1"/>
  <c r="O233" i="1"/>
  <c r="N233" i="1"/>
  <c r="M233" i="1"/>
  <c r="O232" i="1"/>
  <c r="N232" i="1"/>
  <c r="M232" i="1"/>
  <c r="O231" i="1"/>
  <c r="N231" i="1"/>
  <c r="M231" i="1"/>
  <c r="O230" i="1"/>
  <c r="N230" i="1"/>
  <c r="M230" i="1"/>
  <c r="O229" i="1"/>
  <c r="N229" i="1"/>
  <c r="M229" i="1"/>
  <c r="O228" i="1"/>
  <c r="N228" i="1"/>
  <c r="M228" i="1"/>
  <c r="O227" i="1"/>
  <c r="N227" i="1"/>
  <c r="M227" i="1"/>
  <c r="O226" i="1"/>
  <c r="N226" i="1"/>
  <c r="M226" i="1"/>
  <c r="O225" i="1"/>
  <c r="N225" i="1"/>
  <c r="M225" i="1"/>
  <c r="O224" i="1"/>
  <c r="N224" i="1"/>
  <c r="M224" i="1"/>
  <c r="O223" i="1"/>
  <c r="N223" i="1"/>
  <c r="M223" i="1"/>
  <c r="O222" i="1"/>
  <c r="N222" i="1"/>
  <c r="M222" i="1"/>
  <c r="O221" i="1"/>
  <c r="N221" i="1"/>
  <c r="M221" i="1"/>
  <c r="O220" i="1"/>
  <c r="N220" i="1"/>
  <c r="M220" i="1"/>
  <c r="O219" i="1"/>
  <c r="N219" i="1"/>
  <c r="M219" i="1"/>
  <c r="O218" i="1"/>
  <c r="N218" i="1"/>
  <c r="M218" i="1"/>
  <c r="O217" i="1"/>
  <c r="N217" i="1"/>
  <c r="M217" i="1"/>
  <c r="O216" i="1"/>
  <c r="N216" i="1"/>
  <c r="M216" i="1"/>
  <c r="O215" i="1"/>
  <c r="N215" i="1"/>
  <c r="M215" i="1"/>
  <c r="O214" i="1"/>
  <c r="N214" i="1"/>
  <c r="M214" i="1"/>
  <c r="O213" i="1"/>
  <c r="N213" i="1"/>
  <c r="M213" i="1"/>
  <c r="N212" i="1"/>
  <c r="M212" i="1"/>
  <c r="O211" i="1"/>
  <c r="N211" i="1"/>
  <c r="M211" i="1"/>
  <c r="O210" i="1"/>
  <c r="N210" i="1"/>
  <c r="M210" i="1"/>
  <c r="O209" i="1"/>
  <c r="N209" i="1"/>
  <c r="M209" i="1"/>
  <c r="O208" i="1"/>
  <c r="N208" i="1"/>
  <c r="M208" i="1"/>
  <c r="O207" i="1"/>
  <c r="N207" i="1"/>
  <c r="M207" i="1"/>
  <c r="O206" i="1"/>
  <c r="N206" i="1"/>
  <c r="M206" i="1"/>
  <c r="O205" i="1"/>
  <c r="N205" i="1"/>
  <c r="M205" i="1"/>
  <c r="O204" i="1"/>
  <c r="N204" i="1"/>
  <c r="M204" i="1"/>
  <c r="O203" i="1"/>
  <c r="N203" i="1"/>
  <c r="M203" i="1"/>
  <c r="O202" i="1"/>
  <c r="N202" i="1"/>
  <c r="M202" i="1"/>
  <c r="O201" i="1"/>
  <c r="N201" i="1"/>
  <c r="M201" i="1"/>
  <c r="O200" i="1"/>
  <c r="N200" i="1"/>
  <c r="M200" i="1"/>
  <c r="O199" i="1"/>
  <c r="N199" i="1"/>
  <c r="M199" i="1"/>
  <c r="O198" i="1"/>
  <c r="N198" i="1"/>
  <c r="M198" i="1"/>
  <c r="O197" i="1"/>
  <c r="N197" i="1"/>
  <c r="M197" i="1"/>
  <c r="O196" i="1"/>
  <c r="N196" i="1"/>
  <c r="M196" i="1"/>
  <c r="O195" i="1"/>
  <c r="N195" i="1"/>
  <c r="M195" i="1"/>
  <c r="M194" i="1"/>
  <c r="O193" i="1"/>
  <c r="N193" i="1"/>
  <c r="M193" i="1"/>
  <c r="O192" i="1"/>
  <c r="N192" i="1"/>
  <c r="M192" i="1"/>
  <c r="O191" i="1"/>
  <c r="N191" i="1"/>
  <c r="M191" i="1"/>
  <c r="O190" i="1"/>
  <c r="N190" i="1"/>
  <c r="M190" i="1"/>
  <c r="O189" i="1"/>
  <c r="N189" i="1"/>
  <c r="M189" i="1"/>
  <c r="O188" i="1"/>
  <c r="N188" i="1"/>
  <c r="M188" i="1"/>
  <c r="N187" i="1"/>
  <c r="M187" i="1"/>
  <c r="N186" i="1"/>
  <c r="M186" i="1"/>
  <c r="O185" i="1"/>
  <c r="N185" i="1"/>
  <c r="M185" i="1"/>
  <c r="O184" i="1"/>
  <c r="N184" i="1"/>
  <c r="M184" i="1"/>
  <c r="O183" i="1"/>
  <c r="N183" i="1"/>
  <c r="M183" i="1"/>
  <c r="O182" i="1"/>
  <c r="N182" i="1"/>
  <c r="M182" i="1"/>
  <c r="O181" i="1"/>
  <c r="N181" i="1"/>
  <c r="M181" i="1"/>
  <c r="O180" i="1"/>
  <c r="N180" i="1"/>
  <c r="M180" i="1"/>
  <c r="O179" i="1"/>
  <c r="N179" i="1"/>
  <c r="M179" i="1"/>
  <c r="O178" i="1"/>
  <c r="N178" i="1"/>
  <c r="M178" i="1"/>
  <c r="O177" i="1"/>
  <c r="N177" i="1"/>
  <c r="M177" i="1"/>
  <c r="O176" i="1"/>
  <c r="N176" i="1"/>
  <c r="M176" i="1"/>
  <c r="O175" i="1"/>
  <c r="N175" i="1"/>
  <c r="M175" i="1"/>
  <c r="O174" i="1"/>
  <c r="N174" i="1"/>
  <c r="M174" i="1"/>
  <c r="O173" i="1"/>
  <c r="N173" i="1"/>
  <c r="M173" i="1"/>
  <c r="O172" i="1"/>
  <c r="N172" i="1"/>
  <c r="M172" i="1"/>
  <c r="O171" i="1"/>
  <c r="N171" i="1"/>
  <c r="M171" i="1"/>
  <c r="O170" i="1"/>
  <c r="N170" i="1"/>
  <c r="M170" i="1"/>
  <c r="O169" i="1"/>
  <c r="N169" i="1"/>
  <c r="M169" i="1"/>
  <c r="O168" i="1"/>
  <c r="N168" i="1"/>
  <c r="M168" i="1"/>
  <c r="O167" i="1"/>
  <c r="N167" i="1"/>
  <c r="M167" i="1"/>
  <c r="O166" i="1"/>
  <c r="N166" i="1"/>
  <c r="M166" i="1"/>
  <c r="O165" i="1"/>
  <c r="N165" i="1"/>
  <c r="M165" i="1"/>
  <c r="O164" i="1"/>
  <c r="N164" i="1"/>
  <c r="M164" i="1"/>
  <c r="O163" i="1"/>
  <c r="N163" i="1"/>
  <c r="M163" i="1"/>
  <c r="O162" i="1"/>
  <c r="N162" i="1"/>
  <c r="M162" i="1"/>
  <c r="O161" i="1"/>
  <c r="N161" i="1"/>
  <c r="M161" i="1"/>
  <c r="O160" i="1"/>
  <c r="N160" i="1"/>
  <c r="M160" i="1"/>
  <c r="O159" i="1"/>
  <c r="N159" i="1"/>
  <c r="M159" i="1"/>
  <c r="O158" i="1"/>
  <c r="N158" i="1"/>
  <c r="M158" i="1"/>
  <c r="O157" i="1"/>
  <c r="N157" i="1"/>
  <c r="M157" i="1"/>
  <c r="O156" i="1"/>
  <c r="N156" i="1"/>
  <c r="M156" i="1"/>
  <c r="O155" i="1"/>
  <c r="N155" i="1"/>
  <c r="M155" i="1"/>
  <c r="O154" i="1"/>
  <c r="N154" i="1"/>
  <c r="M154" i="1"/>
  <c r="O153" i="1"/>
  <c r="N153" i="1"/>
  <c r="M153" i="1"/>
  <c r="O152" i="1"/>
  <c r="N152" i="1"/>
  <c r="M152" i="1"/>
  <c r="O151" i="1"/>
  <c r="N151" i="1"/>
  <c r="M151" i="1"/>
  <c r="O150" i="1"/>
  <c r="N150" i="1"/>
  <c r="M150" i="1"/>
  <c r="O149" i="1"/>
  <c r="N149" i="1"/>
  <c r="M149" i="1"/>
  <c r="O148" i="1"/>
  <c r="N148" i="1"/>
  <c r="M148" i="1"/>
  <c r="O147" i="1"/>
  <c r="N147" i="1"/>
  <c r="M147" i="1"/>
  <c r="O146" i="1"/>
  <c r="N146" i="1"/>
  <c r="M146" i="1"/>
  <c r="O145" i="1"/>
  <c r="N145" i="1"/>
  <c r="M145" i="1"/>
  <c r="O144" i="1"/>
  <c r="N144" i="1"/>
  <c r="M144" i="1"/>
  <c r="O143" i="1"/>
  <c r="N143" i="1"/>
  <c r="M143" i="1"/>
  <c r="O142" i="1"/>
  <c r="N142" i="1"/>
  <c r="M142" i="1"/>
  <c r="O141" i="1"/>
  <c r="N141" i="1"/>
  <c r="M141" i="1"/>
  <c r="O140" i="1"/>
  <c r="N140" i="1"/>
  <c r="M140" i="1"/>
  <c r="N139" i="1"/>
  <c r="M139" i="1"/>
  <c r="O138" i="1"/>
  <c r="N138" i="1"/>
  <c r="M138" i="1"/>
  <c r="O137" i="1"/>
  <c r="N137" i="1"/>
  <c r="M137" i="1"/>
  <c r="O136" i="1"/>
  <c r="N136" i="1"/>
  <c r="M136" i="1"/>
  <c r="O135" i="1"/>
  <c r="N135" i="1"/>
  <c r="M135" i="1"/>
  <c r="N134" i="1"/>
  <c r="M134" i="1"/>
  <c r="O133" i="1"/>
  <c r="N133" i="1"/>
  <c r="M133" i="1"/>
  <c r="O132" i="1"/>
  <c r="N132" i="1"/>
  <c r="M132" i="1"/>
  <c r="O131" i="1"/>
  <c r="N131" i="1"/>
  <c r="M131" i="1"/>
  <c r="O130" i="1"/>
  <c r="N130" i="1"/>
  <c r="M130" i="1"/>
  <c r="O129" i="1"/>
  <c r="N129" i="1"/>
  <c r="M129" i="1"/>
  <c r="O128" i="1"/>
  <c r="N128" i="1"/>
  <c r="M128" i="1"/>
  <c r="O127" i="1"/>
  <c r="N127" i="1"/>
  <c r="M127" i="1"/>
  <c r="O126" i="1"/>
  <c r="N126" i="1"/>
  <c r="M126" i="1"/>
  <c r="O125" i="1"/>
  <c r="N125" i="1"/>
  <c r="M125" i="1"/>
  <c r="O124" i="1"/>
  <c r="N124" i="1"/>
  <c r="M124" i="1"/>
  <c r="O123" i="1"/>
  <c r="N123" i="1"/>
  <c r="M123" i="1"/>
  <c r="O122" i="1"/>
  <c r="N122" i="1"/>
  <c r="M122" i="1"/>
  <c r="O121" i="1"/>
  <c r="N121" i="1"/>
  <c r="M121" i="1"/>
  <c r="O120" i="1"/>
  <c r="N120" i="1"/>
  <c r="M120" i="1"/>
  <c r="O119" i="1"/>
  <c r="N119" i="1"/>
  <c r="M119" i="1"/>
  <c r="O118" i="1"/>
  <c r="N118" i="1"/>
  <c r="M118" i="1"/>
  <c r="O117" i="1"/>
  <c r="N117" i="1"/>
  <c r="M117" i="1"/>
  <c r="O116" i="1"/>
  <c r="N116" i="1"/>
  <c r="M116" i="1"/>
  <c r="O115" i="1"/>
  <c r="N115" i="1"/>
  <c r="M115" i="1"/>
  <c r="O114" i="1"/>
  <c r="N114" i="1"/>
  <c r="M114" i="1"/>
  <c r="O113" i="1"/>
  <c r="N113" i="1"/>
  <c r="M113" i="1"/>
  <c r="O112" i="1"/>
  <c r="N112" i="1"/>
  <c r="M112" i="1"/>
  <c r="O111" i="1"/>
  <c r="N111" i="1"/>
  <c r="M111" i="1"/>
  <c r="O110" i="1"/>
  <c r="N110" i="1"/>
  <c r="M110" i="1"/>
  <c r="O109" i="1"/>
  <c r="N109" i="1"/>
  <c r="M109" i="1"/>
  <c r="O108" i="1"/>
  <c r="N108" i="1"/>
  <c r="M108" i="1"/>
  <c r="O107" i="1"/>
  <c r="N107" i="1"/>
  <c r="M107" i="1"/>
  <c r="O106" i="1"/>
  <c r="N106" i="1"/>
  <c r="M106" i="1"/>
  <c r="O105" i="1"/>
  <c r="N105" i="1"/>
  <c r="M105" i="1"/>
  <c r="O104" i="1"/>
  <c r="N104" i="1"/>
  <c r="M104" i="1"/>
  <c r="O103" i="1"/>
  <c r="N103" i="1"/>
  <c r="M103" i="1"/>
  <c r="M102" i="1"/>
  <c r="O101" i="1"/>
  <c r="N101" i="1"/>
  <c r="M101" i="1"/>
  <c r="O100" i="1"/>
  <c r="N100" i="1"/>
  <c r="M100" i="1"/>
  <c r="O99" i="1"/>
  <c r="N99" i="1"/>
  <c r="M99" i="1"/>
  <c r="O98" i="1"/>
  <c r="N98" i="1"/>
  <c r="M98" i="1"/>
  <c r="O97" i="1"/>
  <c r="N97" i="1"/>
  <c r="M97" i="1"/>
  <c r="O96" i="1"/>
  <c r="N96" i="1"/>
  <c r="M96" i="1"/>
  <c r="O95" i="1"/>
  <c r="N95" i="1"/>
  <c r="M95" i="1"/>
  <c r="N94" i="1"/>
  <c r="M94" i="1"/>
  <c r="O93" i="1"/>
  <c r="N93" i="1"/>
  <c r="M93" i="1"/>
  <c r="O92" i="1"/>
  <c r="N92" i="1"/>
  <c r="M92" i="1"/>
  <c r="O91" i="1"/>
  <c r="N91" i="1"/>
  <c r="M91" i="1"/>
  <c r="O90" i="1"/>
  <c r="N90" i="1"/>
  <c r="M90" i="1"/>
  <c r="O89" i="1"/>
  <c r="N89" i="1"/>
  <c r="M89" i="1"/>
  <c r="O88" i="1"/>
  <c r="N88" i="1"/>
  <c r="M88" i="1"/>
  <c r="O87" i="1"/>
  <c r="N87" i="1"/>
  <c r="M87" i="1"/>
  <c r="O86" i="1"/>
  <c r="N86" i="1"/>
  <c r="M86" i="1"/>
  <c r="O85" i="1"/>
  <c r="N85" i="1"/>
  <c r="M85" i="1"/>
  <c r="O84" i="1"/>
  <c r="N84" i="1"/>
  <c r="M84" i="1"/>
  <c r="O83" i="1"/>
  <c r="N83" i="1"/>
  <c r="M83" i="1"/>
  <c r="O82" i="1"/>
  <c r="N82" i="1"/>
  <c r="M82" i="1"/>
  <c r="O81" i="1"/>
  <c r="N81" i="1"/>
  <c r="M81" i="1"/>
  <c r="O80" i="1"/>
  <c r="N80" i="1"/>
  <c r="M80" i="1"/>
  <c r="O79" i="1"/>
  <c r="N79" i="1"/>
  <c r="M79" i="1"/>
  <c r="O78" i="1"/>
  <c r="N78" i="1"/>
  <c r="M78" i="1"/>
  <c r="O77" i="1"/>
  <c r="N77" i="1"/>
  <c r="M77" i="1"/>
  <c r="O76" i="1"/>
  <c r="N76" i="1"/>
  <c r="M76" i="1"/>
  <c r="N75" i="1"/>
  <c r="M75" i="1"/>
  <c r="O74" i="1"/>
  <c r="N74" i="1"/>
  <c r="M74" i="1"/>
  <c r="O73" i="1"/>
  <c r="N73" i="1"/>
  <c r="M73" i="1"/>
  <c r="O72" i="1"/>
  <c r="N72" i="1"/>
  <c r="M72" i="1"/>
  <c r="O71" i="1"/>
  <c r="N71" i="1"/>
  <c r="M71" i="1"/>
  <c r="O70" i="1"/>
  <c r="N70" i="1"/>
  <c r="M70" i="1"/>
  <c r="O69" i="1"/>
  <c r="N69" i="1"/>
  <c r="M69" i="1"/>
  <c r="O68" i="1"/>
  <c r="N68" i="1"/>
  <c r="M68" i="1"/>
  <c r="O67" i="1"/>
  <c r="N67" i="1"/>
  <c r="M67" i="1"/>
  <c r="O66" i="1"/>
  <c r="N66" i="1"/>
  <c r="M66" i="1"/>
  <c r="O65" i="1"/>
  <c r="N65" i="1"/>
  <c r="M65" i="1"/>
  <c r="O64" i="1"/>
  <c r="N64" i="1"/>
  <c r="M64" i="1"/>
  <c r="O63" i="1"/>
  <c r="N63" i="1"/>
  <c r="M63" i="1"/>
  <c r="O62" i="1"/>
  <c r="N62" i="1"/>
  <c r="M62" i="1"/>
  <c r="O61" i="1"/>
  <c r="N61" i="1"/>
  <c r="M61" i="1"/>
  <c r="O60" i="1"/>
  <c r="N60" i="1"/>
  <c r="M60" i="1"/>
  <c r="O59" i="1"/>
  <c r="N59" i="1"/>
  <c r="M59" i="1"/>
  <c r="O58" i="1"/>
  <c r="N58" i="1"/>
  <c r="M58" i="1"/>
  <c r="O57" i="1"/>
  <c r="N57" i="1"/>
  <c r="M57" i="1"/>
  <c r="O56" i="1"/>
  <c r="N56" i="1"/>
  <c r="M56" i="1"/>
  <c r="O55" i="1"/>
  <c r="N55" i="1"/>
  <c r="M55" i="1"/>
  <c r="O54" i="1"/>
  <c r="N54" i="1"/>
  <c r="M54" i="1"/>
  <c r="O53" i="1"/>
  <c r="N53" i="1"/>
  <c r="M53" i="1"/>
  <c r="O52" i="1"/>
  <c r="N52" i="1"/>
  <c r="M52" i="1"/>
  <c r="O51" i="1"/>
  <c r="N51" i="1"/>
  <c r="M51" i="1"/>
  <c r="O50" i="1"/>
  <c r="N50" i="1"/>
  <c r="M50" i="1"/>
  <c r="O49" i="1"/>
  <c r="N49" i="1"/>
  <c r="M49" i="1"/>
  <c r="O48" i="1"/>
  <c r="N48" i="1"/>
  <c r="M48" i="1"/>
  <c r="O47" i="1"/>
  <c r="N47" i="1"/>
  <c r="M47" i="1"/>
  <c r="O46" i="1"/>
  <c r="N46" i="1"/>
  <c r="M46" i="1"/>
  <c r="O45" i="1"/>
  <c r="N45" i="1"/>
  <c r="M45" i="1"/>
  <c r="O44" i="1"/>
  <c r="N44" i="1"/>
  <c r="M44" i="1"/>
  <c r="O43" i="1"/>
  <c r="N43" i="1"/>
  <c r="M43" i="1"/>
  <c r="O42" i="1"/>
  <c r="N42" i="1"/>
  <c r="M42" i="1"/>
  <c r="O41" i="1"/>
  <c r="N41" i="1"/>
  <c r="M41" i="1"/>
  <c r="O40" i="1"/>
  <c r="N40" i="1"/>
  <c r="M40" i="1"/>
  <c r="O39" i="1"/>
  <c r="N39" i="1"/>
  <c r="M39" i="1"/>
  <c r="O38" i="1"/>
  <c r="N38" i="1"/>
  <c r="M38" i="1"/>
  <c r="O37" i="1"/>
  <c r="N37" i="1"/>
  <c r="M37" i="1"/>
  <c r="O36" i="1"/>
  <c r="N36" i="1"/>
  <c r="M36" i="1"/>
  <c r="O35" i="1"/>
  <c r="N35" i="1"/>
  <c r="M35" i="1"/>
  <c r="O34" i="1"/>
  <c r="N34" i="1"/>
  <c r="M34" i="1"/>
  <c r="O33" i="1"/>
  <c r="N33" i="1"/>
  <c r="M33" i="1"/>
  <c r="O32" i="1"/>
  <c r="N32" i="1"/>
  <c r="M32" i="1"/>
  <c r="O31" i="1"/>
  <c r="N31" i="1"/>
  <c r="M31" i="1"/>
  <c r="N30" i="1"/>
  <c r="M30" i="1"/>
  <c r="O29" i="1"/>
  <c r="N29" i="1"/>
  <c r="M29" i="1"/>
  <c r="O28" i="1"/>
  <c r="N28" i="1"/>
  <c r="M28" i="1"/>
  <c r="O27" i="1"/>
  <c r="N27" i="1"/>
  <c r="M27" i="1"/>
  <c r="O26" i="1"/>
  <c r="N26" i="1"/>
  <c r="M26" i="1"/>
  <c r="O25" i="1"/>
  <c r="N25" i="1"/>
  <c r="M25" i="1"/>
  <c r="O24" i="1"/>
  <c r="N24" i="1"/>
  <c r="M24" i="1"/>
  <c r="O23" i="1"/>
  <c r="N23" i="1"/>
  <c r="M23" i="1"/>
  <c r="O22" i="1"/>
  <c r="N22" i="1"/>
  <c r="M22" i="1"/>
  <c r="O21" i="1"/>
  <c r="N21" i="1"/>
  <c r="M21" i="1"/>
  <c r="O20" i="1"/>
  <c r="N20" i="1"/>
  <c r="M20" i="1"/>
  <c r="O19" i="1"/>
  <c r="N19" i="1"/>
  <c r="M19" i="1"/>
  <c r="O18" i="1"/>
  <c r="N18" i="1"/>
  <c r="M18" i="1"/>
  <c r="O17" i="1"/>
  <c r="N17" i="1"/>
  <c r="M17" i="1"/>
  <c r="O16" i="1"/>
  <c r="N16" i="1"/>
  <c r="M16" i="1"/>
  <c r="O15" i="1"/>
  <c r="N15" i="1"/>
  <c r="M15" i="1"/>
  <c r="O14" i="1"/>
  <c r="N14" i="1"/>
  <c r="M14" i="1"/>
  <c r="O13" i="1"/>
  <c r="N13" i="1"/>
  <c r="M13" i="1"/>
  <c r="O12" i="1"/>
  <c r="N12" i="1"/>
  <c r="M12" i="1"/>
  <c r="O11" i="1"/>
  <c r="N11" i="1"/>
  <c r="M11" i="1"/>
  <c r="O10" i="1"/>
  <c r="N10" i="1"/>
  <c r="M10" i="1"/>
  <c r="O9" i="1"/>
  <c r="N9" i="1"/>
  <c r="M9" i="1"/>
  <c r="O8" i="1"/>
  <c r="N8" i="1"/>
  <c r="M8" i="1"/>
  <c r="O7" i="1"/>
  <c r="N7" i="1"/>
  <c r="M7" i="1"/>
  <c r="O6" i="1"/>
  <c r="N6" i="1"/>
  <c r="M6" i="1"/>
  <c r="O5" i="1"/>
  <c r="N5" i="1"/>
  <c r="M5" i="1"/>
  <c r="O4" i="1"/>
  <c r="N4" i="1"/>
  <c r="M4" i="1"/>
  <c r="O3" i="1"/>
  <c r="N3" i="1"/>
  <c r="M3" i="1"/>
  <c r="O2" i="1"/>
  <c r="N2" i="1"/>
  <c r="M2" i="1"/>
  <c r="N578" i="1" l="1"/>
  <c r="O94" i="1"/>
  <c r="O194" i="1"/>
  <c r="O394" i="1"/>
  <c r="O726" i="1"/>
  <c r="N102" i="1"/>
  <c r="N194" i="1"/>
  <c r="N278" i="1"/>
  <c r="N650" i="1"/>
  <c r="N654" i="1"/>
  <c r="O30" i="1"/>
  <c r="O102" i="1"/>
  <c r="O134" i="1"/>
  <c r="O186" i="1"/>
  <c r="O278" i="1"/>
  <c r="O578" i="1"/>
  <c r="O590" i="1"/>
  <c r="O650" i="1"/>
  <c r="O654" i="1"/>
  <c r="O658" i="1"/>
  <c r="O662" i="1"/>
  <c r="O674" i="1"/>
  <c r="O686" i="1"/>
  <c r="O735" i="1"/>
  <c r="N399" i="1"/>
  <c r="N479" i="1"/>
  <c r="N507" i="1"/>
  <c r="N575" i="1"/>
  <c r="O139" i="1"/>
  <c r="O575" i="1"/>
  <c r="O663" i="1"/>
  <c r="O75" i="1"/>
  <c r="O399" i="1"/>
  <c r="O507" i="1"/>
  <c r="N404" i="1"/>
  <c r="O651" i="1"/>
  <c r="O212" i="1"/>
  <c r="O404" i="1"/>
  <c r="N663" i="1"/>
  <c r="N699" i="1"/>
  <c r="O187" i="1"/>
  <c r="L271" i="1" l="1"/>
  <c r="J271" i="1"/>
  <c r="K271" i="1" s="1"/>
  <c r="L270" i="1"/>
  <c r="J270" i="1"/>
  <c r="K270" i="1" s="1"/>
  <c r="L269" i="1"/>
  <c r="J269" i="1"/>
  <c r="K269" i="1" s="1"/>
  <c r="L268" i="1"/>
  <c r="J268" i="1"/>
  <c r="K268" i="1" s="1"/>
  <c r="L267" i="1"/>
  <c r="J267" i="1"/>
  <c r="K267" i="1" s="1"/>
  <c r="L266" i="1"/>
  <c r="J266" i="1"/>
  <c r="K266" i="1" s="1"/>
  <c r="L265" i="1"/>
  <c r="J265" i="1"/>
  <c r="K265" i="1" s="1"/>
  <c r="L264" i="1"/>
  <c r="J264" i="1"/>
  <c r="K264" i="1" s="1"/>
  <c r="L263" i="1"/>
  <c r="J263" i="1"/>
  <c r="K263" i="1" s="1"/>
  <c r="L262" i="1"/>
  <c r="J262" i="1"/>
  <c r="K262" i="1" s="1"/>
  <c r="L261" i="1"/>
  <c r="J261" i="1"/>
  <c r="K261" i="1" s="1"/>
  <c r="L260" i="1"/>
  <c r="J260" i="1"/>
  <c r="K260" i="1" s="1"/>
  <c r="L259" i="1"/>
  <c r="J259" i="1"/>
  <c r="K259" i="1" s="1"/>
  <c r="L258" i="1"/>
  <c r="J258" i="1"/>
  <c r="K258" i="1" s="1"/>
  <c r="L257" i="1"/>
  <c r="J257" i="1"/>
  <c r="K257" i="1" s="1"/>
  <c r="L256" i="1"/>
  <c r="J256" i="1"/>
  <c r="K256" i="1" s="1"/>
  <c r="L255" i="1"/>
  <c r="J255" i="1"/>
  <c r="K255" i="1" s="1"/>
  <c r="L254" i="1"/>
  <c r="J254" i="1"/>
  <c r="K254" i="1" s="1"/>
  <c r="L253" i="1"/>
  <c r="J253" i="1"/>
  <c r="K253" i="1" s="1"/>
  <c r="L252" i="1"/>
  <c r="J252" i="1"/>
  <c r="K252" i="1" s="1"/>
  <c r="L251" i="1"/>
  <c r="J251" i="1"/>
  <c r="K251" i="1" s="1"/>
  <c r="L250" i="1"/>
  <c r="J250" i="1"/>
  <c r="K250" i="1" s="1"/>
  <c r="L249" i="1"/>
  <c r="J249" i="1"/>
  <c r="K249" i="1" s="1"/>
  <c r="L248" i="1"/>
  <c r="J248" i="1"/>
  <c r="K248" i="1" s="1"/>
  <c r="L247" i="1"/>
  <c r="J247" i="1"/>
  <c r="K247" i="1" s="1"/>
  <c r="L246" i="1"/>
  <c r="J246" i="1"/>
  <c r="K246" i="1" s="1"/>
  <c r="L245" i="1"/>
  <c r="J245" i="1"/>
  <c r="K245" i="1" s="1"/>
  <c r="L244" i="1"/>
  <c r="J244" i="1"/>
  <c r="K244" i="1" s="1"/>
  <c r="L243" i="1"/>
  <c r="J243" i="1"/>
  <c r="K243" i="1" s="1"/>
  <c r="L242" i="1"/>
  <c r="J242" i="1"/>
  <c r="K242" i="1" s="1"/>
  <c r="L241" i="1"/>
  <c r="J241" i="1"/>
  <c r="K241" i="1" s="1"/>
  <c r="L240" i="1"/>
  <c r="J240" i="1"/>
  <c r="K240" i="1" s="1"/>
  <c r="L239" i="1"/>
  <c r="J239" i="1"/>
  <c r="K239" i="1" s="1"/>
  <c r="L238" i="1"/>
  <c r="J238" i="1"/>
  <c r="K238" i="1" s="1"/>
  <c r="L237" i="1"/>
  <c r="J237" i="1"/>
  <c r="K237" i="1" s="1"/>
  <c r="L236" i="1"/>
  <c r="J236" i="1"/>
  <c r="K236" i="1" s="1"/>
  <c r="L235" i="1"/>
  <c r="J235" i="1"/>
  <c r="K235" i="1" s="1"/>
  <c r="L234" i="1"/>
  <c r="J234" i="1"/>
  <c r="K234" i="1" s="1"/>
  <c r="L233" i="1"/>
  <c r="J233" i="1"/>
  <c r="K233" i="1" s="1"/>
  <c r="L232" i="1"/>
  <c r="J232" i="1"/>
  <c r="K232" i="1" s="1"/>
  <c r="L231" i="1"/>
  <c r="J231" i="1"/>
  <c r="K231" i="1" s="1"/>
  <c r="L230" i="1"/>
  <c r="J230" i="1"/>
  <c r="K230" i="1" s="1"/>
  <c r="L229" i="1"/>
  <c r="J229" i="1"/>
  <c r="K229" i="1" s="1"/>
  <c r="L228" i="1"/>
  <c r="J228" i="1"/>
  <c r="K228" i="1" s="1"/>
  <c r="L227" i="1"/>
  <c r="J227" i="1"/>
  <c r="K227" i="1" s="1"/>
  <c r="L226" i="1"/>
  <c r="J226" i="1"/>
  <c r="K226" i="1" s="1"/>
  <c r="L225" i="1"/>
  <c r="J225" i="1"/>
  <c r="K225" i="1" s="1"/>
  <c r="L224" i="1"/>
  <c r="J224" i="1"/>
  <c r="K224" i="1" s="1"/>
  <c r="L223" i="1"/>
  <c r="J223" i="1"/>
  <c r="K223" i="1" s="1"/>
  <c r="L222" i="1"/>
  <c r="J222" i="1"/>
  <c r="K222" i="1" s="1"/>
  <c r="L221" i="1"/>
  <c r="J221" i="1"/>
  <c r="K221" i="1" s="1"/>
  <c r="L220" i="1"/>
  <c r="J220" i="1"/>
  <c r="K220" i="1" s="1"/>
  <c r="L219" i="1"/>
  <c r="J219" i="1"/>
  <c r="K219" i="1" s="1"/>
  <c r="L218" i="1"/>
  <c r="J218" i="1"/>
  <c r="K218" i="1" s="1"/>
  <c r="L217" i="1"/>
  <c r="J217" i="1"/>
  <c r="K217" i="1" s="1"/>
  <c r="L216" i="1"/>
  <c r="J216" i="1"/>
  <c r="K216" i="1" s="1"/>
  <c r="L215" i="1"/>
  <c r="J215" i="1"/>
  <c r="K215" i="1" s="1"/>
  <c r="L214" i="1"/>
  <c r="J214" i="1"/>
  <c r="K214" i="1" s="1"/>
  <c r="L213" i="1"/>
  <c r="J213" i="1"/>
  <c r="K213" i="1" s="1"/>
  <c r="L212" i="1"/>
  <c r="J212" i="1"/>
  <c r="K212" i="1" s="1"/>
  <c r="L211" i="1"/>
  <c r="J211" i="1"/>
  <c r="K211" i="1" s="1"/>
  <c r="L210" i="1"/>
  <c r="J210" i="1"/>
  <c r="K210" i="1" s="1"/>
  <c r="L209" i="1"/>
  <c r="J209" i="1"/>
  <c r="K209" i="1" s="1"/>
  <c r="L208" i="1"/>
  <c r="J208" i="1"/>
  <c r="K208" i="1" s="1"/>
  <c r="L207" i="1"/>
  <c r="J207" i="1"/>
  <c r="K207" i="1" s="1"/>
  <c r="L206" i="1"/>
  <c r="J206" i="1"/>
  <c r="K206" i="1" s="1"/>
  <c r="L205" i="1"/>
  <c r="J205" i="1"/>
  <c r="K205" i="1" s="1"/>
  <c r="L204" i="1"/>
  <c r="J204" i="1"/>
  <c r="K204" i="1" s="1"/>
  <c r="L203" i="1"/>
  <c r="J203" i="1"/>
  <c r="K203" i="1" s="1"/>
  <c r="L202" i="1"/>
  <c r="J202" i="1"/>
  <c r="K202" i="1" s="1"/>
  <c r="L201" i="1"/>
  <c r="J201" i="1"/>
  <c r="K201" i="1" s="1"/>
  <c r="L200" i="1"/>
  <c r="J200" i="1"/>
  <c r="K200" i="1" s="1"/>
  <c r="L199" i="1"/>
  <c r="J199" i="1"/>
  <c r="K199" i="1" s="1"/>
  <c r="L198" i="1"/>
  <c r="J198" i="1"/>
  <c r="K198" i="1" s="1"/>
  <c r="L197" i="1"/>
  <c r="J197" i="1"/>
  <c r="K197" i="1" s="1"/>
  <c r="L196" i="1"/>
  <c r="J196" i="1"/>
  <c r="K196" i="1" s="1"/>
  <c r="L195" i="1"/>
  <c r="J195" i="1"/>
  <c r="K195" i="1" s="1"/>
  <c r="L194" i="1"/>
  <c r="J194" i="1"/>
  <c r="K194" i="1" s="1"/>
  <c r="L193" i="1"/>
  <c r="J193" i="1"/>
  <c r="K193" i="1" s="1"/>
  <c r="L192" i="1"/>
  <c r="J192" i="1"/>
  <c r="K192" i="1" s="1"/>
  <c r="L191" i="1"/>
  <c r="J191" i="1"/>
  <c r="K191" i="1" s="1"/>
  <c r="L190" i="1"/>
  <c r="J190" i="1"/>
  <c r="K190" i="1" s="1"/>
  <c r="L189" i="1"/>
  <c r="J189" i="1"/>
  <c r="K189" i="1" s="1"/>
  <c r="L188" i="1"/>
  <c r="J188" i="1"/>
  <c r="K188" i="1" s="1"/>
  <c r="L187" i="1"/>
  <c r="J187" i="1"/>
  <c r="K187" i="1" s="1"/>
  <c r="L186" i="1"/>
  <c r="J186" i="1"/>
  <c r="K186" i="1" s="1"/>
  <c r="L185" i="1"/>
  <c r="J185" i="1"/>
  <c r="K185" i="1" s="1"/>
  <c r="L184" i="1"/>
  <c r="J184" i="1"/>
  <c r="K184" i="1" s="1"/>
  <c r="L183" i="1"/>
  <c r="J183" i="1"/>
  <c r="K183" i="1" s="1"/>
  <c r="L182" i="1"/>
  <c r="J182" i="1"/>
  <c r="K182" i="1" s="1"/>
  <c r="L181" i="1"/>
  <c r="J181" i="1"/>
  <c r="K181" i="1" s="1"/>
  <c r="L180" i="1"/>
  <c r="J180" i="1"/>
  <c r="K180" i="1" s="1"/>
  <c r="L179" i="1"/>
  <c r="J179" i="1"/>
  <c r="K179" i="1" s="1"/>
  <c r="L178" i="1"/>
  <c r="J178" i="1"/>
  <c r="K178" i="1" s="1"/>
  <c r="L177" i="1"/>
  <c r="J177" i="1"/>
  <c r="K177" i="1" s="1"/>
  <c r="L176" i="1"/>
  <c r="J176" i="1"/>
  <c r="K176" i="1" s="1"/>
  <c r="L175" i="1"/>
  <c r="J175" i="1"/>
  <c r="K175" i="1" s="1"/>
  <c r="L174" i="1"/>
  <c r="J174" i="1"/>
  <c r="K174" i="1" s="1"/>
  <c r="L768" i="1"/>
  <c r="J768" i="1"/>
  <c r="K768" i="1" s="1"/>
  <c r="L767" i="1"/>
  <c r="J767" i="1"/>
  <c r="K767" i="1" s="1"/>
  <c r="L766" i="1"/>
  <c r="J766" i="1"/>
  <c r="K766" i="1" s="1"/>
  <c r="L765" i="1"/>
  <c r="J765" i="1"/>
  <c r="K765" i="1" s="1"/>
  <c r="L764" i="1"/>
  <c r="J764" i="1"/>
  <c r="K764" i="1" s="1"/>
  <c r="L763" i="1"/>
  <c r="J763" i="1"/>
  <c r="K763" i="1" s="1"/>
  <c r="L762" i="1"/>
  <c r="J762" i="1"/>
  <c r="K762" i="1" s="1"/>
  <c r="L761" i="1"/>
  <c r="J761" i="1"/>
  <c r="K761" i="1" s="1"/>
  <c r="L760" i="1"/>
  <c r="J760" i="1"/>
  <c r="K760" i="1" s="1"/>
  <c r="L759" i="1"/>
  <c r="J759" i="1"/>
  <c r="K759" i="1" s="1"/>
  <c r="L758" i="1"/>
  <c r="J758" i="1"/>
  <c r="K758" i="1" s="1"/>
  <c r="L757" i="1"/>
  <c r="J757" i="1"/>
  <c r="K757" i="1" s="1"/>
  <c r="L756" i="1"/>
  <c r="J756" i="1"/>
  <c r="K756" i="1" s="1"/>
  <c r="L755" i="1"/>
  <c r="J755" i="1"/>
  <c r="K755" i="1" s="1"/>
  <c r="L754" i="1"/>
  <c r="J754" i="1"/>
  <c r="K754" i="1" s="1"/>
  <c r="L753" i="1"/>
  <c r="J753" i="1"/>
  <c r="K753" i="1" s="1"/>
  <c r="L752" i="1"/>
  <c r="J752" i="1"/>
  <c r="K752" i="1" s="1"/>
  <c r="L751" i="1"/>
  <c r="J751" i="1"/>
  <c r="K751" i="1" s="1"/>
  <c r="L750" i="1"/>
  <c r="J750" i="1"/>
  <c r="K750" i="1" s="1"/>
  <c r="L749" i="1"/>
  <c r="J749" i="1"/>
  <c r="K749" i="1" s="1"/>
  <c r="L748" i="1"/>
  <c r="J748" i="1"/>
  <c r="K748" i="1" s="1"/>
  <c r="L747" i="1"/>
  <c r="J747" i="1"/>
  <c r="K747" i="1" s="1"/>
  <c r="L746" i="1"/>
  <c r="J746" i="1"/>
  <c r="K746" i="1" s="1"/>
  <c r="L745" i="1"/>
  <c r="J745" i="1"/>
  <c r="K745" i="1" s="1"/>
  <c r="L744" i="1"/>
  <c r="J744" i="1"/>
  <c r="K744" i="1" s="1"/>
  <c r="L743" i="1"/>
  <c r="J743" i="1"/>
  <c r="K743" i="1" s="1"/>
  <c r="L742" i="1"/>
  <c r="J742" i="1"/>
  <c r="K742" i="1" s="1"/>
  <c r="L741" i="1"/>
  <c r="J741" i="1"/>
  <c r="K741" i="1" s="1"/>
  <c r="L740" i="1"/>
  <c r="J740" i="1"/>
  <c r="K740" i="1" s="1"/>
  <c r="L739" i="1"/>
  <c r="J739" i="1"/>
  <c r="K739" i="1" s="1"/>
  <c r="L738" i="1"/>
  <c r="J738" i="1"/>
  <c r="K738" i="1" s="1"/>
  <c r="L737" i="1"/>
  <c r="J737" i="1"/>
  <c r="K737" i="1" s="1"/>
  <c r="L736" i="1"/>
  <c r="J736" i="1"/>
  <c r="K736" i="1" s="1"/>
  <c r="L735" i="1"/>
  <c r="J735" i="1"/>
  <c r="K735" i="1" s="1"/>
  <c r="L734" i="1"/>
  <c r="J734" i="1"/>
  <c r="K734" i="1" s="1"/>
  <c r="L733" i="1"/>
  <c r="J733" i="1"/>
  <c r="K733" i="1" s="1"/>
  <c r="L732" i="1"/>
  <c r="J732" i="1"/>
  <c r="K732" i="1" s="1"/>
  <c r="L731" i="1"/>
  <c r="J731" i="1"/>
  <c r="K731" i="1" s="1"/>
  <c r="L730" i="1"/>
  <c r="J730" i="1"/>
  <c r="K730" i="1" s="1"/>
  <c r="L729" i="1"/>
  <c r="J729" i="1"/>
  <c r="K729" i="1" s="1"/>
  <c r="L728" i="1"/>
  <c r="J728" i="1"/>
  <c r="K728" i="1" s="1"/>
  <c r="L727" i="1"/>
  <c r="J727" i="1"/>
  <c r="K727" i="1" s="1"/>
  <c r="L726" i="1"/>
  <c r="J726" i="1"/>
  <c r="K726" i="1" s="1"/>
  <c r="L725" i="1"/>
  <c r="J725" i="1"/>
  <c r="K725" i="1" s="1"/>
  <c r="L724" i="1"/>
  <c r="J724" i="1"/>
  <c r="K724" i="1" s="1"/>
  <c r="L723" i="1"/>
  <c r="J723" i="1"/>
  <c r="K723" i="1" s="1"/>
  <c r="L722" i="1"/>
  <c r="J722" i="1"/>
  <c r="K722" i="1" s="1"/>
  <c r="L721" i="1"/>
  <c r="J721" i="1"/>
  <c r="K721" i="1" s="1"/>
  <c r="L720" i="1"/>
  <c r="J720" i="1"/>
  <c r="K720" i="1" s="1"/>
  <c r="L719" i="1"/>
  <c r="J719" i="1"/>
  <c r="K719" i="1" s="1"/>
  <c r="L718" i="1"/>
  <c r="J718" i="1"/>
  <c r="K718" i="1" s="1"/>
  <c r="L717" i="1"/>
  <c r="J717" i="1"/>
  <c r="K717" i="1" s="1"/>
  <c r="L612" i="1"/>
  <c r="J612" i="1"/>
  <c r="K612" i="1" s="1"/>
  <c r="L611" i="1"/>
  <c r="J611" i="1"/>
  <c r="K611" i="1" s="1"/>
  <c r="L610" i="1"/>
  <c r="J610" i="1"/>
  <c r="K610" i="1" s="1"/>
  <c r="L609" i="1"/>
  <c r="J609" i="1"/>
  <c r="K609" i="1" s="1"/>
  <c r="L608" i="1"/>
  <c r="J608" i="1"/>
  <c r="K608" i="1" s="1"/>
  <c r="L607" i="1"/>
  <c r="J607" i="1"/>
  <c r="K607" i="1" s="1"/>
  <c r="L606" i="1"/>
  <c r="J606" i="1"/>
  <c r="K606" i="1" s="1"/>
  <c r="L605" i="1"/>
  <c r="J605" i="1"/>
  <c r="K605" i="1" s="1"/>
  <c r="L604" i="1"/>
  <c r="J604" i="1"/>
  <c r="K604" i="1" s="1"/>
  <c r="L603" i="1"/>
  <c r="J603" i="1"/>
  <c r="K603" i="1" s="1"/>
  <c r="L602" i="1"/>
  <c r="J602" i="1"/>
  <c r="K602" i="1" s="1"/>
  <c r="L601" i="1"/>
  <c r="J601" i="1"/>
  <c r="K601" i="1" s="1"/>
  <c r="L600" i="1"/>
  <c r="J600" i="1"/>
  <c r="K600" i="1" s="1"/>
  <c r="L599" i="1"/>
  <c r="J599" i="1"/>
  <c r="K599" i="1" s="1"/>
  <c r="L598" i="1"/>
  <c r="J598" i="1"/>
  <c r="K598" i="1" s="1"/>
  <c r="L597" i="1"/>
  <c r="J597" i="1"/>
  <c r="K597" i="1" s="1"/>
  <c r="L596" i="1"/>
  <c r="J596" i="1"/>
  <c r="K596" i="1" s="1"/>
  <c r="L595" i="1"/>
  <c r="J595" i="1"/>
  <c r="K595" i="1" s="1"/>
  <c r="L594" i="1"/>
  <c r="J594" i="1"/>
  <c r="K594" i="1" s="1"/>
  <c r="L593" i="1"/>
  <c r="J593" i="1"/>
  <c r="K593" i="1" s="1"/>
  <c r="L592" i="1"/>
  <c r="J592" i="1"/>
  <c r="K592" i="1" s="1"/>
  <c r="L591" i="1"/>
  <c r="J591" i="1"/>
  <c r="K591" i="1" s="1"/>
  <c r="L590" i="1"/>
  <c r="J590" i="1"/>
  <c r="K590" i="1" s="1"/>
  <c r="L589" i="1"/>
  <c r="J589" i="1"/>
  <c r="K589" i="1" s="1"/>
  <c r="L588" i="1"/>
  <c r="J588" i="1"/>
  <c r="K588" i="1" s="1"/>
  <c r="L587" i="1"/>
  <c r="J587" i="1"/>
  <c r="K587" i="1" s="1"/>
  <c r="L586" i="1"/>
  <c r="J586" i="1"/>
  <c r="K586" i="1" s="1"/>
  <c r="L585" i="1"/>
  <c r="J585" i="1"/>
  <c r="K585" i="1" s="1"/>
  <c r="L584" i="1"/>
  <c r="J584" i="1"/>
  <c r="K584" i="1" s="1"/>
  <c r="L583" i="1"/>
  <c r="J583" i="1"/>
  <c r="K583" i="1" s="1"/>
  <c r="L582" i="1"/>
  <c r="J582" i="1"/>
  <c r="K582" i="1" s="1"/>
  <c r="L581" i="1"/>
  <c r="J581" i="1"/>
  <c r="K581" i="1" s="1"/>
  <c r="L580" i="1"/>
  <c r="J580" i="1"/>
  <c r="K580" i="1" s="1"/>
  <c r="L579" i="1"/>
  <c r="J579" i="1"/>
  <c r="K579" i="1" s="1"/>
  <c r="L578" i="1"/>
  <c r="J578" i="1"/>
  <c r="K578" i="1" s="1"/>
  <c r="L577" i="1"/>
  <c r="J577" i="1"/>
  <c r="K577" i="1" s="1"/>
  <c r="L576" i="1"/>
  <c r="J576" i="1"/>
  <c r="K576" i="1" s="1"/>
  <c r="L575" i="1"/>
  <c r="J575" i="1"/>
  <c r="K575" i="1" s="1"/>
  <c r="L574" i="1"/>
  <c r="J574" i="1"/>
  <c r="K574" i="1" s="1"/>
  <c r="L573" i="1"/>
  <c r="J573" i="1"/>
  <c r="K573" i="1" s="1"/>
  <c r="L572" i="1"/>
  <c r="J572" i="1"/>
  <c r="K572" i="1" s="1"/>
  <c r="L571" i="1"/>
  <c r="J571" i="1"/>
  <c r="K571" i="1" s="1"/>
  <c r="L570" i="1"/>
  <c r="J570" i="1"/>
  <c r="K570" i="1" s="1"/>
  <c r="L569" i="1"/>
  <c r="J569" i="1"/>
  <c r="K569" i="1" s="1"/>
  <c r="L568" i="1"/>
  <c r="J568" i="1"/>
  <c r="K568" i="1" s="1"/>
  <c r="L567" i="1"/>
  <c r="J567" i="1"/>
  <c r="K567" i="1" s="1"/>
  <c r="L566" i="1"/>
  <c r="J566" i="1"/>
  <c r="K566" i="1" s="1"/>
  <c r="L565" i="1"/>
  <c r="J565" i="1"/>
  <c r="K565" i="1" s="1"/>
  <c r="L564" i="1"/>
  <c r="J564" i="1"/>
  <c r="K564" i="1" s="1"/>
  <c r="L563" i="1"/>
  <c r="J563" i="1"/>
  <c r="K563" i="1" s="1"/>
  <c r="L562" i="1"/>
  <c r="J562" i="1"/>
  <c r="K562" i="1" s="1"/>
  <c r="L561" i="1"/>
  <c r="J561" i="1"/>
  <c r="K561" i="1" s="1"/>
  <c r="L560" i="1"/>
  <c r="J560" i="1"/>
  <c r="K560" i="1" s="1"/>
  <c r="L559" i="1"/>
  <c r="J559" i="1"/>
  <c r="K559" i="1" s="1"/>
  <c r="L558" i="1"/>
  <c r="J558" i="1"/>
  <c r="K558" i="1" s="1"/>
  <c r="L557" i="1"/>
  <c r="J557" i="1"/>
  <c r="K557" i="1" s="1"/>
  <c r="L556" i="1"/>
  <c r="J556" i="1"/>
  <c r="K556" i="1" s="1"/>
  <c r="L555" i="1"/>
  <c r="J555" i="1"/>
  <c r="K555" i="1" s="1"/>
  <c r="L554" i="1"/>
  <c r="J554" i="1"/>
  <c r="K554" i="1" s="1"/>
  <c r="L553" i="1"/>
  <c r="J553" i="1"/>
  <c r="K553" i="1" s="1"/>
  <c r="L552" i="1"/>
  <c r="J552" i="1"/>
  <c r="K552" i="1" s="1"/>
  <c r="L551" i="1"/>
  <c r="J551" i="1"/>
  <c r="K551" i="1" s="1"/>
  <c r="L550" i="1"/>
  <c r="J550" i="1"/>
  <c r="K550" i="1" s="1"/>
  <c r="L549" i="1"/>
  <c r="J549" i="1"/>
  <c r="K549" i="1" s="1"/>
  <c r="L548" i="1"/>
  <c r="J548" i="1"/>
  <c r="K548" i="1" s="1"/>
  <c r="L547" i="1"/>
  <c r="J547" i="1"/>
  <c r="K547" i="1" s="1"/>
  <c r="L546" i="1"/>
  <c r="J546" i="1"/>
  <c r="K546" i="1" s="1"/>
  <c r="L545" i="1"/>
  <c r="J545" i="1"/>
  <c r="K545" i="1" s="1"/>
  <c r="L544" i="1"/>
  <c r="J544" i="1"/>
  <c r="K544" i="1" s="1"/>
  <c r="L543" i="1"/>
  <c r="J543" i="1"/>
  <c r="K543" i="1" s="1"/>
  <c r="L542" i="1"/>
  <c r="J542" i="1"/>
  <c r="K542" i="1" s="1"/>
  <c r="L541" i="1"/>
  <c r="J541" i="1"/>
  <c r="K541" i="1" s="1"/>
  <c r="L540" i="1"/>
  <c r="J540" i="1"/>
  <c r="K540" i="1" s="1"/>
  <c r="L539" i="1"/>
  <c r="J539" i="1"/>
  <c r="K539" i="1" s="1"/>
  <c r="L538" i="1"/>
  <c r="J538" i="1"/>
  <c r="K538" i="1" s="1"/>
  <c r="L537" i="1"/>
  <c r="J537" i="1"/>
  <c r="K537" i="1" s="1"/>
  <c r="L536" i="1"/>
  <c r="J536" i="1"/>
  <c r="K536" i="1" s="1"/>
  <c r="L535" i="1"/>
  <c r="J535" i="1"/>
  <c r="K535" i="1" s="1"/>
  <c r="L534" i="1"/>
  <c r="J534" i="1"/>
  <c r="K534" i="1" s="1"/>
  <c r="L533" i="1"/>
  <c r="J533" i="1"/>
  <c r="K533" i="1" s="1"/>
  <c r="L532" i="1"/>
  <c r="J532" i="1"/>
  <c r="K532" i="1" s="1"/>
  <c r="L531" i="1"/>
  <c r="J531" i="1"/>
  <c r="K531" i="1" s="1"/>
  <c r="L530" i="1"/>
  <c r="J530" i="1"/>
  <c r="K530" i="1" s="1"/>
  <c r="L529" i="1"/>
  <c r="J529" i="1"/>
  <c r="K529" i="1" s="1"/>
  <c r="L528" i="1"/>
  <c r="J528" i="1"/>
  <c r="K528" i="1" s="1"/>
  <c r="L527" i="1"/>
  <c r="J527" i="1"/>
  <c r="K527" i="1" s="1"/>
  <c r="L526" i="1"/>
  <c r="J526" i="1"/>
  <c r="K526" i="1" s="1"/>
  <c r="L525" i="1"/>
  <c r="J525" i="1"/>
  <c r="K525" i="1" s="1"/>
  <c r="L524" i="1"/>
  <c r="J524" i="1"/>
  <c r="K524" i="1" s="1"/>
  <c r="L523" i="1"/>
  <c r="J523" i="1"/>
  <c r="K523" i="1" s="1"/>
  <c r="L522" i="1"/>
  <c r="J522" i="1"/>
  <c r="K522" i="1" s="1"/>
  <c r="L521" i="1"/>
  <c r="J521" i="1"/>
  <c r="K521" i="1" s="1"/>
  <c r="L520" i="1"/>
  <c r="J520" i="1"/>
  <c r="K520" i="1" s="1"/>
  <c r="L519" i="1"/>
  <c r="J519" i="1"/>
  <c r="K519" i="1" s="1"/>
  <c r="L518" i="1"/>
  <c r="J518" i="1"/>
  <c r="K518" i="1" s="1"/>
  <c r="L517" i="1"/>
  <c r="J517" i="1"/>
  <c r="K517" i="1" s="1"/>
  <c r="L516" i="1"/>
  <c r="J516" i="1"/>
  <c r="K516" i="1" s="1"/>
  <c r="L515" i="1"/>
  <c r="J515" i="1"/>
  <c r="K515" i="1" s="1"/>
  <c r="L514" i="1"/>
  <c r="J514" i="1"/>
  <c r="K514" i="1" s="1"/>
  <c r="L513" i="1"/>
  <c r="J513" i="1"/>
  <c r="K513" i="1" s="1"/>
  <c r="L512" i="1"/>
  <c r="J512" i="1"/>
  <c r="K512" i="1" s="1"/>
  <c r="L511" i="1"/>
  <c r="J511" i="1"/>
  <c r="K511" i="1" s="1"/>
  <c r="L510" i="1"/>
  <c r="J510" i="1"/>
  <c r="K510" i="1" s="1"/>
  <c r="L509" i="1"/>
  <c r="J509" i="1"/>
  <c r="K509" i="1" s="1"/>
  <c r="L508" i="1"/>
  <c r="J508" i="1"/>
  <c r="K508" i="1" s="1"/>
  <c r="L507" i="1"/>
  <c r="J507" i="1"/>
  <c r="K507" i="1" s="1"/>
  <c r="L506" i="1"/>
  <c r="J506" i="1"/>
  <c r="K506" i="1" s="1"/>
  <c r="L505" i="1"/>
  <c r="J505" i="1"/>
  <c r="K505" i="1" s="1"/>
  <c r="L504" i="1"/>
  <c r="J504" i="1"/>
  <c r="K504" i="1" s="1"/>
  <c r="L503" i="1"/>
  <c r="J503" i="1"/>
  <c r="K503" i="1" s="1"/>
  <c r="L502" i="1"/>
  <c r="J502" i="1"/>
  <c r="K502" i="1" s="1"/>
  <c r="L501" i="1"/>
  <c r="J501" i="1"/>
  <c r="K501" i="1" s="1"/>
  <c r="L500" i="1"/>
  <c r="J500" i="1"/>
  <c r="K500" i="1" s="1"/>
  <c r="L499" i="1"/>
  <c r="J499" i="1"/>
  <c r="K499" i="1" s="1"/>
  <c r="L498" i="1"/>
  <c r="J498" i="1"/>
  <c r="K498" i="1" s="1"/>
  <c r="L173" i="1"/>
  <c r="J173" i="1"/>
  <c r="K173" i="1" s="1"/>
  <c r="L172" i="1"/>
  <c r="J172" i="1"/>
  <c r="K172" i="1" s="1"/>
  <c r="L171" i="1"/>
  <c r="J171" i="1"/>
  <c r="K171" i="1" s="1"/>
  <c r="L170" i="1"/>
  <c r="J170" i="1"/>
  <c r="K170" i="1" s="1"/>
  <c r="L169" i="1"/>
  <c r="J169" i="1"/>
  <c r="K169" i="1" s="1"/>
  <c r="L168" i="1"/>
  <c r="J168" i="1"/>
  <c r="K168" i="1" s="1"/>
  <c r="L167" i="1"/>
  <c r="J167" i="1"/>
  <c r="K167" i="1" s="1"/>
  <c r="L166" i="1"/>
  <c r="J166" i="1"/>
  <c r="K166" i="1" s="1"/>
  <c r="L165" i="1"/>
  <c r="J165" i="1"/>
  <c r="K165" i="1" s="1"/>
  <c r="L164" i="1"/>
  <c r="J164" i="1"/>
  <c r="K164" i="1" s="1"/>
  <c r="L163" i="1"/>
  <c r="J163" i="1"/>
  <c r="K163" i="1" s="1"/>
  <c r="L162" i="1"/>
  <c r="J162" i="1"/>
  <c r="K162" i="1" s="1"/>
  <c r="L161" i="1"/>
  <c r="J161" i="1"/>
  <c r="K161" i="1" s="1"/>
  <c r="L160" i="1"/>
  <c r="J160" i="1"/>
  <c r="K160" i="1" s="1"/>
  <c r="L159" i="1"/>
  <c r="J159" i="1"/>
  <c r="K159" i="1" s="1"/>
  <c r="L158" i="1"/>
  <c r="J158" i="1"/>
  <c r="K158" i="1" s="1"/>
  <c r="L157" i="1"/>
  <c r="J157" i="1"/>
  <c r="K157" i="1" s="1"/>
  <c r="L156" i="1"/>
  <c r="J156" i="1"/>
  <c r="K156" i="1" s="1"/>
  <c r="L155" i="1"/>
  <c r="J155" i="1"/>
  <c r="K155" i="1" s="1"/>
  <c r="L154" i="1"/>
  <c r="J154" i="1"/>
  <c r="K154" i="1" s="1"/>
  <c r="L153" i="1"/>
  <c r="J153" i="1"/>
  <c r="K153" i="1" s="1"/>
  <c r="L152" i="1"/>
  <c r="J152" i="1"/>
  <c r="K152" i="1" s="1"/>
  <c r="L151" i="1"/>
  <c r="J151" i="1"/>
  <c r="K151" i="1" s="1"/>
  <c r="L150" i="1"/>
  <c r="J150" i="1"/>
  <c r="K150" i="1" s="1"/>
  <c r="L149" i="1"/>
  <c r="J149" i="1"/>
  <c r="K149" i="1" s="1"/>
  <c r="L148" i="1"/>
  <c r="J148" i="1"/>
  <c r="K148" i="1" s="1"/>
  <c r="L147" i="1"/>
  <c r="J147" i="1"/>
  <c r="K147" i="1" s="1"/>
  <c r="L146" i="1"/>
  <c r="J146" i="1"/>
  <c r="K146" i="1" s="1"/>
  <c r="L145" i="1"/>
  <c r="J145" i="1"/>
  <c r="K145" i="1" s="1"/>
  <c r="L144" i="1"/>
  <c r="J144" i="1"/>
  <c r="K144" i="1" s="1"/>
  <c r="L143" i="1"/>
  <c r="J143" i="1"/>
  <c r="K143" i="1" s="1"/>
  <c r="L142" i="1"/>
  <c r="J142" i="1"/>
  <c r="K142" i="1" s="1"/>
  <c r="L141" i="1"/>
  <c r="J141" i="1"/>
  <c r="K141" i="1" s="1"/>
  <c r="L140" i="1"/>
  <c r="J140" i="1"/>
  <c r="K140" i="1" s="1"/>
  <c r="L139" i="1"/>
  <c r="J139" i="1"/>
  <c r="K139" i="1" s="1"/>
  <c r="L138" i="1"/>
  <c r="J138" i="1"/>
  <c r="K138" i="1" s="1"/>
  <c r="L137" i="1"/>
  <c r="J137" i="1"/>
  <c r="K137" i="1" s="1"/>
  <c r="L136" i="1"/>
  <c r="J136" i="1"/>
  <c r="K136" i="1" s="1"/>
  <c r="L135" i="1"/>
  <c r="J135" i="1"/>
  <c r="K135" i="1" s="1"/>
  <c r="L134" i="1"/>
  <c r="J134" i="1"/>
  <c r="K134" i="1" s="1"/>
  <c r="L133" i="1"/>
  <c r="J133" i="1"/>
  <c r="K133" i="1" s="1"/>
  <c r="L132" i="1"/>
  <c r="J132" i="1"/>
  <c r="K132" i="1" s="1"/>
  <c r="L131" i="1"/>
  <c r="J131" i="1"/>
  <c r="K131" i="1" s="1"/>
  <c r="L130" i="1"/>
  <c r="J130" i="1"/>
  <c r="K130" i="1" s="1"/>
  <c r="L129" i="1"/>
  <c r="J129" i="1"/>
  <c r="K129" i="1" s="1"/>
  <c r="L128" i="1"/>
  <c r="J128" i="1"/>
  <c r="K128" i="1" s="1"/>
  <c r="L127" i="1"/>
  <c r="J127" i="1"/>
  <c r="K127" i="1" s="1"/>
  <c r="L126" i="1"/>
  <c r="J126" i="1"/>
  <c r="K126" i="1" s="1"/>
  <c r="L125" i="1"/>
  <c r="J125" i="1"/>
  <c r="K125" i="1" s="1"/>
  <c r="L124" i="1"/>
  <c r="J124" i="1"/>
  <c r="K124" i="1" s="1"/>
  <c r="L123" i="1"/>
  <c r="J123" i="1"/>
  <c r="K123" i="1" s="1"/>
  <c r="L122" i="1"/>
  <c r="J122" i="1"/>
  <c r="K122" i="1" s="1"/>
  <c r="L121" i="1"/>
  <c r="J121" i="1"/>
  <c r="K121" i="1" s="1"/>
  <c r="L120" i="1"/>
  <c r="J120" i="1"/>
  <c r="K120" i="1" s="1"/>
  <c r="L119" i="1"/>
  <c r="J119" i="1"/>
  <c r="K119" i="1" s="1"/>
  <c r="L118" i="1"/>
  <c r="J118" i="1"/>
  <c r="K118" i="1" s="1"/>
  <c r="L117" i="1"/>
  <c r="J117" i="1"/>
  <c r="K117" i="1" s="1"/>
  <c r="L116" i="1"/>
  <c r="J116" i="1"/>
  <c r="K116" i="1" s="1"/>
  <c r="L115" i="1"/>
  <c r="J115" i="1"/>
  <c r="K115" i="1" s="1"/>
  <c r="L114" i="1"/>
  <c r="J114" i="1"/>
  <c r="K114" i="1" s="1"/>
  <c r="L113" i="1"/>
  <c r="J113" i="1"/>
  <c r="K113" i="1" s="1"/>
  <c r="L112" i="1"/>
  <c r="J112" i="1"/>
  <c r="K112" i="1" s="1"/>
  <c r="L111" i="1"/>
  <c r="J111" i="1"/>
  <c r="K111" i="1" s="1"/>
  <c r="L110" i="1"/>
  <c r="J110" i="1"/>
  <c r="K110" i="1" s="1"/>
  <c r="L109" i="1"/>
  <c r="J109" i="1"/>
  <c r="K109" i="1" s="1"/>
  <c r="L108" i="1"/>
  <c r="J108" i="1"/>
  <c r="K108" i="1" s="1"/>
  <c r="L107" i="1"/>
  <c r="J107" i="1"/>
  <c r="K107" i="1" s="1"/>
  <c r="L106" i="1"/>
  <c r="J106" i="1"/>
  <c r="K106" i="1" s="1"/>
  <c r="L105" i="1"/>
  <c r="J105" i="1"/>
  <c r="K105" i="1" s="1"/>
  <c r="L104" i="1"/>
  <c r="J104" i="1"/>
  <c r="K104" i="1" s="1"/>
  <c r="L103" i="1"/>
  <c r="J103" i="1"/>
  <c r="K103" i="1" s="1"/>
  <c r="L102" i="1"/>
  <c r="J102" i="1"/>
  <c r="K102" i="1" s="1"/>
  <c r="L101" i="1"/>
  <c r="J101" i="1"/>
  <c r="K101" i="1" s="1"/>
  <c r="L100" i="1"/>
  <c r="J100" i="1"/>
  <c r="K100" i="1" s="1"/>
  <c r="L99" i="1"/>
  <c r="J99" i="1"/>
  <c r="K99" i="1" s="1"/>
  <c r="L98" i="1"/>
  <c r="J98" i="1"/>
  <c r="K98" i="1" s="1"/>
  <c r="L97" i="1"/>
  <c r="J97" i="1"/>
  <c r="K97" i="1" s="1"/>
  <c r="L96" i="1"/>
  <c r="J96" i="1"/>
  <c r="K96" i="1" s="1"/>
  <c r="L95" i="1"/>
  <c r="J95" i="1"/>
  <c r="K95" i="1" s="1"/>
  <c r="L94" i="1"/>
  <c r="J94" i="1"/>
  <c r="K94" i="1" s="1"/>
  <c r="L93" i="1"/>
  <c r="J93" i="1"/>
  <c r="K93" i="1" s="1"/>
  <c r="L92" i="1"/>
  <c r="J92" i="1"/>
  <c r="K92" i="1" s="1"/>
  <c r="L91" i="1"/>
  <c r="J91" i="1"/>
  <c r="K91" i="1" s="1"/>
  <c r="L90" i="1"/>
  <c r="J90" i="1"/>
  <c r="K90" i="1" s="1"/>
  <c r="L89" i="1"/>
  <c r="J89" i="1"/>
  <c r="K89" i="1" s="1"/>
  <c r="L88" i="1"/>
  <c r="J88" i="1"/>
  <c r="K88" i="1" s="1"/>
  <c r="L87" i="1"/>
  <c r="J87" i="1"/>
  <c r="K87" i="1" s="1"/>
  <c r="L86" i="1"/>
  <c r="J86" i="1"/>
  <c r="K86" i="1" s="1"/>
  <c r="L85" i="1"/>
  <c r="J85" i="1"/>
  <c r="K85" i="1" s="1"/>
  <c r="L84" i="1"/>
  <c r="J84" i="1"/>
  <c r="K84" i="1" s="1"/>
  <c r="L83" i="1"/>
  <c r="J83" i="1"/>
  <c r="K83" i="1" s="1"/>
  <c r="L82" i="1"/>
  <c r="J82" i="1"/>
  <c r="K82" i="1" s="1"/>
  <c r="L81" i="1"/>
  <c r="J81" i="1"/>
  <c r="K81" i="1" s="1"/>
  <c r="L716" i="1"/>
  <c r="J716" i="1"/>
  <c r="K716" i="1" s="1"/>
  <c r="L715" i="1"/>
  <c r="J715" i="1"/>
  <c r="K715" i="1" s="1"/>
  <c r="L714" i="1"/>
  <c r="J714" i="1"/>
  <c r="K714" i="1" s="1"/>
  <c r="L713" i="1"/>
  <c r="J713" i="1"/>
  <c r="K713" i="1" s="1"/>
  <c r="L712" i="1"/>
  <c r="J712" i="1"/>
  <c r="K712" i="1" s="1"/>
  <c r="L711" i="1"/>
  <c r="J711" i="1"/>
  <c r="K711" i="1" s="1"/>
  <c r="L710" i="1"/>
  <c r="J710" i="1"/>
  <c r="K710" i="1" s="1"/>
  <c r="L709" i="1"/>
  <c r="J709" i="1"/>
  <c r="K709" i="1" s="1"/>
  <c r="L708" i="1"/>
  <c r="J708" i="1"/>
  <c r="K708" i="1" s="1"/>
  <c r="L707" i="1"/>
  <c r="J707" i="1"/>
  <c r="K707" i="1" s="1"/>
  <c r="L706" i="1"/>
  <c r="J706" i="1"/>
  <c r="K706" i="1" s="1"/>
  <c r="L705" i="1"/>
  <c r="J705" i="1"/>
  <c r="K705" i="1" s="1"/>
  <c r="L704" i="1"/>
  <c r="J704" i="1"/>
  <c r="K704" i="1" s="1"/>
  <c r="L703" i="1"/>
  <c r="J703" i="1"/>
  <c r="K703" i="1" s="1"/>
  <c r="L702" i="1"/>
  <c r="J702" i="1"/>
  <c r="K702" i="1" s="1"/>
  <c r="L701" i="1"/>
  <c r="J701" i="1"/>
  <c r="K701" i="1" s="1"/>
  <c r="L700" i="1"/>
  <c r="J700" i="1"/>
  <c r="K700" i="1" s="1"/>
  <c r="L699" i="1"/>
  <c r="J699" i="1"/>
  <c r="K699" i="1" s="1"/>
  <c r="L698" i="1"/>
  <c r="J698" i="1"/>
  <c r="K698" i="1" s="1"/>
  <c r="L697" i="1"/>
  <c r="J697" i="1"/>
  <c r="K697" i="1" s="1"/>
  <c r="L696" i="1"/>
  <c r="J696" i="1"/>
  <c r="K696" i="1" s="1"/>
  <c r="L695" i="1"/>
  <c r="J695" i="1"/>
  <c r="K695" i="1" s="1"/>
  <c r="L694" i="1"/>
  <c r="J694" i="1"/>
  <c r="K694" i="1" s="1"/>
  <c r="L693" i="1"/>
  <c r="J693" i="1"/>
  <c r="K693" i="1" s="1"/>
  <c r="L692" i="1"/>
  <c r="J692" i="1"/>
  <c r="K692" i="1" s="1"/>
  <c r="L691" i="1"/>
  <c r="J691" i="1"/>
  <c r="K691" i="1" s="1"/>
  <c r="L690" i="1"/>
  <c r="J690" i="1"/>
  <c r="K690" i="1" s="1"/>
  <c r="L689" i="1"/>
  <c r="J689" i="1"/>
  <c r="K689" i="1" s="1"/>
  <c r="L688" i="1"/>
  <c r="J688" i="1"/>
  <c r="K688" i="1" s="1"/>
  <c r="L687" i="1"/>
  <c r="J687" i="1"/>
  <c r="K687" i="1" s="1"/>
  <c r="L686" i="1"/>
  <c r="J686" i="1"/>
  <c r="K686" i="1" s="1"/>
  <c r="L685" i="1"/>
  <c r="J685" i="1"/>
  <c r="K685" i="1" s="1"/>
  <c r="L684" i="1"/>
  <c r="J684" i="1"/>
  <c r="K684" i="1" s="1"/>
  <c r="L683" i="1"/>
  <c r="J683" i="1"/>
  <c r="K683" i="1" s="1"/>
  <c r="L682" i="1"/>
  <c r="J682" i="1"/>
  <c r="K682" i="1" s="1"/>
  <c r="L681" i="1"/>
  <c r="J681" i="1"/>
  <c r="K681" i="1" s="1"/>
  <c r="L680" i="1"/>
  <c r="J680" i="1"/>
  <c r="K680" i="1" s="1"/>
  <c r="L679" i="1"/>
  <c r="J679" i="1"/>
  <c r="K679" i="1" s="1"/>
  <c r="L678" i="1"/>
  <c r="J678" i="1"/>
  <c r="K678" i="1" s="1"/>
  <c r="L677" i="1"/>
  <c r="J677" i="1"/>
  <c r="K677" i="1" s="1"/>
  <c r="L676" i="1"/>
  <c r="J676" i="1"/>
  <c r="K676" i="1" s="1"/>
  <c r="L675" i="1"/>
  <c r="J675" i="1"/>
  <c r="K675" i="1" s="1"/>
  <c r="L674" i="1"/>
  <c r="J674" i="1"/>
  <c r="K674" i="1" s="1"/>
  <c r="L673" i="1"/>
  <c r="J673" i="1"/>
  <c r="K673" i="1" s="1"/>
  <c r="L672" i="1"/>
  <c r="J672" i="1"/>
  <c r="K672" i="1" s="1"/>
  <c r="L671" i="1"/>
  <c r="J671" i="1"/>
  <c r="K671" i="1" s="1"/>
  <c r="L670" i="1"/>
  <c r="J670" i="1"/>
  <c r="K670" i="1" s="1"/>
  <c r="L669" i="1"/>
  <c r="J669" i="1"/>
  <c r="K669" i="1" s="1"/>
  <c r="L668" i="1"/>
  <c r="J668" i="1"/>
  <c r="K668" i="1" s="1"/>
  <c r="L667" i="1"/>
  <c r="J667" i="1"/>
  <c r="K667" i="1" s="1"/>
  <c r="L666" i="1"/>
  <c r="J666" i="1"/>
  <c r="K666" i="1" s="1"/>
  <c r="L665" i="1"/>
  <c r="J665" i="1"/>
  <c r="K665" i="1" s="1"/>
  <c r="L497" i="1"/>
  <c r="J497" i="1"/>
  <c r="K497" i="1" s="1"/>
  <c r="L496" i="1"/>
  <c r="J496" i="1"/>
  <c r="K496" i="1" s="1"/>
  <c r="L495" i="1"/>
  <c r="J495" i="1"/>
  <c r="K495" i="1" s="1"/>
  <c r="L494" i="1"/>
  <c r="J494" i="1"/>
  <c r="K494" i="1" s="1"/>
  <c r="L493" i="1"/>
  <c r="J493" i="1"/>
  <c r="K493" i="1" s="1"/>
  <c r="L492" i="1"/>
  <c r="J492" i="1"/>
  <c r="K492" i="1" s="1"/>
  <c r="L491" i="1"/>
  <c r="J491" i="1"/>
  <c r="K491" i="1" s="1"/>
  <c r="L490" i="1"/>
  <c r="J490" i="1"/>
  <c r="K490" i="1" s="1"/>
  <c r="L489" i="1"/>
  <c r="J489" i="1"/>
  <c r="K489" i="1" s="1"/>
  <c r="L488" i="1"/>
  <c r="J488" i="1"/>
  <c r="K488" i="1" s="1"/>
  <c r="L487" i="1"/>
  <c r="J487" i="1"/>
  <c r="K487" i="1" s="1"/>
  <c r="L486" i="1"/>
  <c r="J486" i="1"/>
  <c r="K486" i="1" s="1"/>
  <c r="L485" i="1"/>
  <c r="J485" i="1"/>
  <c r="K485" i="1" s="1"/>
  <c r="L484" i="1"/>
  <c r="J484" i="1"/>
  <c r="K484" i="1" s="1"/>
  <c r="L483" i="1"/>
  <c r="J483" i="1"/>
  <c r="K483" i="1" s="1"/>
  <c r="L482" i="1"/>
  <c r="J482" i="1"/>
  <c r="K482" i="1" s="1"/>
  <c r="L481" i="1"/>
  <c r="J481" i="1"/>
  <c r="K481" i="1" s="1"/>
  <c r="L480" i="1"/>
  <c r="J480" i="1"/>
  <c r="K480" i="1" s="1"/>
  <c r="L479" i="1"/>
  <c r="J479" i="1"/>
  <c r="K479" i="1" s="1"/>
  <c r="L478" i="1"/>
  <c r="J478" i="1"/>
  <c r="K478" i="1" s="1"/>
  <c r="L477" i="1"/>
  <c r="J477" i="1"/>
  <c r="K477" i="1" s="1"/>
  <c r="L476" i="1"/>
  <c r="J476" i="1"/>
  <c r="K476" i="1" s="1"/>
  <c r="L475" i="1"/>
  <c r="J475" i="1"/>
  <c r="K475" i="1" s="1"/>
  <c r="L474" i="1"/>
  <c r="J474" i="1"/>
  <c r="K474" i="1" s="1"/>
  <c r="L473" i="1"/>
  <c r="J473" i="1"/>
  <c r="K473" i="1" s="1"/>
  <c r="L472" i="1"/>
  <c r="J472" i="1"/>
  <c r="K472" i="1" s="1"/>
  <c r="L471" i="1"/>
  <c r="J471" i="1"/>
  <c r="K471" i="1" s="1"/>
  <c r="L470" i="1"/>
  <c r="J470" i="1"/>
  <c r="K470" i="1" s="1"/>
  <c r="L469" i="1"/>
  <c r="J469" i="1"/>
  <c r="K469" i="1" s="1"/>
  <c r="L468" i="1"/>
  <c r="J468" i="1"/>
  <c r="K468" i="1" s="1"/>
  <c r="L467" i="1"/>
  <c r="J467" i="1"/>
  <c r="K467" i="1" s="1"/>
  <c r="L466" i="1"/>
  <c r="J466" i="1"/>
  <c r="K466" i="1" s="1"/>
  <c r="L465" i="1"/>
  <c r="J465" i="1"/>
  <c r="K465" i="1" s="1"/>
  <c r="L464" i="1"/>
  <c r="J464" i="1"/>
  <c r="K464" i="1" s="1"/>
  <c r="L463" i="1"/>
  <c r="J463" i="1"/>
  <c r="K463" i="1" s="1"/>
  <c r="L462" i="1"/>
  <c r="J462" i="1"/>
  <c r="K462" i="1" s="1"/>
  <c r="L461" i="1"/>
  <c r="J461" i="1"/>
  <c r="K461" i="1" s="1"/>
  <c r="L460" i="1"/>
  <c r="J460" i="1"/>
  <c r="K460" i="1" s="1"/>
  <c r="L459" i="1"/>
  <c r="J459" i="1"/>
  <c r="K459" i="1" s="1"/>
  <c r="L458" i="1"/>
  <c r="J458" i="1"/>
  <c r="K458" i="1" s="1"/>
  <c r="L457" i="1"/>
  <c r="J457" i="1"/>
  <c r="K457" i="1" s="1"/>
  <c r="L456" i="1"/>
  <c r="J456" i="1"/>
  <c r="K456" i="1" s="1"/>
  <c r="L455" i="1"/>
  <c r="J455" i="1"/>
  <c r="K455" i="1" s="1"/>
  <c r="L454" i="1"/>
  <c r="J454" i="1"/>
  <c r="K454" i="1" s="1"/>
  <c r="L453" i="1"/>
  <c r="J453" i="1"/>
  <c r="K453" i="1" s="1"/>
  <c r="L452" i="1"/>
  <c r="J452" i="1"/>
  <c r="K452" i="1" s="1"/>
  <c r="L451" i="1"/>
  <c r="J451" i="1"/>
  <c r="K451" i="1" s="1"/>
  <c r="L450" i="1"/>
  <c r="J450" i="1"/>
  <c r="K450" i="1" s="1"/>
  <c r="L449" i="1"/>
  <c r="J449" i="1"/>
  <c r="K449" i="1" s="1"/>
  <c r="L448" i="1"/>
  <c r="J448" i="1"/>
  <c r="K448" i="1" s="1"/>
  <c r="L447" i="1"/>
  <c r="J447" i="1"/>
  <c r="K447" i="1" s="1"/>
  <c r="L446" i="1"/>
  <c r="J446" i="1"/>
  <c r="K446" i="1" s="1"/>
  <c r="L445" i="1"/>
  <c r="J445" i="1"/>
  <c r="K445" i="1" s="1"/>
  <c r="L444" i="1"/>
  <c r="J444" i="1"/>
  <c r="K444" i="1" s="1"/>
  <c r="L443" i="1"/>
  <c r="J443" i="1"/>
  <c r="K443" i="1" s="1"/>
  <c r="L442" i="1"/>
  <c r="J442" i="1"/>
  <c r="K442" i="1" s="1"/>
  <c r="L441" i="1"/>
  <c r="J441" i="1"/>
  <c r="K441" i="1" s="1"/>
  <c r="L440" i="1"/>
  <c r="J440" i="1"/>
  <c r="K440" i="1" s="1"/>
  <c r="L439" i="1"/>
  <c r="J439" i="1"/>
  <c r="K439" i="1" s="1"/>
  <c r="L438" i="1"/>
  <c r="J438" i="1"/>
  <c r="K438" i="1" s="1"/>
  <c r="L437" i="1"/>
  <c r="J437" i="1"/>
  <c r="K437" i="1" s="1"/>
  <c r="L436" i="1"/>
  <c r="J436" i="1"/>
  <c r="K436" i="1" s="1"/>
  <c r="L435" i="1"/>
  <c r="J435" i="1"/>
  <c r="K435" i="1" s="1"/>
  <c r="L434" i="1"/>
  <c r="J434" i="1"/>
  <c r="K434" i="1" s="1"/>
  <c r="L433" i="1"/>
  <c r="J433" i="1"/>
  <c r="K433" i="1" s="1"/>
  <c r="L432" i="1"/>
  <c r="J432" i="1"/>
  <c r="K432" i="1" s="1"/>
  <c r="L431" i="1"/>
  <c r="J431" i="1"/>
  <c r="K431" i="1" s="1"/>
  <c r="L430" i="1"/>
  <c r="J430" i="1"/>
  <c r="K430" i="1" s="1"/>
  <c r="L429" i="1"/>
  <c r="J429" i="1"/>
  <c r="K429" i="1" s="1"/>
  <c r="L428" i="1"/>
  <c r="J428" i="1"/>
  <c r="K428" i="1" s="1"/>
  <c r="L427" i="1"/>
  <c r="J427" i="1"/>
  <c r="K427" i="1" s="1"/>
  <c r="L426" i="1"/>
  <c r="J426" i="1"/>
  <c r="K426" i="1" s="1"/>
  <c r="L425" i="1"/>
  <c r="J425" i="1"/>
  <c r="K425" i="1" s="1"/>
  <c r="L424" i="1"/>
  <c r="J424" i="1"/>
  <c r="K424" i="1" s="1"/>
  <c r="L423" i="1"/>
  <c r="J423" i="1"/>
  <c r="K423" i="1" s="1"/>
  <c r="L422" i="1"/>
  <c r="J422" i="1"/>
  <c r="K422" i="1" s="1"/>
  <c r="L421" i="1"/>
  <c r="J421" i="1"/>
  <c r="K421" i="1" s="1"/>
  <c r="L420" i="1"/>
  <c r="J420" i="1"/>
  <c r="K420" i="1" s="1"/>
  <c r="L419" i="1"/>
  <c r="J419" i="1"/>
  <c r="K419" i="1" s="1"/>
  <c r="L418" i="1"/>
  <c r="J418" i="1"/>
  <c r="K418" i="1" s="1"/>
  <c r="L417" i="1"/>
  <c r="J417" i="1"/>
  <c r="K417" i="1" s="1"/>
  <c r="L416" i="1"/>
  <c r="J416" i="1"/>
  <c r="K416" i="1" s="1"/>
  <c r="L415" i="1"/>
  <c r="J415" i="1"/>
  <c r="K415" i="1" s="1"/>
  <c r="L414" i="1"/>
  <c r="J414" i="1"/>
  <c r="K414" i="1" s="1"/>
  <c r="L413" i="1"/>
  <c r="J413" i="1"/>
  <c r="K413" i="1" s="1"/>
  <c r="L412" i="1"/>
  <c r="J412" i="1"/>
  <c r="K412" i="1" s="1"/>
  <c r="L411" i="1"/>
  <c r="J411" i="1"/>
  <c r="K411" i="1" s="1"/>
  <c r="L410" i="1"/>
  <c r="J410" i="1"/>
  <c r="K410" i="1" s="1"/>
  <c r="L409" i="1"/>
  <c r="J409" i="1"/>
  <c r="K409" i="1" s="1"/>
  <c r="L408" i="1"/>
  <c r="J408" i="1"/>
  <c r="K408" i="1" s="1"/>
  <c r="L407" i="1"/>
  <c r="J407" i="1"/>
  <c r="K407" i="1" s="1"/>
  <c r="L406" i="1"/>
  <c r="J406" i="1"/>
  <c r="K406" i="1" s="1"/>
  <c r="L405" i="1"/>
  <c r="J405" i="1"/>
  <c r="K405" i="1" s="1"/>
  <c r="L404" i="1"/>
  <c r="J404" i="1"/>
  <c r="K404" i="1" s="1"/>
  <c r="L403" i="1"/>
  <c r="J403" i="1"/>
  <c r="K403" i="1" s="1"/>
  <c r="L402" i="1"/>
  <c r="J402" i="1"/>
  <c r="K402" i="1" s="1"/>
  <c r="L401" i="1"/>
  <c r="J401" i="1"/>
  <c r="K401" i="1" s="1"/>
  <c r="L400" i="1"/>
  <c r="J400" i="1"/>
  <c r="K400" i="1" s="1"/>
  <c r="L399" i="1"/>
  <c r="J399" i="1"/>
  <c r="K399" i="1" s="1"/>
  <c r="L398" i="1"/>
  <c r="J398" i="1"/>
  <c r="K398" i="1" s="1"/>
  <c r="L397" i="1"/>
  <c r="J397" i="1"/>
  <c r="K397" i="1" s="1"/>
  <c r="L396" i="1"/>
  <c r="J396" i="1"/>
  <c r="K396" i="1" s="1"/>
  <c r="L395" i="1"/>
  <c r="J395" i="1"/>
  <c r="K395" i="1" s="1"/>
  <c r="L394" i="1"/>
  <c r="J394" i="1"/>
  <c r="K394" i="1" s="1"/>
  <c r="L393" i="1"/>
  <c r="J393" i="1"/>
  <c r="K393" i="1" s="1"/>
  <c r="L392" i="1"/>
  <c r="J392" i="1"/>
  <c r="K392" i="1" s="1"/>
  <c r="L391" i="1"/>
  <c r="J391" i="1"/>
  <c r="K391" i="1" s="1"/>
  <c r="L390" i="1"/>
  <c r="J390" i="1"/>
  <c r="K390" i="1" s="1"/>
  <c r="L389" i="1"/>
  <c r="J389" i="1"/>
  <c r="K389" i="1" s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J80" i="1"/>
  <c r="K80" i="1" s="1"/>
  <c r="J79" i="1"/>
  <c r="K79" i="1" s="1"/>
  <c r="J78" i="1"/>
  <c r="K78" i="1" s="1"/>
  <c r="J77" i="1"/>
  <c r="K77" i="1" s="1"/>
  <c r="J76" i="1"/>
  <c r="K76" i="1" s="1"/>
  <c r="J75" i="1"/>
  <c r="K75" i="1" s="1"/>
  <c r="J74" i="1"/>
  <c r="K74" i="1" s="1"/>
  <c r="J73" i="1"/>
  <c r="K73" i="1" s="1"/>
  <c r="J72" i="1"/>
  <c r="K72" i="1" s="1"/>
  <c r="J71" i="1"/>
  <c r="K71" i="1" s="1"/>
  <c r="J70" i="1"/>
  <c r="K70" i="1" s="1"/>
  <c r="J69" i="1"/>
  <c r="K69" i="1" s="1"/>
  <c r="J68" i="1"/>
  <c r="K68" i="1" s="1"/>
  <c r="J67" i="1"/>
  <c r="K67" i="1" s="1"/>
  <c r="J66" i="1"/>
  <c r="K66" i="1" s="1"/>
  <c r="J65" i="1"/>
  <c r="K65" i="1" s="1"/>
  <c r="J64" i="1"/>
  <c r="K64" i="1" s="1"/>
  <c r="J63" i="1"/>
  <c r="K63" i="1" s="1"/>
  <c r="J62" i="1"/>
  <c r="K62" i="1" s="1"/>
  <c r="J61" i="1"/>
  <c r="K61" i="1" s="1"/>
  <c r="J60" i="1"/>
  <c r="K60" i="1" s="1"/>
  <c r="J59" i="1"/>
  <c r="K59" i="1" s="1"/>
  <c r="J58" i="1"/>
  <c r="K58" i="1" s="1"/>
  <c r="J57" i="1"/>
  <c r="K57" i="1" s="1"/>
  <c r="J56" i="1"/>
  <c r="K56" i="1" s="1"/>
  <c r="J55" i="1"/>
  <c r="K55" i="1" s="1"/>
  <c r="J54" i="1"/>
  <c r="K54" i="1" s="1"/>
  <c r="J53" i="1"/>
  <c r="K53" i="1" s="1"/>
  <c r="J52" i="1"/>
  <c r="K52" i="1" s="1"/>
  <c r="J51" i="1"/>
  <c r="K51" i="1" s="1"/>
  <c r="J50" i="1"/>
  <c r="K50" i="1" s="1"/>
  <c r="J49" i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J43" i="1"/>
  <c r="K43" i="1" s="1"/>
  <c r="J42" i="1"/>
  <c r="K42" i="1" s="1"/>
  <c r="J41" i="1"/>
  <c r="K41" i="1" s="1"/>
  <c r="J40" i="1"/>
  <c r="K40" i="1" s="1"/>
  <c r="J39" i="1"/>
  <c r="K39" i="1" s="1"/>
  <c r="J38" i="1"/>
  <c r="K38" i="1" s="1"/>
  <c r="J37" i="1"/>
  <c r="K37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J4" i="1"/>
  <c r="K4" i="1" s="1"/>
  <c r="J3" i="1"/>
  <c r="K3" i="1" s="1"/>
  <c r="J2" i="1"/>
  <c r="K2" i="1" s="1"/>
  <c r="J664" i="1"/>
  <c r="K664" i="1" s="1"/>
  <c r="J663" i="1"/>
  <c r="K663" i="1" s="1"/>
  <c r="J662" i="1"/>
  <c r="K662" i="1" s="1"/>
  <c r="J661" i="1"/>
  <c r="K661" i="1" s="1"/>
  <c r="J660" i="1"/>
  <c r="K660" i="1" s="1"/>
  <c r="J659" i="1"/>
  <c r="K659" i="1" s="1"/>
  <c r="J658" i="1"/>
  <c r="K658" i="1" s="1"/>
  <c r="J657" i="1"/>
  <c r="K657" i="1" s="1"/>
  <c r="J656" i="1"/>
  <c r="K656" i="1" s="1"/>
  <c r="J655" i="1"/>
  <c r="K655" i="1" s="1"/>
  <c r="J654" i="1"/>
  <c r="K654" i="1" s="1"/>
  <c r="J653" i="1"/>
  <c r="K653" i="1" s="1"/>
  <c r="J652" i="1"/>
  <c r="K652" i="1" s="1"/>
  <c r="J651" i="1"/>
  <c r="K651" i="1" s="1"/>
  <c r="J650" i="1"/>
  <c r="K650" i="1" s="1"/>
  <c r="J649" i="1"/>
  <c r="K649" i="1" s="1"/>
  <c r="J648" i="1"/>
  <c r="K648" i="1" s="1"/>
  <c r="J647" i="1"/>
  <c r="K647" i="1" s="1"/>
  <c r="J646" i="1"/>
  <c r="K646" i="1" s="1"/>
  <c r="J645" i="1"/>
  <c r="K645" i="1" s="1"/>
  <c r="J644" i="1"/>
  <c r="K644" i="1" s="1"/>
  <c r="J643" i="1"/>
  <c r="K643" i="1" s="1"/>
  <c r="J642" i="1"/>
  <c r="K642" i="1" s="1"/>
  <c r="J641" i="1"/>
  <c r="K641" i="1" s="1"/>
  <c r="J640" i="1"/>
  <c r="K640" i="1" s="1"/>
  <c r="J639" i="1"/>
  <c r="K639" i="1" s="1"/>
  <c r="J638" i="1"/>
  <c r="K638" i="1" s="1"/>
  <c r="J637" i="1"/>
  <c r="K637" i="1" s="1"/>
  <c r="J636" i="1"/>
  <c r="K636" i="1" s="1"/>
  <c r="J635" i="1"/>
  <c r="K635" i="1" s="1"/>
  <c r="J634" i="1"/>
  <c r="K634" i="1" s="1"/>
  <c r="J633" i="1"/>
  <c r="K633" i="1" s="1"/>
  <c r="J632" i="1"/>
  <c r="K632" i="1" s="1"/>
  <c r="J631" i="1"/>
  <c r="K631" i="1" s="1"/>
  <c r="J630" i="1"/>
  <c r="K630" i="1" s="1"/>
  <c r="J629" i="1"/>
  <c r="K629" i="1" s="1"/>
  <c r="J628" i="1"/>
  <c r="K628" i="1" s="1"/>
  <c r="J627" i="1"/>
  <c r="K627" i="1" s="1"/>
  <c r="J626" i="1"/>
  <c r="K626" i="1" s="1"/>
  <c r="J625" i="1"/>
  <c r="K625" i="1" s="1"/>
  <c r="J624" i="1"/>
  <c r="K624" i="1" s="1"/>
  <c r="J623" i="1"/>
  <c r="K623" i="1" s="1"/>
  <c r="J622" i="1"/>
  <c r="K622" i="1" s="1"/>
  <c r="J621" i="1"/>
  <c r="K621" i="1" s="1"/>
  <c r="J620" i="1"/>
  <c r="K620" i="1" s="1"/>
  <c r="J619" i="1"/>
  <c r="K619" i="1" s="1"/>
  <c r="J618" i="1"/>
  <c r="K618" i="1" s="1"/>
  <c r="J617" i="1"/>
  <c r="K617" i="1" s="1"/>
  <c r="J616" i="1"/>
  <c r="K616" i="1" s="1"/>
  <c r="J615" i="1"/>
  <c r="K615" i="1" s="1"/>
  <c r="J614" i="1"/>
  <c r="K614" i="1" s="1"/>
  <c r="J613" i="1"/>
  <c r="K613" i="1" s="1"/>
  <c r="J388" i="1"/>
  <c r="K388" i="1" s="1"/>
  <c r="J387" i="1"/>
  <c r="K387" i="1" s="1"/>
  <c r="J386" i="1"/>
  <c r="K386" i="1" s="1"/>
  <c r="J385" i="1"/>
  <c r="K385" i="1" s="1"/>
  <c r="J384" i="1"/>
  <c r="K384" i="1" s="1"/>
  <c r="J383" i="1"/>
  <c r="K383" i="1" s="1"/>
  <c r="J382" i="1"/>
  <c r="K382" i="1" s="1"/>
  <c r="J381" i="1"/>
  <c r="K381" i="1" s="1"/>
  <c r="J380" i="1"/>
  <c r="K380" i="1" s="1"/>
  <c r="J379" i="1"/>
  <c r="K379" i="1" s="1"/>
  <c r="J378" i="1"/>
  <c r="K378" i="1" s="1"/>
  <c r="J377" i="1"/>
  <c r="K377" i="1" s="1"/>
  <c r="J376" i="1"/>
  <c r="K376" i="1" s="1"/>
  <c r="J375" i="1"/>
  <c r="K375" i="1" s="1"/>
  <c r="J374" i="1"/>
  <c r="K374" i="1" s="1"/>
  <c r="J373" i="1"/>
  <c r="K373" i="1" s="1"/>
  <c r="J372" i="1"/>
  <c r="K372" i="1" s="1"/>
  <c r="J371" i="1"/>
  <c r="K371" i="1" s="1"/>
  <c r="J370" i="1"/>
  <c r="K370" i="1" s="1"/>
  <c r="J369" i="1"/>
  <c r="K369" i="1" s="1"/>
  <c r="J368" i="1"/>
  <c r="K368" i="1" s="1"/>
  <c r="J367" i="1"/>
  <c r="K367" i="1" s="1"/>
  <c r="J366" i="1"/>
  <c r="K366" i="1" s="1"/>
  <c r="J365" i="1"/>
  <c r="K365" i="1" s="1"/>
  <c r="J364" i="1"/>
  <c r="K364" i="1" s="1"/>
  <c r="J363" i="1"/>
  <c r="K363" i="1" s="1"/>
  <c r="J362" i="1"/>
  <c r="K362" i="1" s="1"/>
  <c r="J361" i="1"/>
  <c r="K361" i="1" s="1"/>
  <c r="J360" i="1"/>
  <c r="K360" i="1" s="1"/>
  <c r="J359" i="1"/>
  <c r="K359" i="1" s="1"/>
  <c r="J358" i="1"/>
  <c r="K358" i="1" s="1"/>
  <c r="J357" i="1"/>
  <c r="K357" i="1" s="1"/>
  <c r="J356" i="1"/>
  <c r="K356" i="1" s="1"/>
  <c r="J355" i="1"/>
  <c r="K355" i="1" s="1"/>
  <c r="J354" i="1"/>
  <c r="K354" i="1" s="1"/>
  <c r="J353" i="1"/>
  <c r="K353" i="1" s="1"/>
  <c r="J352" i="1"/>
  <c r="K352" i="1" s="1"/>
  <c r="J351" i="1"/>
  <c r="K351" i="1" s="1"/>
  <c r="J350" i="1"/>
  <c r="K350" i="1" s="1"/>
  <c r="J349" i="1"/>
  <c r="K349" i="1" s="1"/>
  <c r="J348" i="1"/>
  <c r="K348" i="1" s="1"/>
  <c r="J347" i="1"/>
  <c r="K347" i="1" s="1"/>
  <c r="J346" i="1"/>
  <c r="K346" i="1" s="1"/>
  <c r="J345" i="1"/>
  <c r="K345" i="1" s="1"/>
  <c r="J344" i="1"/>
  <c r="K344" i="1" s="1"/>
  <c r="J343" i="1"/>
  <c r="K343" i="1" s="1"/>
  <c r="J342" i="1"/>
  <c r="K342" i="1" s="1"/>
  <c r="J341" i="1"/>
  <c r="K341" i="1" s="1"/>
  <c r="J340" i="1"/>
  <c r="K340" i="1" s="1"/>
  <c r="J339" i="1"/>
  <c r="K339" i="1" s="1"/>
  <c r="J338" i="1"/>
  <c r="K338" i="1" s="1"/>
  <c r="J337" i="1"/>
  <c r="K337" i="1" s="1"/>
  <c r="J336" i="1"/>
  <c r="K336" i="1" s="1"/>
  <c r="J335" i="1"/>
  <c r="K335" i="1" s="1"/>
  <c r="J334" i="1"/>
  <c r="K334" i="1" s="1"/>
  <c r="J333" i="1"/>
  <c r="K333" i="1" s="1"/>
  <c r="J332" i="1"/>
  <c r="K332" i="1" s="1"/>
  <c r="J331" i="1"/>
  <c r="K331" i="1" s="1"/>
  <c r="J330" i="1"/>
  <c r="K330" i="1" s="1"/>
  <c r="J329" i="1"/>
  <c r="K329" i="1" s="1"/>
  <c r="J328" i="1"/>
  <c r="K328" i="1" s="1"/>
  <c r="J327" i="1"/>
  <c r="K327" i="1" s="1"/>
  <c r="J326" i="1"/>
  <c r="K326" i="1" s="1"/>
  <c r="J325" i="1"/>
  <c r="K325" i="1" s="1"/>
  <c r="J324" i="1"/>
  <c r="K324" i="1" s="1"/>
  <c r="J323" i="1"/>
  <c r="K323" i="1" s="1"/>
  <c r="J322" i="1"/>
  <c r="K322" i="1" s="1"/>
  <c r="J321" i="1"/>
  <c r="K321" i="1" s="1"/>
  <c r="J320" i="1"/>
  <c r="K320" i="1" s="1"/>
  <c r="J319" i="1"/>
  <c r="K319" i="1" s="1"/>
  <c r="J318" i="1"/>
  <c r="K318" i="1" s="1"/>
  <c r="J317" i="1"/>
  <c r="K317" i="1" s="1"/>
  <c r="J316" i="1"/>
  <c r="K316" i="1" s="1"/>
  <c r="J315" i="1"/>
  <c r="K315" i="1" s="1"/>
  <c r="J314" i="1"/>
  <c r="K314" i="1" s="1"/>
  <c r="J313" i="1"/>
  <c r="K313" i="1" s="1"/>
  <c r="J312" i="1"/>
  <c r="K312" i="1" s="1"/>
  <c r="J311" i="1"/>
  <c r="K311" i="1" s="1"/>
  <c r="J310" i="1"/>
  <c r="K310" i="1" s="1"/>
  <c r="J309" i="1"/>
  <c r="K309" i="1" s="1"/>
  <c r="J308" i="1"/>
  <c r="K308" i="1" s="1"/>
  <c r="J307" i="1"/>
  <c r="K307" i="1" s="1"/>
  <c r="J306" i="1"/>
  <c r="K306" i="1" s="1"/>
  <c r="J305" i="1"/>
  <c r="K305" i="1" s="1"/>
  <c r="J304" i="1"/>
  <c r="K304" i="1" s="1"/>
  <c r="J303" i="1"/>
  <c r="K303" i="1" s="1"/>
  <c r="J302" i="1"/>
  <c r="K302" i="1" s="1"/>
  <c r="J301" i="1"/>
  <c r="K301" i="1" s="1"/>
  <c r="J300" i="1"/>
  <c r="K300" i="1" s="1"/>
  <c r="J299" i="1"/>
  <c r="K299" i="1" s="1"/>
  <c r="J298" i="1"/>
  <c r="K298" i="1" s="1"/>
  <c r="J297" i="1"/>
  <c r="K297" i="1" s="1"/>
  <c r="J296" i="1"/>
  <c r="K296" i="1" s="1"/>
  <c r="J295" i="1"/>
  <c r="K295" i="1" s="1"/>
  <c r="J294" i="1"/>
  <c r="K294" i="1" s="1"/>
  <c r="J293" i="1"/>
  <c r="K293" i="1" s="1"/>
  <c r="J292" i="1"/>
  <c r="K292" i="1" s="1"/>
  <c r="J291" i="1"/>
  <c r="K291" i="1" s="1"/>
  <c r="J290" i="1"/>
  <c r="K290" i="1" s="1"/>
  <c r="J289" i="1"/>
  <c r="K289" i="1" s="1"/>
  <c r="J288" i="1"/>
  <c r="K288" i="1" s="1"/>
  <c r="J287" i="1"/>
  <c r="K287" i="1" s="1"/>
  <c r="J286" i="1"/>
  <c r="K286" i="1" s="1"/>
  <c r="J285" i="1"/>
  <c r="K285" i="1" s="1"/>
  <c r="J284" i="1"/>
  <c r="K284" i="1" s="1"/>
  <c r="J283" i="1"/>
  <c r="K283" i="1" s="1"/>
  <c r="J282" i="1"/>
  <c r="K282" i="1" s="1"/>
  <c r="J281" i="1"/>
  <c r="K281" i="1" s="1"/>
  <c r="J280" i="1"/>
  <c r="K280" i="1" s="1"/>
  <c r="J279" i="1"/>
  <c r="K279" i="1" s="1"/>
  <c r="J278" i="1"/>
  <c r="K278" i="1" s="1"/>
  <c r="J277" i="1"/>
  <c r="K277" i="1" s="1"/>
  <c r="J276" i="1"/>
  <c r="K276" i="1" s="1"/>
  <c r="J275" i="1"/>
  <c r="K275" i="1" s="1"/>
  <c r="J274" i="1"/>
  <c r="K274" i="1" s="1"/>
  <c r="J273" i="1"/>
  <c r="K273" i="1" s="1"/>
  <c r="J272" i="1"/>
  <c r="K272" i="1" s="1"/>
  <c r="F7" i="9" l="1"/>
  <c r="E7" i="9"/>
  <c r="D7" i="9"/>
  <c r="C7" i="9"/>
</calcChain>
</file>

<file path=xl/sharedStrings.xml><?xml version="1.0" encoding="utf-8"?>
<sst xmlns="http://schemas.openxmlformats.org/spreadsheetml/2006/main" count="12854" uniqueCount="660">
  <si>
    <t>AÑO</t>
  </si>
  <si>
    <t>MES</t>
  </si>
  <si>
    <t>ID</t>
  </si>
  <si>
    <t>PRODUCTO</t>
  </si>
  <si>
    <t>JERARQUIA</t>
  </si>
  <si>
    <t>CANTIDAD</t>
  </si>
  <si>
    <t>COSTO</t>
  </si>
  <si>
    <t>UTILIDAD BRUTA</t>
  </si>
  <si>
    <t>MARGEN BRUTO</t>
  </si>
  <si>
    <t>% DCTO.</t>
  </si>
  <si>
    <t>TIPO</t>
  </si>
  <si>
    <t>EMPAQUE</t>
  </si>
  <si>
    <t>Jerarquia</t>
  </si>
  <si>
    <t>Tipo</t>
  </si>
  <si>
    <t>Cubiertos + servilletas</t>
  </si>
  <si>
    <t>Adición</t>
  </si>
  <si>
    <t>Adicion - Pollo en trozos</t>
  </si>
  <si>
    <t>Adición Arroz Frito</t>
  </si>
  <si>
    <t>Adición Camaron</t>
  </si>
  <si>
    <t>Adición Papa frita</t>
  </si>
  <si>
    <t>Adición Pasta</t>
  </si>
  <si>
    <t>Adición Presa de pollo</t>
  </si>
  <si>
    <t>Adición Vegetales</t>
  </si>
  <si>
    <t>Arma tu plato</t>
  </si>
  <si>
    <t>Personal</t>
  </si>
  <si>
    <t>Caja</t>
  </si>
  <si>
    <t>cerdo agridulce</t>
  </si>
  <si>
    <t>COMBO - Lumpia y agua 280 ML</t>
  </si>
  <si>
    <t>Armalo en combo</t>
  </si>
  <si>
    <t>COMBO - Lumpia y Coca Cola 250 ml</t>
  </si>
  <si>
    <t>COMBO - Papas 120 grs y agua 280 Ml</t>
  </si>
  <si>
    <t>COMBO - Papas 120 grs y Coca Cola 250 ml</t>
  </si>
  <si>
    <t>Ling - Cerdo agridulce</t>
  </si>
  <si>
    <t>Pollo a la naranja</t>
  </si>
  <si>
    <t>Res brocoli</t>
  </si>
  <si>
    <t>Agua 280 ml</t>
  </si>
  <si>
    <t>Bebidas</t>
  </si>
  <si>
    <t>Agua 280 ml CB</t>
  </si>
  <si>
    <t>Agua Gas 600 Ml</t>
  </si>
  <si>
    <t>Agua Gas 600 Ml CB</t>
  </si>
  <si>
    <t>Agua Limón 600 Ml</t>
  </si>
  <si>
    <t>Agua Limón 600 Ml CB</t>
  </si>
  <si>
    <t>Agua Manzana 600 Ml</t>
  </si>
  <si>
    <t>Agua Manzana 600 Ml CB</t>
  </si>
  <si>
    <t>Agua Normal 600 Ml</t>
  </si>
  <si>
    <t>Coca Cola 1,5 litros</t>
  </si>
  <si>
    <t>Coca Cola 1,5 litros AB</t>
  </si>
  <si>
    <t>Coca Cola 1,5 litros CB COMBOSCOM</t>
  </si>
  <si>
    <t>Coca Cola 250 Ml Normal</t>
  </si>
  <si>
    <t>Coca Cola 250 Ml Normal AB</t>
  </si>
  <si>
    <t>Coca Cola 250 Ml Normal CB</t>
  </si>
  <si>
    <t>Coca Cola 250 Ml Zero</t>
  </si>
  <si>
    <t>Coca Cola 250 Ml Zero CB</t>
  </si>
  <si>
    <t>Coca Cola 400 Ml Normal</t>
  </si>
  <si>
    <t>Coca Cola 400 Ml Normal CB</t>
  </si>
  <si>
    <t>Coca Cola 400 Ml Zero</t>
  </si>
  <si>
    <t>Coca Cola 400 Ml Zero AB</t>
  </si>
  <si>
    <t>Coca Cola 400 Ml Zero CB</t>
  </si>
  <si>
    <t>Fusetea Durazno</t>
  </si>
  <si>
    <t>Fusetea Durazno CB</t>
  </si>
  <si>
    <t>Fusetea Limon</t>
  </si>
  <si>
    <t>Fusetea mango</t>
  </si>
  <si>
    <t>Fusetea mango CB</t>
  </si>
  <si>
    <t>Fusetea manzana</t>
  </si>
  <si>
    <t>Fuze te limón 1.2</t>
  </si>
  <si>
    <t>Jugo Del Valle Mandarina</t>
  </si>
  <si>
    <t>Jugo del valle naranja</t>
  </si>
  <si>
    <t>Kola Roman 400 Ml</t>
  </si>
  <si>
    <t>Premio 400 Ml</t>
  </si>
  <si>
    <t>Quatro 400 Ml</t>
  </si>
  <si>
    <t>Quatro 400 Ml AB</t>
  </si>
  <si>
    <t>Quatro 400 Ml CB</t>
  </si>
  <si>
    <t>Sprite 400 Ml</t>
  </si>
  <si>
    <t>Sprite 400 Ml CB</t>
  </si>
  <si>
    <t>Kong Bowl mini</t>
  </si>
  <si>
    <t>Bowl</t>
  </si>
  <si>
    <t>Kumo Bowl mini</t>
  </si>
  <si>
    <t>Take Bowl mini</t>
  </si>
  <si>
    <t>Tao Bowl mini</t>
  </si>
  <si>
    <t>Take Bowl grande</t>
  </si>
  <si>
    <t>Tao Bowl grande</t>
  </si>
  <si>
    <t>COMBO AMIGOS</t>
  </si>
  <si>
    <t>Combos para compartir</t>
  </si>
  <si>
    <t>No Personal</t>
  </si>
  <si>
    <t>COMBO ANTOJO</t>
  </si>
  <si>
    <t>COMBO FAMIAMIGOS</t>
  </si>
  <si>
    <t>COMBO FAMILIAR</t>
  </si>
  <si>
    <t>COMBO TODERO (CHOP SUEY)</t>
  </si>
  <si>
    <t>Chow Fan Camarones Duo</t>
  </si>
  <si>
    <t>Platos mong</t>
  </si>
  <si>
    <t>COMBO TRIO</t>
  </si>
  <si>
    <t>Chow Fan Camarones Familiar</t>
  </si>
  <si>
    <t>COMBO 1- Valenciano personal</t>
  </si>
  <si>
    <t>Combos personales</t>
  </si>
  <si>
    <t>Chow Fan Camarones Personal</t>
  </si>
  <si>
    <t>COMBO 3 - Chop suey especial personal</t>
  </si>
  <si>
    <t>COMBO 4 - arroz vegetales especial</t>
  </si>
  <si>
    <t>Chow Fan Camarones trio</t>
  </si>
  <si>
    <t>Chow fan especial duo</t>
  </si>
  <si>
    <t>COMBO ARMA TU PLATO</t>
  </si>
  <si>
    <t>Chow Fan Especial familiar</t>
  </si>
  <si>
    <t>Combo Sunkee</t>
  </si>
  <si>
    <t>CAMARONES APANADOS</t>
  </si>
  <si>
    <t>Entradas</t>
  </si>
  <si>
    <t>Deditos de Pollo</t>
  </si>
  <si>
    <t>LUMPIA X 1</t>
  </si>
  <si>
    <t>LUMPIAS X 2</t>
  </si>
  <si>
    <t>Chow Fan Especial megafamiliar</t>
  </si>
  <si>
    <t>Mong Express Chop suey pollo</t>
  </si>
  <si>
    <t>Mong Express</t>
  </si>
  <si>
    <t>Chow Fan Especial Personal</t>
  </si>
  <si>
    <t>LING</t>
  </si>
  <si>
    <t>Platos especiales</t>
  </si>
  <si>
    <t>MING</t>
  </si>
  <si>
    <t>MONG</t>
  </si>
  <si>
    <t>Mong fit</t>
  </si>
  <si>
    <t>SUN KEE</t>
  </si>
  <si>
    <t>WONG- Menú infantil</t>
  </si>
  <si>
    <t>Arroz vegetales camarones personal</t>
  </si>
  <si>
    <t>Arroz vegetales especial dúo</t>
  </si>
  <si>
    <t>Arroz vegetales especial personal</t>
  </si>
  <si>
    <t>Arroz vegetales pollo personal</t>
  </si>
  <si>
    <t>Chop Suey Camaron Duo</t>
  </si>
  <si>
    <t>Chop Suey Camaron Familiar</t>
  </si>
  <si>
    <t>Chop suey camarón personal</t>
  </si>
  <si>
    <t>Chop Suey Camaron trio</t>
  </si>
  <si>
    <t>Chop Suey Especial Duo</t>
  </si>
  <si>
    <t>Chop Suey Especial Familiar</t>
  </si>
  <si>
    <t>Chop suey especial personal</t>
  </si>
  <si>
    <t>Chop Suey Especial trio</t>
  </si>
  <si>
    <t>Chop Suey Pollo Duo</t>
  </si>
  <si>
    <t>Chop Suey Pollo Personal</t>
  </si>
  <si>
    <t>Chop Suey Pollo trio</t>
  </si>
  <si>
    <t>Chop suey vegetariano duo</t>
  </si>
  <si>
    <t>Chop Suey Vegetariano familar</t>
  </si>
  <si>
    <t>Chop Suey Vegetariano Personal</t>
  </si>
  <si>
    <t>Chop suey vegetariano trio</t>
  </si>
  <si>
    <t>Chow fan especial trio</t>
  </si>
  <si>
    <t>Chow Fan Pollo Duo</t>
  </si>
  <si>
    <t>Chow Fan Pollo familiar</t>
  </si>
  <si>
    <t>Chow Fan Pollo megafamiliar</t>
  </si>
  <si>
    <t>Chow Fan Pollo Personal</t>
  </si>
  <si>
    <t>Chow Fan Pollo trio</t>
  </si>
  <si>
    <t>Chow Fan Valenciano Duo</t>
  </si>
  <si>
    <t>Chow Fan Valenciano familiar</t>
  </si>
  <si>
    <t>Chow fan valenciano megafamiliar</t>
  </si>
  <si>
    <t>Chow Fan Valenciano Personal</t>
  </si>
  <si>
    <t>Chow Fan Valenciano trio</t>
  </si>
  <si>
    <t>Chow Mein Camaron Familiar</t>
  </si>
  <si>
    <t>Chow Mein Camaron Personal</t>
  </si>
  <si>
    <t>Chow Mein Camaron trio</t>
  </si>
  <si>
    <t>Chow Mein Especial Duo</t>
  </si>
  <si>
    <t>Chow Mein Especial Familiar</t>
  </si>
  <si>
    <t>Chow Mein Especial Personal</t>
  </si>
  <si>
    <t>Chow Mein Especial trio</t>
  </si>
  <si>
    <t>Chow Mein Pollo Duo</t>
  </si>
  <si>
    <t>Chow mein pollo familiar</t>
  </si>
  <si>
    <t>Chow Mein Pollo Personal</t>
  </si>
  <si>
    <t>Chow Mein Pollo trio</t>
  </si>
  <si>
    <t>COMBO 2 - Chow fan especial personal</t>
  </si>
  <si>
    <t>COMBO 5 - Chow Mein especial personal</t>
  </si>
  <si>
    <t>COMBO 6 - Chow Fan pollo personal</t>
  </si>
  <si>
    <t>COMBO ESTUDIANTIL- Chow fan 250 grs</t>
  </si>
  <si>
    <t>Combo solo para mi - Chow Fan pollo</t>
  </si>
  <si>
    <t>COMBO TODERO (CHOW MEIN)</t>
  </si>
  <si>
    <t>El trio del sabor -Chow fan trio</t>
  </si>
  <si>
    <t>La caja Poderosa -chow fan familiar</t>
  </si>
  <si>
    <t>Mong Express Chow fan</t>
  </si>
  <si>
    <t>Valenciano personal</t>
  </si>
  <si>
    <t>ID Producto **</t>
  </si>
  <si>
    <t>Nombre Producto *</t>
  </si>
  <si>
    <t>Costo</t>
  </si>
  <si>
    <t>Extras</t>
  </si>
  <si>
    <t>BEB00</t>
  </si>
  <si>
    <t>Producto</t>
  </si>
  <si>
    <t>COMC01</t>
  </si>
  <si>
    <t>BEB01</t>
  </si>
  <si>
    <t>COMP13</t>
  </si>
  <si>
    <t>MON133</t>
  </si>
  <si>
    <t>BOW04</t>
  </si>
  <si>
    <t>MON300</t>
  </si>
  <si>
    <t>MON505</t>
  </si>
  <si>
    <t>MON504</t>
  </si>
  <si>
    <t>ENT01</t>
  </si>
  <si>
    <t>COMP14</t>
  </si>
  <si>
    <t>MON101</t>
  </si>
  <si>
    <t>COMP03</t>
  </si>
  <si>
    <t>MON503</t>
  </si>
  <si>
    <t xml:space="preserve">Arroz vegetales pollo dúo </t>
  </si>
  <si>
    <t>ADIC564</t>
  </si>
  <si>
    <t>Adición  Presa de pollo</t>
  </si>
  <si>
    <t>MON331</t>
  </si>
  <si>
    <t>RAPP01</t>
  </si>
  <si>
    <t>ADIC565</t>
  </si>
  <si>
    <t>Adición  Camaron</t>
  </si>
  <si>
    <t>MON222</t>
  </si>
  <si>
    <t>COMP02</t>
  </si>
  <si>
    <t>COMP08</t>
  </si>
  <si>
    <t>MON310</t>
  </si>
  <si>
    <t>MONFIT</t>
  </si>
  <si>
    <t>MON210</t>
  </si>
  <si>
    <t>BOW06</t>
  </si>
  <si>
    <t>MON121</t>
  </si>
  <si>
    <t>MON311</t>
  </si>
  <si>
    <t>MON201</t>
  </si>
  <si>
    <t>MON120</t>
  </si>
  <si>
    <t>PESP05</t>
  </si>
  <si>
    <t>COMP01</t>
  </si>
  <si>
    <t>COMP09</t>
  </si>
  <si>
    <t>mon001</t>
  </si>
  <si>
    <t>fondo promocional</t>
  </si>
  <si>
    <t>Kola Roman  400 Ml</t>
  </si>
  <si>
    <t>COMP05</t>
  </si>
  <si>
    <t>COMP12</t>
  </si>
  <si>
    <t>COMC02</t>
  </si>
  <si>
    <t>RAPP03</t>
  </si>
  <si>
    <t>MON221</t>
  </si>
  <si>
    <t>BOW02</t>
  </si>
  <si>
    <t>ADIC566</t>
  </si>
  <si>
    <t>PESP03</t>
  </si>
  <si>
    <t>COMP06</t>
  </si>
  <si>
    <t>COMP11</t>
  </si>
  <si>
    <t>COMBO -  Lumpia y agua 280 ML</t>
  </si>
  <si>
    <t>PESP04</t>
  </si>
  <si>
    <t>PESP02</t>
  </si>
  <si>
    <t>MON220</t>
  </si>
  <si>
    <t>MON322</t>
  </si>
  <si>
    <t>Chop Suey Pollo familiar</t>
  </si>
  <si>
    <t>COMP04</t>
  </si>
  <si>
    <t>DELI02</t>
  </si>
  <si>
    <t>Chow fan camarones familiar</t>
  </si>
  <si>
    <t>ADIC568</t>
  </si>
  <si>
    <t>MON110</t>
  </si>
  <si>
    <t>DEL04</t>
  </si>
  <si>
    <t>Chow fan especial megafamiliar</t>
  </si>
  <si>
    <t>MON131</t>
  </si>
  <si>
    <t>TOTEATDVYERROR</t>
  </si>
  <si>
    <t>Producto ERROR Integraciones</t>
  </si>
  <si>
    <t>TOTEATDVYCOST</t>
  </si>
  <si>
    <t>Costo Delivery</t>
  </si>
  <si>
    <t>MON122</t>
  </si>
  <si>
    <t>MON103</t>
  </si>
  <si>
    <t>COMC03</t>
  </si>
  <si>
    <t>OTROS01</t>
  </si>
  <si>
    <t>PESP01</t>
  </si>
  <si>
    <t>MONE701</t>
  </si>
  <si>
    <t>COMP10</t>
  </si>
  <si>
    <t>COMBO -  Lumpia y Coca Cola 250 ml</t>
  </si>
  <si>
    <t>MON332</t>
  </si>
  <si>
    <t>MON212</t>
  </si>
  <si>
    <t>Agua Normal  600 Ml</t>
  </si>
  <si>
    <t>MON312</t>
  </si>
  <si>
    <t>MON102</t>
  </si>
  <si>
    <t>ENT02</t>
  </si>
  <si>
    <t>ADIC562</t>
  </si>
  <si>
    <t>COMP07</t>
  </si>
  <si>
    <t>COMBO 7 - Para tardear</t>
  </si>
  <si>
    <t>BOW01</t>
  </si>
  <si>
    <t>DELI01</t>
  </si>
  <si>
    <t>MON202</t>
  </si>
  <si>
    <t>MON111</t>
  </si>
  <si>
    <t>MON330</t>
  </si>
  <si>
    <t>ENT03</t>
  </si>
  <si>
    <t>OTROS02</t>
  </si>
  <si>
    <t>Recipiente Chop suey</t>
  </si>
  <si>
    <t>MON123</t>
  </si>
  <si>
    <t>COMC04</t>
  </si>
  <si>
    <t>BOW03</t>
  </si>
  <si>
    <t>ADIC563</t>
  </si>
  <si>
    <t>Adición  Arroz Frito</t>
  </si>
  <si>
    <t>COMC05</t>
  </si>
  <si>
    <t>BOW08</t>
  </si>
  <si>
    <t>Kong Bowl grande</t>
  </si>
  <si>
    <t>MON450</t>
  </si>
  <si>
    <t>MON112</t>
  </si>
  <si>
    <t>ADIC490</t>
  </si>
  <si>
    <t>MON501</t>
  </si>
  <si>
    <t xml:space="preserve">Arroz vegetales camarones dúo </t>
  </si>
  <si>
    <t>COMC07</t>
  </si>
  <si>
    <t>MON321</t>
  </si>
  <si>
    <t>DELI05</t>
  </si>
  <si>
    <t xml:space="preserve">Valenciano familiar </t>
  </si>
  <si>
    <t>ADIC560</t>
  </si>
  <si>
    <t>BOW07</t>
  </si>
  <si>
    <t>ENT04</t>
  </si>
  <si>
    <t>MON130</t>
  </si>
  <si>
    <t>MON132</t>
  </si>
  <si>
    <t>RAPP04</t>
  </si>
  <si>
    <t>MON211</t>
  </si>
  <si>
    <t>RAPP02</t>
  </si>
  <si>
    <t>COMC06</t>
  </si>
  <si>
    <t>MON502</t>
  </si>
  <si>
    <t xml:space="preserve">Arroz vegetales especial dúo </t>
  </si>
  <si>
    <t>MON302</t>
  </si>
  <si>
    <t>MONE700</t>
  </si>
  <si>
    <t>MON100</t>
  </si>
  <si>
    <t>ADIC561</t>
  </si>
  <si>
    <t>MON320</t>
  </si>
  <si>
    <t>MON200</t>
  </si>
  <si>
    <t>MON301</t>
  </si>
  <si>
    <t>ADIC567</t>
  </si>
  <si>
    <t>BOW05</t>
  </si>
  <si>
    <t>Kumo Bowl grande</t>
  </si>
  <si>
    <t>MON500</t>
  </si>
  <si>
    <t>DES33</t>
  </si>
  <si>
    <t>Servilleta</t>
  </si>
  <si>
    <t>SUB18</t>
  </si>
  <si>
    <t>Salsa Agridulce Roja 10 Litros</t>
  </si>
  <si>
    <t>BEB555</t>
  </si>
  <si>
    <t>BEB580</t>
  </si>
  <si>
    <t>BEB581</t>
  </si>
  <si>
    <t>ADIC01</t>
  </si>
  <si>
    <t>Papas a la Francesa ADIC</t>
  </si>
  <si>
    <t>ATP01</t>
  </si>
  <si>
    <t>BEB582</t>
  </si>
  <si>
    <t>SUB16</t>
  </si>
  <si>
    <t>Papas a la Francesa Sub 60g</t>
  </si>
  <si>
    <t>SUB10</t>
  </si>
  <si>
    <t>Canasta ATP 225g Chop Suey Vegetales</t>
  </si>
  <si>
    <t>DES34</t>
  </si>
  <si>
    <t>Bolsa Acetato Cubiertos</t>
  </si>
  <si>
    <t>BEB583</t>
  </si>
  <si>
    <t>ATP02</t>
  </si>
  <si>
    <t>Camarones apanados 7</t>
  </si>
  <si>
    <t>SUB09</t>
  </si>
  <si>
    <t>Mezcla Apanado Cereal 1Kilo</t>
  </si>
  <si>
    <t>BEB584</t>
  </si>
  <si>
    <t>BEB585</t>
  </si>
  <si>
    <t>ADIC08</t>
  </si>
  <si>
    <t>Salsa agridulce Roja</t>
  </si>
  <si>
    <t>BEB586</t>
  </si>
  <si>
    <t>DES42</t>
  </si>
  <si>
    <t>Plato 26 cm Negro</t>
  </si>
  <si>
    <t>ATP09</t>
  </si>
  <si>
    <t>Res brócoli</t>
  </si>
  <si>
    <t>BEB587</t>
  </si>
  <si>
    <t>BEB588</t>
  </si>
  <si>
    <t>BEB589</t>
  </si>
  <si>
    <t>ADIC10</t>
  </si>
  <si>
    <t>BEB590</t>
  </si>
  <si>
    <t>SUB04</t>
  </si>
  <si>
    <t>Pollo 60g  Mong Express Chow Fan</t>
  </si>
  <si>
    <t>ADIC03</t>
  </si>
  <si>
    <t>Camarones</t>
  </si>
  <si>
    <t>SUB20</t>
  </si>
  <si>
    <t>Salsa Pollo a la Naranja</t>
  </si>
  <si>
    <t>ADIC09</t>
  </si>
  <si>
    <t>No deseo</t>
  </si>
  <si>
    <t>ADIC04</t>
  </si>
  <si>
    <t>Pollo picado</t>
  </si>
  <si>
    <t>BEB591</t>
  </si>
  <si>
    <t>BEB592</t>
  </si>
  <si>
    <t>DES46</t>
  </si>
  <si>
    <t>Bolsa Aluminio L23</t>
  </si>
  <si>
    <t>ATP04</t>
  </si>
  <si>
    <t>Chop suey</t>
  </si>
  <si>
    <t>SUB27</t>
  </si>
  <si>
    <t>ATP Arroz con Vegetales 200g</t>
  </si>
  <si>
    <t>DES31</t>
  </si>
  <si>
    <t>Tenedor Negro</t>
  </si>
  <si>
    <t>ADIC07</t>
  </si>
  <si>
    <t>Lumpia X 1</t>
  </si>
  <si>
    <t>SUB08</t>
  </si>
  <si>
    <t>Pollo Cortado de 80 gramos</t>
  </si>
  <si>
    <t>BEB593</t>
  </si>
  <si>
    <t>CAM03</t>
  </si>
  <si>
    <t>Cambio Papas a la francesa 150 grs</t>
  </si>
  <si>
    <t>ADIC11</t>
  </si>
  <si>
    <t>Salsa Teriyaki</t>
  </si>
  <si>
    <t>BEB594</t>
  </si>
  <si>
    <t>DES49</t>
  </si>
  <si>
    <t>Bolsa Papel 1 Lb</t>
  </si>
  <si>
    <t>DES40</t>
  </si>
  <si>
    <t>Plato 3 Compartimentos 26 cm Negro</t>
  </si>
  <si>
    <t>SUB01</t>
  </si>
  <si>
    <t>Fécula de Maíz 40ml</t>
  </si>
  <si>
    <t>ATP06</t>
  </si>
  <si>
    <t>Arroz Frito ATP</t>
  </si>
  <si>
    <t>DES52</t>
  </si>
  <si>
    <t>Bolsa T20</t>
  </si>
  <si>
    <t>SUB23</t>
  </si>
  <si>
    <t>Adobo Para Presas Pollo ya Cocinadas</t>
  </si>
  <si>
    <t>BEB595</t>
  </si>
  <si>
    <t>SUB24</t>
  </si>
  <si>
    <t>Carne de Res 80g</t>
  </si>
  <si>
    <t>DES53</t>
  </si>
  <si>
    <t>Copa 0.5</t>
  </si>
  <si>
    <t>SUB11</t>
  </si>
  <si>
    <t>Canasta ATP 110g Chow Mein Vegetales 110g</t>
  </si>
  <si>
    <t>ATP10</t>
  </si>
  <si>
    <t>Cerdo agridulce</t>
  </si>
  <si>
    <t>SUB02</t>
  </si>
  <si>
    <t>Sub Arroz Frito 3 Kilos</t>
  </si>
  <si>
    <t>ATP03</t>
  </si>
  <si>
    <t>Arroz vegetales</t>
  </si>
  <si>
    <t>DES37</t>
  </si>
  <si>
    <t>Caja Familiar</t>
  </si>
  <si>
    <t>BEB596</t>
  </si>
  <si>
    <t>SUB17</t>
  </si>
  <si>
    <t>Salsa Aceite Tomate Oregano 2 Litros</t>
  </si>
  <si>
    <t>ADIC06</t>
  </si>
  <si>
    <t>Arroz Frito ADIC</t>
  </si>
  <si>
    <t>BEB597</t>
  </si>
  <si>
    <t>BEB598</t>
  </si>
  <si>
    <t>SUB07</t>
  </si>
  <si>
    <t>Relleno para Lumpias 125Unid</t>
  </si>
  <si>
    <t>DES44</t>
  </si>
  <si>
    <t>Tarrina 32 Onzas</t>
  </si>
  <si>
    <t>BEB599</t>
  </si>
  <si>
    <t>BEB600</t>
  </si>
  <si>
    <t>BEB601</t>
  </si>
  <si>
    <t>BEB602</t>
  </si>
  <si>
    <t>Kola Roman  400 Ml CB</t>
  </si>
  <si>
    <t>SUB13</t>
  </si>
  <si>
    <t>Pasta 160 gr Unidad</t>
  </si>
  <si>
    <t>DES41</t>
  </si>
  <si>
    <t>Plato 23 cm Negro</t>
  </si>
  <si>
    <t>BEB603</t>
  </si>
  <si>
    <t>ADIC12</t>
  </si>
  <si>
    <t>Salsa Soya</t>
  </si>
  <si>
    <t>SUB25</t>
  </si>
  <si>
    <t>Carne de Cerdo 80 gr</t>
  </si>
  <si>
    <t>DES54</t>
  </si>
  <si>
    <t>Vaso 7 onzas</t>
  </si>
  <si>
    <t>DES38</t>
  </si>
  <si>
    <t>Caja Grande</t>
  </si>
  <si>
    <t>BEB604</t>
  </si>
  <si>
    <t>SUB19</t>
  </si>
  <si>
    <t>Salsa Agridulce Cerdo 1,5 litros</t>
  </si>
  <si>
    <t>SUB22</t>
  </si>
  <si>
    <t>Adobo para Pollo Entero</t>
  </si>
  <si>
    <t>BEB605</t>
  </si>
  <si>
    <t>BEB606</t>
  </si>
  <si>
    <t>Agua Normal  600 Ml CB</t>
  </si>
  <si>
    <t>SUB21</t>
  </si>
  <si>
    <t>Salsa Color Caramelo 5 Litros</t>
  </si>
  <si>
    <t>SUB15</t>
  </si>
  <si>
    <t>Arroz Blanco Diana 4,8 kilos</t>
  </si>
  <si>
    <t>ADIC02</t>
  </si>
  <si>
    <t>Pollo presa ADIC</t>
  </si>
  <si>
    <t>DES51</t>
  </si>
  <si>
    <t>Contenedor KJ 23</t>
  </si>
  <si>
    <t>DES39</t>
  </si>
  <si>
    <t>Bolsa T30</t>
  </si>
  <si>
    <t>BEB607</t>
  </si>
  <si>
    <t>BEB608</t>
  </si>
  <si>
    <t>DES47</t>
  </si>
  <si>
    <t>Bolsa T25</t>
  </si>
  <si>
    <t>ATP08</t>
  </si>
  <si>
    <t>Pollo Apanado ATP</t>
  </si>
  <si>
    <t>BEB609</t>
  </si>
  <si>
    <t>Fusetea Limon CB</t>
  </si>
  <si>
    <t>BEB610</t>
  </si>
  <si>
    <t>SUB03</t>
  </si>
  <si>
    <t>Pollo Apanado Sub 60g</t>
  </si>
  <si>
    <t>SUB12</t>
  </si>
  <si>
    <t>Canasta Vegetales PE de 145g Mong, Ming, Ling, Sinkee, Arroz Vegetables</t>
  </si>
  <si>
    <t>ADIC05</t>
  </si>
  <si>
    <t>Vegetales salteados</t>
  </si>
  <si>
    <t>DES48</t>
  </si>
  <si>
    <t>Bolsa T40</t>
  </si>
  <si>
    <t>BEB611</t>
  </si>
  <si>
    <t>Jugo Del Valle Mandarina CB</t>
  </si>
  <si>
    <t>BEB612</t>
  </si>
  <si>
    <t>Jugo del valle naranja CB</t>
  </si>
  <si>
    <t>BEB613</t>
  </si>
  <si>
    <t>DES36</t>
  </si>
  <si>
    <t>Caja Duo</t>
  </si>
  <si>
    <t>DES35</t>
  </si>
  <si>
    <t>Caja Personal</t>
  </si>
  <si>
    <t>ATP05</t>
  </si>
  <si>
    <t>Chow mein</t>
  </si>
  <si>
    <t>DES50</t>
  </si>
  <si>
    <t>Contenedor J 2</t>
  </si>
  <si>
    <t>ATP07</t>
  </si>
  <si>
    <t>Pollo presa ATP</t>
  </si>
  <si>
    <t>SUB06</t>
  </si>
  <si>
    <t>Masa para Lumpias 80Unid</t>
  </si>
  <si>
    <t>DES43</t>
  </si>
  <si>
    <t>Tarrina 24 Onzas</t>
  </si>
  <si>
    <t>SUB26</t>
  </si>
  <si>
    <t>Pollo Presa Sub 1 Unid</t>
  </si>
  <si>
    <t>BEB614</t>
  </si>
  <si>
    <t>Coca Cola 400 Ml Normal AB</t>
  </si>
  <si>
    <t>SUB14</t>
  </si>
  <si>
    <t>Arroz Blanco Federal 4,8 kilos</t>
  </si>
  <si>
    <t>DES32</t>
  </si>
  <si>
    <t>Cuchillo Negro</t>
  </si>
  <si>
    <t>DES45</t>
  </si>
  <si>
    <t xml:space="preserve">Bolsa Hermética 5x5 </t>
  </si>
  <si>
    <t>CAM04</t>
  </si>
  <si>
    <t>Lumpia cambio</t>
  </si>
  <si>
    <t>BEB615</t>
  </si>
  <si>
    <t>Premio 400 Ml CB</t>
  </si>
  <si>
    <t>BEB616</t>
  </si>
  <si>
    <t>BEB617</t>
  </si>
  <si>
    <t>BEB618</t>
  </si>
  <si>
    <t>Fusetea manzana CB</t>
  </si>
  <si>
    <t>BEB619</t>
  </si>
  <si>
    <t>Coca Cola 1,5 litros CB</t>
  </si>
  <si>
    <t>BEB620</t>
  </si>
  <si>
    <t>BEB622</t>
  </si>
  <si>
    <t>Kola Roman  400 Ml AB</t>
  </si>
  <si>
    <t>BEB623</t>
  </si>
  <si>
    <t>Sprite 400 Ml AB</t>
  </si>
  <si>
    <t>BEB624</t>
  </si>
  <si>
    <t>BEB625</t>
  </si>
  <si>
    <t>Agua Normal  600 Ml AB</t>
  </si>
  <si>
    <t>BEB626</t>
  </si>
  <si>
    <t>Agua Gas 600 Ml AB</t>
  </si>
  <si>
    <t>BEB627</t>
  </si>
  <si>
    <t>Agua Limón 600 Ml AB</t>
  </si>
  <si>
    <t>BEB628</t>
  </si>
  <si>
    <t>Fusetea Limon AB</t>
  </si>
  <si>
    <t>BEB629</t>
  </si>
  <si>
    <t>Fusetea Durazno AB</t>
  </si>
  <si>
    <t>BEB630</t>
  </si>
  <si>
    <t>Jugo Del Valle Mandarina AB</t>
  </si>
  <si>
    <t>BEB631</t>
  </si>
  <si>
    <t>Jugo del valle naranja AB</t>
  </si>
  <si>
    <t>BEB632</t>
  </si>
  <si>
    <t>BEB633</t>
  </si>
  <si>
    <t>Coca Cola 250 Ml Zero AB</t>
  </si>
  <si>
    <t>BEB634</t>
  </si>
  <si>
    <t>Premio 400 Ml AB</t>
  </si>
  <si>
    <t>BEB635</t>
  </si>
  <si>
    <t>Agua Manzana 600 Ml AB</t>
  </si>
  <si>
    <t>BEB636</t>
  </si>
  <si>
    <t>Fusetea mango AB</t>
  </si>
  <si>
    <t>BEB637</t>
  </si>
  <si>
    <t>Fusetea manzana AB</t>
  </si>
  <si>
    <t>BEB638</t>
  </si>
  <si>
    <t>BEB639</t>
  </si>
  <si>
    <t>Agua 280 ml AB</t>
  </si>
  <si>
    <t>Otro</t>
  </si>
  <si>
    <t>Combo</t>
  </si>
  <si>
    <t>Adobo</t>
  </si>
  <si>
    <t>Cantidad</t>
  </si>
  <si>
    <t>Valor Venta</t>
  </si>
  <si>
    <t>Descuentos</t>
  </si>
  <si>
    <t>Pollo a la naranja (*Extra)</t>
  </si>
  <si>
    <t>Cerdo agridulce (*Extra)</t>
  </si>
  <si>
    <t>Coca Cola 250 Ml Zero CB (*Extra)</t>
  </si>
  <si>
    <t>Arroz Frito ATP (*Extra)</t>
  </si>
  <si>
    <t>Coca Cola 250 Ml Normal CB (*Extra)</t>
  </si>
  <si>
    <t>Camarones apanados 7 (*Extra)</t>
  </si>
  <si>
    <t>Agua 280 ml CB (*Extra)</t>
  </si>
  <si>
    <t>Res brócoli (*Extra)</t>
  </si>
  <si>
    <t>Chop suey (*Extra)</t>
  </si>
  <si>
    <t>Arroz vegetales (*Extra)</t>
  </si>
  <si>
    <t>Chow mein (*Extra)</t>
  </si>
  <si>
    <t>No deseo (*Extra)</t>
  </si>
  <si>
    <t>Pollo Apanado ATP (*Extra)</t>
  </si>
  <si>
    <t>Pollo presa ATP (*Extra)</t>
  </si>
  <si>
    <t>Lumpia cambio (*Extra)</t>
  </si>
  <si>
    <t>Salsa agridulce Roja (*Extra)</t>
  </si>
  <si>
    <t>Camarones (*Extra)</t>
  </si>
  <si>
    <t>Salsa Soya (*Extra)</t>
  </si>
  <si>
    <t>Cambio Papas a la francesa 150 grs (*Extra)</t>
  </si>
  <si>
    <t>Coca Cola 400 Ml Normal CB (*Extra)</t>
  </si>
  <si>
    <t>Quatro 400 Ml CB (*Extra)</t>
  </si>
  <si>
    <t>Sprite 400 Ml CB (*Extra)</t>
  </si>
  <si>
    <t>Agua Gas 600 Ml CB (*Extra)</t>
  </si>
  <si>
    <t>Pollo presa ADIC (*Extra)</t>
  </si>
  <si>
    <t>Arroz Frito ADIC (*Extra)</t>
  </si>
  <si>
    <t>Fusetea Limon CB (*Extra)</t>
  </si>
  <si>
    <t>Salsa Teriyaki (*Extra)</t>
  </si>
  <si>
    <t>Pollo picado (*Extra)</t>
  </si>
  <si>
    <t>Agua Manzana 600 Ml CB (*Extra)</t>
  </si>
  <si>
    <t>Kola Roman 400 Ml CB (*Extra)</t>
  </si>
  <si>
    <t>Agua Limón 600 Ml CB (*Extra)</t>
  </si>
  <si>
    <t>Jugo Del Valle Mandarina CB (*Extra)</t>
  </si>
  <si>
    <t>Fusetea mango CB (*Extra)</t>
  </si>
  <si>
    <t>Fusetea Durazno CB (*Extra)</t>
  </si>
  <si>
    <t>Coca Cola 400 Ml Normal AB (*Extra)</t>
  </si>
  <si>
    <t>Jugo del valle naranja CB (*Extra)</t>
  </si>
  <si>
    <t>Agua Normal 600 Ml CB (*Extra)</t>
  </si>
  <si>
    <t>Premio 400 Ml CB (*Extra)</t>
  </si>
  <si>
    <t>Coca Cola 400 Ml Zero CB (*Extra)</t>
  </si>
  <si>
    <t>Cubiertos + servilletas (*Extra)</t>
  </si>
  <si>
    <t>Kola Roman 400 Ml AB (*Extra)</t>
  </si>
  <si>
    <t>Fusetea manzana CB (*Extra)</t>
  </si>
  <si>
    <t>Fusetea Limon AB (*Extra)</t>
  </si>
  <si>
    <t>Bolsa Acetato Cubiertos (*Extra)</t>
  </si>
  <si>
    <t>Todas</t>
  </si>
  <si>
    <t>Default</t>
  </si>
  <si>
    <t>Rappi</t>
  </si>
  <si>
    <t>Delivery</t>
  </si>
  <si>
    <t>Moongcook</t>
  </si>
  <si>
    <t>Toda la empresa</t>
  </si>
  <si>
    <t>No usar este</t>
  </si>
  <si>
    <t>UNIDAD DE NEGOCIO</t>
  </si>
  <si>
    <t>VENTA</t>
  </si>
  <si>
    <t>DESCUENTO</t>
  </si>
  <si>
    <t>RAPPI</t>
  </si>
  <si>
    <t>DELIVERY</t>
  </si>
  <si>
    <t>usar</t>
  </si>
  <si>
    <t>ESTE CASO ES ENERO DE 2026</t>
  </si>
  <si>
    <t>DICIEMBRE</t>
  </si>
  <si>
    <t>ENERO</t>
  </si>
  <si>
    <t>Agua Limón 600 Ml AB (*Extra)</t>
  </si>
  <si>
    <t>Coca Cola 400 Ml Zero AB (*Extra)</t>
  </si>
  <si>
    <t>Vegetales salteados (*Extra)</t>
  </si>
  <si>
    <t>Coca Cola 250 Ml Normal AB (*Extra)</t>
  </si>
  <si>
    <t>NOVIEMBRE</t>
  </si>
  <si>
    <t>Quatro 400 Ml AB (*Extra)</t>
  </si>
  <si>
    <t>Coca Cola 1,5 litros CB COMBOSCOM (*Extra)</t>
  </si>
  <si>
    <t>Total general</t>
  </si>
  <si>
    <t>Suma de VENTA</t>
  </si>
  <si>
    <t>PUNTO DE VENTA</t>
  </si>
  <si>
    <t>Bebidas Cambio de bebida</t>
  </si>
  <si>
    <t>Platos Especiales</t>
  </si>
  <si>
    <t>Bebidas Adiciona tu bebida</t>
  </si>
  <si>
    <t>OCTUBRE</t>
  </si>
  <si>
    <t>Coca Cola 1,5 litros AB (*Extra)</t>
  </si>
  <si>
    <t>SEPTIEMBRE</t>
  </si>
  <si>
    <t>AGOSTO</t>
  </si>
  <si>
    <t>JULIO</t>
  </si>
  <si>
    <t>JUNIO</t>
  </si>
  <si>
    <t>MAYO</t>
  </si>
  <si>
    <t>Lumpia X 1 (*Extra)</t>
  </si>
  <si>
    <t>ERR RAPPI: Agua brisa 280 ml</t>
  </si>
  <si>
    <t>ERR RAPPI: Coca cola 400 ml</t>
  </si>
  <si>
    <t>ERR RAPPI: Coca cola zero 400 ml</t>
  </si>
  <si>
    <t>ERR RAPPI: Fuze tea durazno</t>
  </si>
  <si>
    <t>Papas a la Francesa ADIC (*Extra)</t>
  </si>
  <si>
    <t>ABRIL</t>
  </si>
  <si>
    <t>ERR RAPPI: Fuze tea limón</t>
  </si>
  <si>
    <t>MARZO</t>
  </si>
  <si>
    <t>FEBRERO</t>
  </si>
  <si>
    <t>ERR RAPPI: Agua brisa nomal 600 ml</t>
  </si>
  <si>
    <t>Total 2025</t>
  </si>
  <si>
    <t>Total 2026</t>
  </si>
  <si>
    <t>Mauricio</t>
  </si>
  <si>
    <t>hoy</t>
  </si>
  <si>
    <t>diferencia</t>
  </si>
  <si>
    <t>PLATOS PERSONALES / COMBOS</t>
  </si>
  <si>
    <t>PRECIO</t>
  </si>
  <si>
    <t>% CANT</t>
  </si>
  <si>
    <t>% PRECIO</t>
  </si>
  <si>
    <t>PLATOS PERSONALES /  PLATOS ESPECIALES</t>
  </si>
  <si>
    <t>PLATOS PERSONALES BOWLS</t>
  </si>
  <si>
    <t>PLATOS PERSONALES CAJAS</t>
  </si>
  <si>
    <t>TOTAL</t>
  </si>
  <si>
    <t>PLATOS PERSONALES</t>
  </si>
  <si>
    <t>PLATOS NO PERSONALES/ COMBOS</t>
  </si>
  <si>
    <t>PLATOS NO PERSONALES/  PLATOS ESPECIALES</t>
  </si>
  <si>
    <t>PLATOS NO PERSONALESBOWLS</t>
  </si>
  <si>
    <t xml:space="preserve"> </t>
  </si>
  <si>
    <t>PLATOS NO PERSONALESCAJAS</t>
  </si>
  <si>
    <t>Familia</t>
  </si>
  <si>
    <t xml:space="preserve">Cantidad es = a numero de platos </t>
  </si>
  <si>
    <t xml:space="preserve">precio = valor del plato </t>
  </si>
  <si>
    <t xml:space="preserve">costo = valor de producirlo </t>
  </si>
  <si>
    <t>ESTE SEGUNDO DASHBOARD ES EL VERSUS ENTRE PUNTO DE VENTA/ DELIVERY/RAPPI</t>
  </si>
  <si>
    <r>
      <rPr>
        <b/>
        <sz val="11"/>
        <color theme="1"/>
        <rFont val="Aptos Narrow"/>
        <scheme val="minor"/>
      </rPr>
      <t>PUNTO DE VENTA</t>
    </r>
    <r>
      <rPr>
        <sz val="11"/>
        <color theme="1"/>
        <rFont val="Aptos Narrow"/>
        <family val="2"/>
        <scheme val="minor"/>
      </rPr>
      <t xml:space="preserve"> </t>
    </r>
  </si>
  <si>
    <t>PLATOS  PARA COMPARTIR</t>
  </si>
  <si>
    <t>PLATOS PARA COMPARTIR</t>
  </si>
  <si>
    <t>ESTE PRIMER DASHBOARD ES EL VERSUS ENTRE PERSONALES Y NO PERSONALES /PARA COMPARTIR</t>
  </si>
  <si>
    <t>PLATOS NO PERSONALES BOWLS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</si>
</sst>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* #,##0_-;\-* #,##0_-;_-* &quot;-&quot;??_-;_-@_-"/>
    <numFmt numFmtId="166" formatCode="_-&quot;$&quot;\ * #,##0_-;\-&quot;$&quot;\ * #,##0_-;_-&quot;$&quot;\ * &quot;-&quot;??_-;_-@_-"/>
    <numFmt numFmtId="167" formatCode="0.0%"/>
    <numFmt numFmtId="168" formatCode="_(* #,##0_);_(* \(#,##0\);_(* &quot;-&quot;??_);_(@_)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medium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0">
    <xf numFmtId="0" fontId="0" fillId="0" borderId="0" xfId="0"/>
    <xf numFmtId="165" fontId="18" fillId="33" borderId="0" xfId="1" applyNumberFormat="1" applyFont="1" applyFill="1" applyAlignment="1">
      <alignment horizontal="center" vertical="center" wrapText="1"/>
    </xf>
    <xf numFmtId="166" fontId="18" fillId="33" borderId="0" xfId="2" applyNumberFormat="1" applyFont="1" applyFill="1" applyAlignment="1">
      <alignment horizontal="center" vertical="center" wrapText="1"/>
    </xf>
    <xf numFmtId="165" fontId="18" fillId="34" borderId="0" xfId="1" applyNumberFormat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19" fillId="33" borderId="0" xfId="0" applyFont="1" applyFill="1" applyAlignment="1">
      <alignment horizontal="center" vertical="center"/>
    </xf>
    <xf numFmtId="166" fontId="0" fillId="0" borderId="0" xfId="2" applyNumberFormat="1" applyFont="1"/>
    <xf numFmtId="0" fontId="0" fillId="35" borderId="0" xfId="0" applyFill="1"/>
    <xf numFmtId="3" fontId="0" fillId="0" borderId="0" xfId="0" applyNumberFormat="1"/>
    <xf numFmtId="166" fontId="0" fillId="35" borderId="0" xfId="2" applyNumberFormat="1" applyFont="1" applyFill="1"/>
    <xf numFmtId="9" fontId="0" fillId="0" borderId="0" xfId="3" applyFont="1" applyAlignment="1">
      <alignment horizontal="center"/>
    </xf>
    <xf numFmtId="0" fontId="21" fillId="33" borderId="0" xfId="0" applyFont="1" applyFill="1" applyAlignment="1">
      <alignment horizontal="center" wrapText="1"/>
    </xf>
    <xf numFmtId="165" fontId="18" fillId="33" borderId="0" xfId="1" applyNumberFormat="1" applyFont="1" applyFill="1" applyAlignment="1">
      <alignment horizontal="left" vertical="center" wrapText="1"/>
    </xf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  <xf numFmtId="166" fontId="0" fillId="38" borderId="0" xfId="2" applyNumberFormat="1" applyFont="1" applyFill="1"/>
    <xf numFmtId="167" fontId="0" fillId="0" borderId="0" xfId="3" applyNumberFormat="1" applyFont="1" applyAlignment="1">
      <alignment horizontal="center"/>
    </xf>
    <xf numFmtId="0" fontId="20" fillId="0" borderId="0" xfId="0" applyFont="1" applyAlignment="1">
      <alignment wrapText="1"/>
    </xf>
    <xf numFmtId="49" fontId="20" fillId="0" borderId="0" xfId="0" applyNumberFormat="1" applyFont="1" applyAlignment="1">
      <alignment wrapText="1"/>
    </xf>
    <xf numFmtId="3" fontId="20" fillId="0" borderId="0" xfId="0" applyNumberFormat="1" applyFont="1" applyAlignment="1">
      <alignment wrapText="1"/>
    </xf>
    <xf numFmtId="0" fontId="0" fillId="0" borderId="0" xfId="0" applyAlignment="1">
      <alignment horizontal="right"/>
    </xf>
    <xf numFmtId="0" fontId="16" fillId="37" borderId="10" xfId="0" applyFont="1" applyFill="1" applyBorder="1" applyAlignment="1">
      <alignment horizontal="center"/>
    </xf>
    <xf numFmtId="166" fontId="0" fillId="0" borderId="19" xfId="2" applyNumberFormat="1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166" fontId="0" fillId="0" borderId="13" xfId="2" applyNumberFormat="1" applyFont="1" applyBorder="1" applyAlignment="1">
      <alignment horizontal="center" vertical="center"/>
    </xf>
    <xf numFmtId="168" fontId="0" fillId="36" borderId="11" xfId="0" applyNumberFormat="1" applyFill="1" applyBorder="1"/>
    <xf numFmtId="0" fontId="0" fillId="0" borderId="17" xfId="0" applyBorder="1" applyAlignment="1">
      <alignment horizontal="center" vertical="center"/>
    </xf>
    <xf numFmtId="9" fontId="0" fillId="0" borderId="14" xfId="3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165" fontId="0" fillId="0" borderId="18" xfId="1" applyNumberFormat="1" applyFont="1" applyBorder="1" applyAlignment="1">
      <alignment horizontal="center" vertical="center"/>
    </xf>
    <xf numFmtId="165" fontId="0" fillId="0" borderId="12" xfId="1" applyNumberFormat="1" applyFont="1" applyBorder="1" applyAlignment="1">
      <alignment horizontal="center" vertical="center"/>
    </xf>
    <xf numFmtId="9" fontId="0" fillId="0" borderId="13" xfId="3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168" fontId="13" fillId="33" borderId="11" xfId="0" applyNumberFormat="1" applyFont="1" applyFill="1" applyBorder="1"/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9" fontId="0" fillId="0" borderId="19" xfId="3" applyFont="1" applyBorder="1" applyAlignment="1">
      <alignment horizontal="center" vertical="center"/>
    </xf>
    <xf numFmtId="9" fontId="0" fillId="0" borderId="25" xfId="3" applyFont="1" applyBorder="1" applyAlignment="1">
      <alignment horizontal="center" vertical="center"/>
    </xf>
    <xf numFmtId="0" fontId="0" fillId="38" borderId="0" xfId="0" applyFill="1"/>
    <xf numFmtId="0" fontId="0" fillId="39" borderId="0" xfId="0" applyFill="1"/>
    <xf numFmtId="166" fontId="0" fillId="39" borderId="0" xfId="2" applyNumberFormat="1" applyFont="1" applyFill="1"/>
    <xf numFmtId="0" fontId="19" fillId="41" borderId="0" xfId="0" applyFont="1" applyFill="1" applyAlignment="1">
      <alignment horizontal="center" vertical="center"/>
    </xf>
    <xf numFmtId="166" fontId="0" fillId="0" borderId="0" xfId="2" applyNumberFormat="1" applyFont="1" applyBorder="1" applyAlignment="1">
      <alignment horizontal="center" vertical="center"/>
    </xf>
    <xf numFmtId="0" fontId="0" fillId="0" borderId="27" xfId="0" applyBorder="1"/>
    <xf numFmtId="0" fontId="0" fillId="0" borderId="18" xfId="0" applyBorder="1"/>
    <xf numFmtId="0" fontId="0" fillId="0" borderId="29" xfId="0" applyBorder="1" applyAlignment="1">
      <alignment horizontal="center"/>
    </xf>
    <xf numFmtId="0" fontId="0" fillId="0" borderId="28" xfId="0" applyBorder="1" applyAlignment="1">
      <alignment horizontal="center"/>
    </xf>
    <xf numFmtId="165" fontId="0" fillId="0" borderId="15" xfId="1" applyNumberFormat="1" applyFont="1" applyBorder="1" applyAlignment="1">
      <alignment horizontal="center" vertical="center"/>
    </xf>
    <xf numFmtId="166" fontId="0" fillId="0" borderId="30" xfId="2" applyNumberFormat="1" applyFont="1" applyBorder="1" applyAlignment="1">
      <alignment horizontal="center" vertical="center"/>
    </xf>
    <xf numFmtId="0" fontId="22" fillId="36" borderId="0" xfId="0" applyFont="1" applyFill="1"/>
    <xf numFmtId="0" fontId="22" fillId="36" borderId="32" xfId="0" applyFont="1" applyFill="1" applyBorder="1"/>
    <xf numFmtId="0" fontId="22" fillId="36" borderId="33" xfId="0" applyFont="1" applyFill="1" applyBorder="1"/>
    <xf numFmtId="0" fontId="22" fillId="36" borderId="34" xfId="0" applyFont="1" applyFill="1" applyBorder="1"/>
    <xf numFmtId="0" fontId="0" fillId="0" borderId="35" xfId="0" applyBorder="1"/>
    <xf numFmtId="0" fontId="22" fillId="36" borderId="36" xfId="0" applyFont="1" applyFill="1" applyBorder="1"/>
    <xf numFmtId="0" fontId="0" fillId="36" borderId="34" xfId="0" applyFill="1" applyBorder="1"/>
    <xf numFmtId="0" fontId="0" fillId="0" borderId="43" xfId="0" applyBorder="1"/>
    <xf numFmtId="165" fontId="0" fillId="0" borderId="0" xfId="1" applyNumberFormat="1" applyFont="1" applyBorder="1" applyAlignment="1">
      <alignment horizontal="center" vertical="center"/>
    </xf>
    <xf numFmtId="9" fontId="0" fillId="0" borderId="0" xfId="3" applyFont="1" applyBorder="1" applyAlignment="1">
      <alignment horizontal="center" vertical="center"/>
    </xf>
    <xf numFmtId="166" fontId="0" fillId="0" borderId="14" xfId="2" applyNumberFormat="1" applyFont="1" applyBorder="1" applyAlignment="1">
      <alignment horizontal="center" vertical="center"/>
    </xf>
    <xf numFmtId="165" fontId="0" fillId="0" borderId="30" xfId="1" applyNumberFormat="1" applyFont="1" applyBorder="1" applyAlignment="1">
      <alignment horizontal="center" vertical="center"/>
    </xf>
    <xf numFmtId="165" fontId="0" fillId="0" borderId="13" xfId="1" applyNumberFormat="1" applyFont="1" applyBorder="1" applyAlignment="1">
      <alignment horizontal="center" vertical="center"/>
    </xf>
    <xf numFmtId="166" fontId="0" fillId="0" borderId="24" xfId="2" applyNumberFormat="1" applyFont="1" applyBorder="1" applyAlignment="1">
      <alignment horizontal="center" vertical="center"/>
    </xf>
    <xf numFmtId="166" fontId="0" fillId="0" borderId="16" xfId="2" applyNumberFormat="1" applyFont="1" applyBorder="1" applyAlignment="1">
      <alignment horizontal="center" vertical="center"/>
    </xf>
    <xf numFmtId="0" fontId="0" fillId="39" borderId="12" xfId="0" applyFill="1" applyBorder="1" applyAlignment="1">
      <alignment horizontal="center" vertical="center"/>
    </xf>
    <xf numFmtId="0" fontId="0" fillId="39" borderId="13" xfId="0" applyFill="1" applyBorder="1" applyAlignment="1">
      <alignment horizontal="center" vertical="center"/>
    </xf>
    <xf numFmtId="0" fontId="0" fillId="39" borderId="14" xfId="0" applyFill="1" applyBorder="1" applyAlignment="1">
      <alignment horizontal="center" vertical="center"/>
    </xf>
    <xf numFmtId="0" fontId="16" fillId="39" borderId="12" xfId="0" applyFont="1" applyFill="1" applyBorder="1" applyAlignment="1">
      <alignment horizontal="center"/>
    </xf>
    <xf numFmtId="0" fontId="16" fillId="39" borderId="13" xfId="0" applyFont="1" applyFill="1" applyBorder="1" applyAlignment="1">
      <alignment horizontal="center"/>
    </xf>
    <xf numFmtId="0" fontId="16" fillId="39" borderId="14" xfId="0" applyFont="1" applyFill="1" applyBorder="1" applyAlignment="1">
      <alignment horizontal="center"/>
    </xf>
    <xf numFmtId="0" fontId="16" fillId="40" borderId="12" xfId="0" applyFont="1" applyFill="1" applyBorder="1" applyAlignment="1">
      <alignment horizontal="center"/>
    </xf>
    <xf numFmtId="0" fontId="16" fillId="40" borderId="13" xfId="0" applyFont="1" applyFill="1" applyBorder="1" applyAlignment="1">
      <alignment horizontal="center"/>
    </xf>
    <xf numFmtId="0" fontId="16" fillId="40" borderId="14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39" borderId="12" xfId="0" applyFill="1" applyBorder="1" applyAlignment="1">
      <alignment horizontal="center"/>
    </xf>
    <xf numFmtId="0" fontId="0" fillId="39" borderId="13" xfId="0" applyFill="1" applyBorder="1" applyAlignment="1">
      <alignment horizontal="center"/>
    </xf>
    <xf numFmtId="0" fontId="0" fillId="39" borderId="14" xfId="0" applyFill="1" applyBorder="1" applyAlignment="1">
      <alignment horizontal="center"/>
    </xf>
    <xf numFmtId="0" fontId="0" fillId="42" borderId="0" xfId="0" applyFill="1" applyAlignment="1">
      <alignment horizontal="center"/>
    </xf>
    <xf numFmtId="0" fontId="0" fillId="42" borderId="26" xfId="0" applyFill="1" applyBorder="1" applyAlignment="1">
      <alignment horizontal="center"/>
    </xf>
    <xf numFmtId="0" fontId="16" fillId="39" borderId="19" xfId="0" applyFont="1" applyFill="1" applyBorder="1" applyAlignment="1">
      <alignment horizontal="center"/>
    </xf>
    <xf numFmtId="0" fontId="23" fillId="39" borderId="40" xfId="0" applyFont="1" applyFill="1" applyBorder="1" applyAlignment="1">
      <alignment horizontal="center"/>
    </xf>
    <xf numFmtId="0" fontId="0" fillId="39" borderId="41" xfId="0" applyFill="1" applyBorder="1" applyAlignment="1">
      <alignment horizontal="center"/>
    </xf>
    <xf numFmtId="0" fontId="0" fillId="39" borderId="42" xfId="0" applyFill="1" applyBorder="1" applyAlignment="1">
      <alignment horizontal="center"/>
    </xf>
    <xf numFmtId="0" fontId="22" fillId="43" borderId="31" xfId="0" applyFont="1" applyFill="1" applyBorder="1" applyAlignment="1">
      <alignment horizontal="center"/>
    </xf>
    <xf numFmtId="0" fontId="23" fillId="40" borderId="37" xfId="0" applyFont="1" applyFill="1" applyBorder="1" applyAlignment="1">
      <alignment horizontal="center"/>
    </xf>
    <xf numFmtId="0" fontId="0" fillId="40" borderId="38" xfId="0" applyFill="1" applyBorder="1" applyAlignment="1">
      <alignment horizontal="center"/>
    </xf>
    <xf numFmtId="0" fontId="0" fillId="40" borderId="39" xfId="0" applyFill="1" applyBorder="1" applyAlignment="1">
      <alignment horizontal="center"/>
    </xf>
    <xf numFmtId="0" fontId="16" fillId="40" borderId="19" xfId="0" applyFont="1" applyFill="1" applyBorder="1" applyAlignment="1">
      <alignment horizontal="center"/>
    </xf>
    <xf numFmtId="0" fontId="24" fillId="40" borderId="37" xfId="0" applyFont="1" applyFill="1" applyBorder="1" applyAlignment="1">
      <alignment horizontal="center"/>
    </xf>
    <xf numFmtId="0" fontId="22" fillId="42" borderId="0" xfId="0" applyFont="1" applyFill="1" applyAlignment="1">
      <alignment horizontal="center"/>
    </xf>
  </cellXfs>
  <cellStyles count="45">
    <cellStyle name="20% - Énfasis1" xfId="22" builtinId="30" customBuiltin="1"/>
    <cellStyle name="20% - Énfasis2" xfId="26" builtinId="34" customBuiltin="1"/>
    <cellStyle name="20% - Énfasis3" xfId="30" builtinId="38" customBuiltin="1"/>
    <cellStyle name="20% - Énfasis4" xfId="34" builtinId="42" customBuiltin="1"/>
    <cellStyle name="20% - Énfasis5" xfId="38" builtinId="46" customBuiltin="1"/>
    <cellStyle name="20% - Énfasis6" xfId="42" builtinId="50" customBuiltin="1"/>
    <cellStyle name="40% - Énfasis1" xfId="23" builtinId="31" customBuiltin="1"/>
    <cellStyle name="40% - Énfasis2" xfId="27" builtinId="35" customBuiltin="1"/>
    <cellStyle name="40% - Énfasis3" xfId="31" builtinId="39" customBuiltin="1"/>
    <cellStyle name="40% - Énfasis4" xfId="35" builtinId="43" customBuiltin="1"/>
    <cellStyle name="40% - Énfasis5" xfId="39" builtinId="47" customBuiltin="1"/>
    <cellStyle name="40% - Énfasis6" xfId="43" builtinId="51" customBuiltin="1"/>
    <cellStyle name="60% - Énfasis1" xfId="24" builtinId="32" customBuiltin="1"/>
    <cellStyle name="60% - Énfasis2" xfId="28" builtinId="36" customBuiltin="1"/>
    <cellStyle name="60% - Énfasis3" xfId="32" builtinId="40" customBuiltin="1"/>
    <cellStyle name="60% - Énfasis4" xfId="36" builtinId="44" customBuiltin="1"/>
    <cellStyle name="60% - Énfasis5" xfId="40" builtinId="48" customBuiltin="1"/>
    <cellStyle name="60% - Énfasis6" xfId="44" builtinId="52" customBuiltin="1"/>
    <cellStyle name="Bueno" xfId="9" builtinId="26" customBuiltin="1"/>
    <cellStyle name="Cálculo" xfId="14" builtinId="22" customBuiltin="1"/>
    <cellStyle name="Celda de comprobación" xfId="16" builtinId="23" customBuiltin="1"/>
    <cellStyle name="Celda vinculada" xfId="15" builtinId="24" customBuiltin="1"/>
    <cellStyle name="Encabezado 1" xfId="5" builtinId="16" customBuiltin="1"/>
    <cellStyle name="Encabezado 4" xfId="8" builtinId="19" customBuiltin="1"/>
    <cellStyle name="Énfasis1" xfId="21" builtinId="29" customBuiltin="1"/>
    <cellStyle name="Énfasis2" xfId="25" builtinId="33" customBuiltin="1"/>
    <cellStyle name="Énfasis3" xfId="29" builtinId="37" customBuiltin="1"/>
    <cellStyle name="Énfasis4" xfId="33" builtinId="41" customBuiltin="1"/>
    <cellStyle name="Énfasis5" xfId="37" builtinId="45" customBuiltin="1"/>
    <cellStyle name="Énfasis6" xfId="41" builtinId="49" customBuiltin="1"/>
    <cellStyle name="Entrada" xfId="12" builtinId="20" customBuiltin="1"/>
    <cellStyle name="Incorrecto" xfId="10" builtinId="27" customBuiltin="1"/>
    <cellStyle name="Millares" xfId="1" builtinId="3"/>
    <cellStyle name="Moneda" xfId="2" builtinId="4"/>
    <cellStyle name="Neutral" xfId="11" builtinId="28" customBuiltin="1"/>
    <cellStyle name="Normal" xfId="0" builtinId="0"/>
    <cellStyle name="Notas" xfId="18" builtinId="10" customBuiltin="1"/>
    <cellStyle name="Porcentaje" xfId="3" builtinId="5"/>
    <cellStyle name="Salida" xfId="13" builtinId="21" customBuiltin="1"/>
    <cellStyle name="Texto de advertencia" xfId="17" builtinId="11" customBuiltin="1"/>
    <cellStyle name="Texto explicativo" xfId="19" builtinId="53" customBuiltin="1"/>
    <cellStyle name="Título" xfId="4" builtinId="15" customBuiltin="1"/>
    <cellStyle name="Título 2" xfId="6" builtinId="17" customBuiltin="1"/>
    <cellStyle name="Título 3" xfId="7" builtinId="18" customBuiltin="1"/>
    <cellStyle name="Total" xfId="20" builtinId="25" customBuiltin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" formatCode="#,##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" formatCode="#,##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numFmt numFmtId="165" formatCode="_-* #,##0_-;\-* #,##0_-;_-* &quot;-&quot;??_-;_-@_-"/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</dxf>
    <dxf>
      <numFmt numFmtId="166" formatCode="_-&quot;$&quot;\ * #,##0_-;\-&quot;$&quot;\ * #,##0_-;_-&quot;$&quot;\ * &quot;-&quot;??_-;_-@_-"/>
    </dxf>
  </dxfs>
  <tableStyles count="0" defaultTableStyle="TableStyleMedium2" defaultPivotStyle="PivotStyleLight16"/>
  <colors>
    <mruColors>
      <color rgb="FF77B3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0</xdr:row>
      <xdr:rowOff>57150</xdr:rowOff>
    </xdr:from>
    <xdr:to>
      <xdr:col>12</xdr:col>
      <xdr:colOff>190949</xdr:colOff>
      <xdr:row>13</xdr:row>
      <xdr:rowOff>159098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F880D5-EBB4-46B1-5E9C-67DD3AFB2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1150" y="57150"/>
          <a:ext cx="3219899" cy="249589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trid" refreshedDate="46072.519852430552" createdVersion="8" refreshedVersion="8" minRefreshableVersion="3" recordCount="2774" xr:uid="{083B8124-F382-4484-8452-F3B2DBC97FAF}">
  <cacheSource type="worksheet">
    <worksheetSource ref="A1:O2775" sheet="VENTAS X UND. NEG."/>
  </cacheSource>
  <cacheFields count="15">
    <cacheField name="AÑO" numFmtId="0">
      <sharedItems containsSemiMixedTypes="0" containsString="0" containsNumber="1" containsInteger="1" minValue="2025" maxValue="2026" count="2">
        <n v="2026"/>
        <n v="2025"/>
      </sharedItems>
    </cacheField>
    <cacheField name="MES" numFmtId="0">
      <sharedItems count="12">
        <s v="ENERO"/>
        <s v="DICIEMBRE"/>
        <s v="NOVIEMBRE"/>
        <s v="OCTUBRE"/>
        <s v="SEPTIEMBRE"/>
        <s v="AGOSTO"/>
        <s v="JULIO"/>
        <s v="JUNIO"/>
        <s v="MAYO"/>
        <s v="ABRIL"/>
        <s v="MARZO"/>
        <s v="FEBRERO"/>
      </sharedItems>
    </cacheField>
    <cacheField name="UNIDAD DE NEGOCIO" numFmtId="0">
      <sharedItems count="3">
        <s v="DELIVERY"/>
        <s v="PUNTO DE VENTA"/>
        <s v="RAPPI"/>
      </sharedItems>
    </cacheField>
    <cacheField name="ID" numFmtId="49">
      <sharedItems/>
    </cacheField>
    <cacheField name="PRODUCTO" numFmtId="0">
      <sharedItems/>
    </cacheField>
    <cacheField name="CANTIDAD" numFmtId="0">
      <sharedItems containsSemiMixedTypes="0" containsString="0" containsNumber="1" containsInteger="1" minValue="1" maxValue="321"/>
    </cacheField>
    <cacheField name="VENTA" numFmtId="0">
      <sharedItems containsSemiMixedTypes="0" containsString="0" containsNumber="1" containsInteger="1" minValue="0" maxValue="7661449"/>
    </cacheField>
    <cacheField name="DESCUENTO" numFmtId="0">
      <sharedItems containsSemiMixedTypes="0" containsString="0" containsNumber="1" containsInteger="1" minValue="-1273200" maxValue="0"/>
    </cacheField>
    <cacheField name="COSTO" numFmtId="0">
      <sharedItems containsSemiMixedTypes="0" containsString="0" containsNumber="1" containsInteger="1" minValue="0" maxValue="3090267"/>
    </cacheField>
    <cacheField name="UTILIDAD BRUTA" numFmtId="3">
      <sharedItems containsSemiMixedTypes="0" containsString="0" containsNumber="1" containsInteger="1" minValue="-960925" maxValue="6601304"/>
    </cacheField>
    <cacheField name="MARGEN BRUTO" numFmtId="9">
      <sharedItems containsSemiMixedTypes="0" containsString="0" containsNumber="1" minValue="-2.2072771872444807" maxValue="1"/>
    </cacheField>
    <cacheField name="% DCTO." numFmtId="167">
      <sharedItems containsSemiMixedTypes="0" containsString="0" containsNumber="1" minValue="0" maxValue="3.2127659574468086"/>
    </cacheField>
    <cacheField name="JERARQUIA" numFmtId="0">
      <sharedItems/>
    </cacheField>
    <cacheField name="TIPO" numFmtId="0">
      <sharedItems/>
    </cacheField>
    <cacheField name="EMPAQU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4">
  <r>
    <x v="0"/>
    <x v="0"/>
    <x v="0"/>
    <s v="MON101"/>
    <s v="Chow fan especial trio"/>
    <n v="47"/>
    <n v="1875300"/>
    <n v="0"/>
    <n v="942491"/>
    <n v="932809"/>
    <n v="0.49741854636591476"/>
    <n v="0"/>
    <s v="Platos mong"/>
    <s v="No Personal"/>
    <s v="Platos Especiales"/>
  </r>
  <r>
    <x v="0"/>
    <x v="0"/>
    <x v="0"/>
    <s v="COMP01"/>
    <s v="COMBO 1- Valenciano personal"/>
    <n v="39"/>
    <n v="932100"/>
    <n v="0"/>
    <n v="375453"/>
    <n v="556647"/>
    <n v="0.59719665271966527"/>
    <n v="0"/>
    <s v="Combos personales"/>
    <s v="Personal"/>
    <s v="Combo"/>
  </r>
  <r>
    <x v="0"/>
    <x v="0"/>
    <x v="0"/>
    <s v="ENT04"/>
    <s v="LUMPIAS X 2"/>
    <n v="38"/>
    <n v="331915"/>
    <n v="-6285"/>
    <n v="119282"/>
    <n v="212633"/>
    <n v="0.64062485877408371"/>
    <n v="1.8935570853983702E-2"/>
    <s v="Entradas"/>
    <s v="Otro"/>
    <s v="Otro"/>
  </r>
  <r>
    <x v="0"/>
    <x v="0"/>
    <x v="0"/>
    <s v="MON132"/>
    <s v="Chow Fan Valenciano familiar"/>
    <n v="38"/>
    <n v="2293853"/>
    <n v="-248347"/>
    <n v="1316890"/>
    <n v="976963"/>
    <n v="0.4259047986074086"/>
    <n v="0.10826631000330013"/>
    <s v="Platos mong"/>
    <s v="No Personal"/>
    <s v="Caja"/>
  </r>
  <r>
    <x v="0"/>
    <x v="0"/>
    <x v="0"/>
    <s v="MON102"/>
    <s v="Chow Fan Especial familiar"/>
    <n v="28"/>
    <n v="1390524"/>
    <n v="-6676"/>
    <n v="905828"/>
    <n v="484696"/>
    <n v="0.3485707546219986"/>
    <n v="4.8010677989017087E-3"/>
    <s v="Platos mong"/>
    <s v="No Personal"/>
    <s v="Caja"/>
  </r>
  <r>
    <x v="0"/>
    <x v="0"/>
    <x v="0"/>
    <s v="COMP02"/>
    <s v="COMBO 2 - Chow fan especial personal"/>
    <n v="28"/>
    <n v="725200"/>
    <n v="0"/>
    <n v="266028"/>
    <n v="459172"/>
    <n v="0.63316602316602322"/>
    <n v="0"/>
    <s v="Combos personales"/>
    <s v="Personal"/>
    <s v="Combo"/>
  </r>
  <r>
    <x v="0"/>
    <x v="0"/>
    <x v="0"/>
    <s v="MON450"/>
    <s v="Arma tu plato"/>
    <n v="22"/>
    <n v="545116"/>
    <n v="-2684"/>
    <n v="0"/>
    <n v="545116"/>
    <n v="1"/>
    <n v="4.9237226571958994E-3"/>
    <s v="Arma tu plato"/>
    <s v="Personal"/>
    <s v="Caja"/>
  </r>
  <r>
    <x v="0"/>
    <x v="0"/>
    <x v="0"/>
    <s v="ADIC564"/>
    <s v="Adición Presa de pollo"/>
    <n v="20"/>
    <n v="137505"/>
    <n v="-495"/>
    <n v="49280"/>
    <n v="88225"/>
    <n v="0.64161303225337263"/>
    <n v="3.5998690956692485E-3"/>
    <s v="Adición"/>
    <s v="Adición"/>
    <s v="Adición"/>
  </r>
  <r>
    <x v="0"/>
    <x v="0"/>
    <x v="0"/>
    <s v="COMP03"/>
    <s v="COMBO 3 - Chop suey especial personal"/>
    <n v="19"/>
    <n v="549100"/>
    <n v="0"/>
    <n v="181830"/>
    <n v="367270"/>
    <n v="0.66885813148788931"/>
    <n v="0"/>
    <s v="Combos personales"/>
    <s v="Personal"/>
    <s v="Combo"/>
  </r>
  <r>
    <x v="0"/>
    <x v="0"/>
    <x v="0"/>
    <s v="MON131"/>
    <s v="Chow Fan Valenciano trio"/>
    <n v="17"/>
    <n v="848300"/>
    <n v="0"/>
    <n v="319906"/>
    <n v="528394"/>
    <n v="0.62288577154308622"/>
    <n v="0"/>
    <s v="Platos mong"/>
    <s v="No Personal"/>
    <s v="Caja"/>
  </r>
  <r>
    <x v="0"/>
    <x v="0"/>
    <x v="0"/>
    <s v="COMC02"/>
    <s v="COMBO AMIGOS"/>
    <n v="17"/>
    <n v="915613"/>
    <n v="-687"/>
    <n v="401846"/>
    <n v="513767"/>
    <n v="0.56111807062590857"/>
    <n v="7.5031700074157967E-4"/>
    <s v="Combos para compartir"/>
    <s v="No Personal"/>
    <s v="Combo"/>
  </r>
  <r>
    <x v="0"/>
    <x v="0"/>
    <x v="0"/>
    <s v="BEB598"/>
    <s v="Coca Cola 1,5 litros"/>
    <n v="17"/>
    <n v="163818"/>
    <n v="-4482"/>
    <n v="76517"/>
    <n v="87301"/>
    <n v="0.53291457593182678"/>
    <n v="2.7359630809801121E-2"/>
    <s v="Bebidas"/>
    <s v="Bebidas"/>
    <s v="Bebidas"/>
  </r>
  <r>
    <x v="0"/>
    <x v="0"/>
    <x v="0"/>
    <s v="ATP01"/>
    <s v="Pollo a la naranja (*Extra)"/>
    <n v="16"/>
    <n v="0"/>
    <n v="0"/>
    <n v="87856"/>
    <n v="-87856"/>
    <n v="0"/>
    <n v="0"/>
    <s v="Arma tu plato"/>
    <s v="Personal"/>
    <s v="Caja"/>
  </r>
  <r>
    <x v="0"/>
    <x v="0"/>
    <x v="0"/>
    <s v="ADIC560"/>
    <s v="Adición Papa frita"/>
    <n v="16"/>
    <n v="93433"/>
    <n v="-967"/>
    <n v="65568"/>
    <n v="27865"/>
    <n v="0.29823509894790917"/>
    <n v="1.0349662324874508E-2"/>
    <s v="Adición"/>
    <s v="Adición"/>
    <s v="Adición"/>
  </r>
  <r>
    <x v="0"/>
    <x v="0"/>
    <x v="0"/>
    <s v="COMP05"/>
    <s v="COMBO 5 - Chow Mein especial personal"/>
    <n v="14"/>
    <n v="401800"/>
    <n v="-2800"/>
    <n v="157542"/>
    <n v="244258"/>
    <n v="0.60790940766550527"/>
    <n v="6.9686411149825784E-3"/>
    <s v="Combos personales"/>
    <s v="Personal"/>
    <s v="Combo"/>
  </r>
  <r>
    <x v="0"/>
    <x v="0"/>
    <x v="0"/>
    <s v="MON301"/>
    <s v="Chop Suey Especial trio"/>
    <n v="14"/>
    <n v="513655"/>
    <n v="-86945"/>
    <n v="158648"/>
    <n v="355007"/>
    <n v="0.6911389940718965"/>
    <n v="0.16926730977017648"/>
    <s v="Platos mong"/>
    <s v="No Personal"/>
    <s v="Caja"/>
  </r>
  <r>
    <x v="0"/>
    <x v="0"/>
    <x v="0"/>
    <s v="MON100"/>
    <s v="Chow Fan Especial Personal"/>
    <n v="14"/>
    <n v="278600"/>
    <n v="0"/>
    <n v="94752"/>
    <n v="183848"/>
    <n v="0.65989949748743715"/>
    <n v="0"/>
    <s v="Platos mong"/>
    <s v="Personal"/>
    <s v="Caja"/>
  </r>
  <r>
    <x v="0"/>
    <x v="0"/>
    <x v="0"/>
    <s v="MON320"/>
    <s v="Chop Suey Pollo Personal"/>
    <n v="12"/>
    <n v="226800"/>
    <n v="0"/>
    <n v="65532"/>
    <n v="161268"/>
    <n v="0.71105820105820106"/>
    <n v="0"/>
    <s v="Platos mong"/>
    <s v="Personal"/>
    <s v="Caja"/>
  </r>
  <r>
    <x v="0"/>
    <x v="0"/>
    <x v="0"/>
    <s v="MON300"/>
    <s v="Chop suey especial personal"/>
    <n v="12"/>
    <n v="250800"/>
    <n v="0"/>
    <n v="82056"/>
    <n v="168744"/>
    <n v="0.67282296650717699"/>
    <n v="0"/>
    <s v="Platos mong"/>
    <s v="Personal"/>
    <s v="Caja"/>
  </r>
  <r>
    <x v="0"/>
    <x v="0"/>
    <x v="0"/>
    <s v="MON121"/>
    <s v="Chow Fan Pollo trio"/>
    <n v="12"/>
    <n v="406800"/>
    <n v="0"/>
    <n v="170772"/>
    <n v="236028"/>
    <n v="0.58020648967551625"/>
    <n v="0"/>
    <s v="Platos mong"/>
    <s v="No Personal"/>
    <s v="Caja"/>
  </r>
  <r>
    <x v="0"/>
    <x v="0"/>
    <x v="0"/>
    <s v="MON110"/>
    <s v="Chow Fan Camarones Personal"/>
    <n v="11"/>
    <n v="251900"/>
    <n v="0"/>
    <n v="103444"/>
    <n v="148456"/>
    <n v="0.58934497816593889"/>
    <n v="0"/>
    <s v="Platos mong"/>
    <s v="Personal"/>
    <s v="Caja"/>
  </r>
  <r>
    <x v="0"/>
    <x v="0"/>
    <x v="0"/>
    <s v="ATP09"/>
    <s v="Res brócoli (*Extra)"/>
    <n v="11"/>
    <n v="0"/>
    <n v="0"/>
    <n v="36542"/>
    <n v="-36542"/>
    <n v="0"/>
    <n v="0"/>
    <s v="Arma tu plato"/>
    <s v="Personal"/>
    <s v="Caja"/>
  </r>
  <r>
    <x v="0"/>
    <x v="0"/>
    <x v="0"/>
    <s v="MON130"/>
    <s v="Chow Fan Valenciano Personal"/>
    <n v="11"/>
    <n v="240900"/>
    <n v="0"/>
    <n v="93104"/>
    <n v="147796"/>
    <n v="0.61351598173515987"/>
    <n v="0"/>
    <s v="Platos mong"/>
    <s v="Personal"/>
    <s v="Caja"/>
  </r>
  <r>
    <x v="0"/>
    <x v="0"/>
    <x v="0"/>
    <s v="BEB01"/>
    <s v="Coca Cola 250 Ml Normal CB (*Extra)"/>
    <n v="10"/>
    <n v="10000"/>
    <n v="0"/>
    <n v="19450"/>
    <n v="-9450"/>
    <n v="-0.94499999999999995"/>
    <n v="0"/>
    <s v="Bebidas"/>
    <s v="Bebidas Cambio de bebida"/>
    <s v="Bebidas"/>
  </r>
  <r>
    <x v="0"/>
    <x v="0"/>
    <x v="0"/>
    <s v="COMC04"/>
    <s v="COMBO FAMIAMIGOS"/>
    <n v="10"/>
    <n v="699000"/>
    <n v="0"/>
    <n v="392210"/>
    <n v="306790"/>
    <n v="0.43889842632331905"/>
    <n v="0"/>
    <s v="Combos para compartir"/>
    <s v="No Personal"/>
    <s v="Combo"/>
  </r>
  <r>
    <x v="0"/>
    <x v="0"/>
    <x v="0"/>
    <s v="MON120"/>
    <s v="Chow Fan Pollo Personal"/>
    <n v="9"/>
    <n v="143100"/>
    <n v="0"/>
    <n v="54576"/>
    <n v="88524"/>
    <n v="0.61861635220125788"/>
    <n v="0"/>
    <s v="Platos mong"/>
    <s v="Personal"/>
    <s v="Caja"/>
  </r>
  <r>
    <x v="0"/>
    <x v="0"/>
    <x v="0"/>
    <s v="ATP10"/>
    <s v="Cerdo agridulce (*Extra)"/>
    <n v="8"/>
    <n v="0"/>
    <n v="0"/>
    <n v="43736"/>
    <n v="-43736"/>
    <n v="0"/>
    <n v="0"/>
    <s v="Arma tu plato"/>
    <s v="Personal"/>
    <s v="Caja"/>
  </r>
  <r>
    <x v="0"/>
    <x v="0"/>
    <x v="0"/>
    <s v="ATP03"/>
    <s v="Arroz vegetales (*Extra)"/>
    <n v="7"/>
    <n v="14000"/>
    <n v="0"/>
    <n v="14245"/>
    <n v="-245"/>
    <n v="-1.7500000000000002E-2"/>
    <n v="0"/>
    <s v="Arma tu plato"/>
    <s v="Personal"/>
    <s v="Caja"/>
  </r>
  <r>
    <x v="0"/>
    <x v="0"/>
    <x v="0"/>
    <s v="ATP06"/>
    <s v="Arroz Frito ATP (*Extra)"/>
    <n v="7"/>
    <n v="0"/>
    <n v="0"/>
    <n v="8974"/>
    <n v="-8974"/>
    <n v="0"/>
    <n v="0"/>
    <s v="Arma tu plato"/>
    <s v="Personal"/>
    <s v="Caja"/>
  </r>
  <r>
    <x v="0"/>
    <x v="0"/>
    <x v="0"/>
    <s v="ENT02"/>
    <s v="LUMPIA X 1"/>
    <n v="7"/>
    <n v="34384"/>
    <n v="-616"/>
    <n v="10983"/>
    <n v="23401"/>
    <n v="0.68057817589576552"/>
    <n v="1.7915309446254073E-2"/>
    <s v="Entradas"/>
    <s v="Otro"/>
    <s v="Otro"/>
  </r>
  <r>
    <x v="0"/>
    <x v="0"/>
    <x v="0"/>
    <s v="MON133"/>
    <s v="Chow fan valenciano megafamiliar"/>
    <n v="7"/>
    <n v="601300"/>
    <n v="0"/>
    <n v="340256"/>
    <n v="261044"/>
    <n v="0.4341327124563446"/>
    <n v="0"/>
    <s v="Platos mong"/>
    <s v="No Personal"/>
    <s v="Caja"/>
  </r>
  <r>
    <x v="0"/>
    <x v="0"/>
    <x v="0"/>
    <s v="ATP02"/>
    <s v="Camarones apanados 7 (*Extra)"/>
    <n v="6"/>
    <n v="11784"/>
    <n v="-216"/>
    <n v="18648"/>
    <n v="-6864"/>
    <n v="-0.58248472505091653"/>
    <n v="1.8329938900203666E-2"/>
    <s v="Arma tu plato"/>
    <s v="Personal"/>
    <s v="Caja"/>
  </r>
  <r>
    <x v="0"/>
    <x v="0"/>
    <x v="0"/>
    <s v="ATP04"/>
    <s v="Chop suey (*Extra)"/>
    <n v="6"/>
    <n v="0"/>
    <n v="0"/>
    <n v="15804"/>
    <n v="-15804"/>
    <n v="0"/>
    <n v="0"/>
    <s v="Arma tu plato"/>
    <s v="Personal"/>
    <s v="Caja"/>
  </r>
  <r>
    <x v="0"/>
    <x v="0"/>
    <x v="0"/>
    <s v="COMC06"/>
    <s v="COMBO FAMILIAR"/>
    <n v="6"/>
    <n v="581400"/>
    <n v="0"/>
    <n v="280680"/>
    <n v="300720"/>
    <n v="0.51723426212590295"/>
    <n v="0"/>
    <s v="Combos para compartir"/>
    <s v="No Personal"/>
    <s v="Combo"/>
  </r>
  <r>
    <x v="0"/>
    <x v="0"/>
    <x v="0"/>
    <s v="PESP04"/>
    <s v="SUN KEE"/>
    <n v="6"/>
    <n v="161400"/>
    <n v="0"/>
    <n v="81828"/>
    <n v="79572"/>
    <n v="0.4930111524163569"/>
    <n v="0"/>
    <s v="Platos especiales"/>
    <s v="Personal"/>
    <s v="Platos Especiales"/>
  </r>
  <r>
    <x v="0"/>
    <x v="0"/>
    <x v="0"/>
    <s v="BEB580"/>
    <s v="Coca Cola 250 Ml Normal"/>
    <n v="5"/>
    <n v="19500"/>
    <n v="0"/>
    <n v="5815"/>
    <n v="13685"/>
    <n v="0.70179487179487177"/>
    <n v="0"/>
    <s v="Bebidas"/>
    <s v="Bebidas"/>
    <s v="Bebidas"/>
  </r>
  <r>
    <x v="0"/>
    <x v="0"/>
    <x v="0"/>
    <s v="ENT03"/>
    <s v="CAMARONES APANADOS"/>
    <n v="5"/>
    <n v="84500"/>
    <n v="0"/>
    <n v="31075"/>
    <n v="53425"/>
    <n v="0.63224852071005921"/>
    <n v="0"/>
    <s v="Entradas"/>
    <s v="Otro"/>
    <s v="Otro"/>
  </r>
  <r>
    <x v="0"/>
    <x v="0"/>
    <x v="0"/>
    <s v="BEB581"/>
    <s v="Coca Cola 400 Ml Normal"/>
    <n v="5"/>
    <n v="29500"/>
    <n v="0"/>
    <n v="8475"/>
    <n v="21025"/>
    <n v="0.71271186440677969"/>
    <n v="0"/>
    <s v="Bebidas"/>
    <s v="Bebidas"/>
    <s v="Bebidas"/>
  </r>
  <r>
    <x v="0"/>
    <x v="0"/>
    <x v="0"/>
    <s v="MON111"/>
    <s v="Chow Fan Camarones trio"/>
    <n v="4"/>
    <n v="191600"/>
    <n v="0"/>
    <n v="83644"/>
    <n v="107956"/>
    <n v="0.56344467640918583"/>
    <n v="0"/>
    <s v="Platos mong"/>
    <s v="No Personal"/>
    <s v="Caja"/>
  </r>
  <r>
    <x v="0"/>
    <x v="0"/>
    <x v="0"/>
    <s v="MON122"/>
    <s v="Chow Fan Pollo familiar"/>
    <n v="4"/>
    <n v="167600"/>
    <n v="0"/>
    <n v="97020"/>
    <n v="70580"/>
    <n v="0.42112171837708828"/>
    <n v="0"/>
    <s v="Platos mong"/>
    <s v="No Personal"/>
    <s v="Caja"/>
  </r>
  <r>
    <x v="0"/>
    <x v="0"/>
    <x v="0"/>
    <s v="PESP02"/>
    <s v="MONG"/>
    <n v="4"/>
    <n v="74700"/>
    <n v="-24900"/>
    <n v="50872"/>
    <n v="23828"/>
    <n v="0.31898259705488619"/>
    <n v="0.33333333333333331"/>
    <s v="Platos especiales"/>
    <s v="Personal"/>
    <s v="Platos Especiales"/>
  </r>
  <r>
    <x v="0"/>
    <x v="0"/>
    <x v="0"/>
    <s v="ENT01"/>
    <s v="Deditos de Pollo"/>
    <n v="4"/>
    <n v="63600"/>
    <n v="0"/>
    <n v="40112"/>
    <n v="23488"/>
    <n v="0.36930817610062894"/>
    <n v="0"/>
    <s v="Entradas"/>
    <s v="Otro"/>
    <s v="Otro"/>
  </r>
  <r>
    <x v="0"/>
    <x v="0"/>
    <x v="0"/>
    <s v="BEB589"/>
    <s v="Fusetea Durazno"/>
    <n v="4"/>
    <n v="19600"/>
    <n v="0"/>
    <n v="6240"/>
    <n v="13360"/>
    <n v="0.68163265306122445"/>
    <n v="0"/>
    <s v="Bebidas"/>
    <s v="Bebidas"/>
    <s v="Bebidas"/>
  </r>
  <r>
    <x v="0"/>
    <x v="0"/>
    <x v="0"/>
    <s v="MON103"/>
    <s v="Chow Fan Especial megafamiliar"/>
    <n v="4"/>
    <n v="321600"/>
    <n v="-6000"/>
    <n v="170816"/>
    <n v="150784"/>
    <n v="0.46885572139303483"/>
    <n v="1.8656716417910446E-2"/>
    <s v="Platos mong"/>
    <s v="No Personal"/>
    <s v="Caja"/>
  </r>
  <r>
    <x v="0"/>
    <x v="0"/>
    <x v="0"/>
    <s v="MON302"/>
    <s v="Chop Suey Especial Familiar"/>
    <n v="4"/>
    <n v="231600"/>
    <n v="0"/>
    <n v="112228"/>
    <n v="119372"/>
    <n v="0.51542314335060446"/>
    <n v="0"/>
    <s v="Platos mong"/>
    <s v="No Personal"/>
    <s v="Caja"/>
  </r>
  <r>
    <x v="0"/>
    <x v="0"/>
    <x v="0"/>
    <s v="COMC07"/>
    <s v="COMBO ANTOJO"/>
    <n v="3"/>
    <n v="62700"/>
    <n v="0"/>
    <n v="23919"/>
    <n v="38781"/>
    <n v="0.61851674641148324"/>
    <n v="0"/>
    <s v="Combos para compartir"/>
    <s v="No Personal"/>
    <s v="Combo"/>
  </r>
  <r>
    <x v="0"/>
    <x v="0"/>
    <x v="0"/>
    <s v="MON321"/>
    <s v="Chop Suey Pollo trio"/>
    <n v="3"/>
    <n v="104700"/>
    <n v="0"/>
    <n v="33651"/>
    <n v="71049"/>
    <n v="0.67859598853868197"/>
    <n v="0"/>
    <s v="Platos mong"/>
    <s v="No Personal"/>
    <s v="Caja"/>
  </r>
  <r>
    <x v="0"/>
    <x v="0"/>
    <x v="0"/>
    <s v="BEB588"/>
    <s v="Fusetea Limon"/>
    <n v="3"/>
    <n v="14700"/>
    <n v="0"/>
    <n v="4680"/>
    <n v="10020"/>
    <n v="0.68163265306122445"/>
    <n v="0"/>
    <s v="Bebidas"/>
    <s v="Bebidas"/>
    <s v="Bebidas"/>
  </r>
  <r>
    <x v="0"/>
    <x v="0"/>
    <x v="0"/>
    <s v="MON200"/>
    <s v="Chow Mein Especial Personal"/>
    <n v="3"/>
    <n v="62700"/>
    <n v="0"/>
    <n v="25563"/>
    <n v="37137"/>
    <n v="0.59229665071770332"/>
    <n v="0"/>
    <s v="Platos mong"/>
    <s v="Personal"/>
    <s v="Caja"/>
  </r>
  <r>
    <x v="0"/>
    <x v="0"/>
    <x v="0"/>
    <s v="COMP04"/>
    <s v="COMBO 4 - arroz vegetales especial"/>
    <n v="3"/>
    <n v="89700"/>
    <n v="0"/>
    <n v="30741"/>
    <n v="58959"/>
    <n v="0.65729096989966551"/>
    <n v="0"/>
    <s v="Combos personales"/>
    <s v="Personal"/>
    <s v="Combo"/>
  </r>
  <r>
    <x v="0"/>
    <x v="0"/>
    <x v="0"/>
    <s v="ADIC565"/>
    <s v="Adición Camaron"/>
    <n v="3"/>
    <n v="20700"/>
    <n v="0"/>
    <n v="9324"/>
    <n v="11376"/>
    <n v="0.54956521739130437"/>
    <n v="0"/>
    <s v="Adición"/>
    <s v="Adición"/>
    <s v="Adición"/>
  </r>
  <r>
    <x v="0"/>
    <x v="0"/>
    <x v="0"/>
    <s v="ATP05"/>
    <s v="Chow mein (*Extra)"/>
    <n v="2"/>
    <n v="0"/>
    <n v="0"/>
    <n v="6194"/>
    <n v="-6194"/>
    <n v="0"/>
    <n v="0"/>
    <s v="Arma tu plato"/>
    <s v="Personal"/>
    <s v="Caja"/>
  </r>
  <r>
    <x v="0"/>
    <x v="0"/>
    <x v="0"/>
    <s v="BEB585"/>
    <s v="Agua Normal 600 Ml"/>
    <n v="2"/>
    <n v="9800"/>
    <n v="0"/>
    <n v="2190"/>
    <n v="7610"/>
    <n v="0.77653061224489794"/>
    <n v="0"/>
    <s v="Bebidas"/>
    <s v="Bebidas"/>
    <s v="Bebidas"/>
  </r>
  <r>
    <x v="0"/>
    <x v="0"/>
    <x v="0"/>
    <s v="CAM03"/>
    <s v="Cambio Papas a la francesa 150 grs (*Extra)"/>
    <n v="2"/>
    <n v="1000"/>
    <n v="0"/>
    <n v="3138"/>
    <n v="-2138"/>
    <n v="-2.1379999999999999"/>
    <n v="0"/>
    <s v="Adición"/>
    <s v="Otro"/>
    <s v="Otro"/>
  </r>
  <r>
    <x v="0"/>
    <x v="0"/>
    <x v="0"/>
    <s v="COMP10"/>
    <s v="COMBO - Lumpia y Coca Cola 250 ml"/>
    <n v="2"/>
    <n v="15800"/>
    <n v="0"/>
    <n v="0"/>
    <n v="15800"/>
    <n v="1"/>
    <n v="0"/>
    <s v="Armalo en combo"/>
    <s v="Personal"/>
    <s v="Combo"/>
  </r>
  <r>
    <x v="0"/>
    <x v="0"/>
    <x v="0"/>
    <s v="MONE701"/>
    <s v="Mong Express Chow fan"/>
    <n v="2"/>
    <n v="37800"/>
    <n v="-2000"/>
    <n v="0"/>
    <n v="37800"/>
    <n v="1"/>
    <n v="5.2910052910052907E-2"/>
    <s v="Mong Express"/>
    <s v="Personal"/>
    <s v="Caja"/>
  </r>
  <r>
    <x v="0"/>
    <x v="0"/>
    <x v="0"/>
    <s v="PESP05"/>
    <s v="WONG- Menú infantil"/>
    <n v="2"/>
    <n v="33800"/>
    <n v="0"/>
    <n v="14250"/>
    <n v="19550"/>
    <n v="0.57840236686390534"/>
    <n v="0"/>
    <s v="Platos especiales"/>
    <s v="Personal"/>
    <s v="Platos Especiales"/>
  </r>
  <r>
    <x v="0"/>
    <x v="0"/>
    <x v="0"/>
    <s v="ATP08"/>
    <s v="Pollo Apanado ATP (*Extra)"/>
    <n v="2"/>
    <n v="0"/>
    <n v="0"/>
    <n v="10526"/>
    <n v="-10526"/>
    <n v="0"/>
    <n v="0"/>
    <s v="Arma tu plato"/>
    <s v="Personal"/>
    <s v="Caja"/>
  </r>
  <r>
    <x v="0"/>
    <x v="0"/>
    <x v="0"/>
    <s v="PESP01"/>
    <s v="MING"/>
    <n v="2"/>
    <n v="57800"/>
    <n v="0"/>
    <n v="15210"/>
    <n v="42590"/>
    <n v="0.73685121107266438"/>
    <n v="0"/>
    <s v="Platos especiales"/>
    <s v="Personal"/>
    <s v="Platos Especiales"/>
  </r>
  <r>
    <x v="0"/>
    <x v="0"/>
    <x v="0"/>
    <s v="MON112"/>
    <s v="Chow Fan Camarones Familiar"/>
    <n v="2"/>
    <n v="103800"/>
    <n v="0"/>
    <n v="57630"/>
    <n v="46170"/>
    <n v="0.44479768786127166"/>
    <n v="0"/>
    <s v="Platos mong"/>
    <s v="No Personal"/>
    <s v="Caja"/>
  </r>
  <r>
    <x v="0"/>
    <x v="0"/>
    <x v="0"/>
    <s v="ADIC566"/>
    <s v="Pollo a la naranja"/>
    <n v="1"/>
    <n v="7900"/>
    <n v="0"/>
    <n v="0"/>
    <n v="7900"/>
    <n v="1"/>
    <n v="0"/>
    <s v="Adición"/>
    <s v="Adición"/>
    <s v="Adición"/>
  </r>
  <r>
    <x v="0"/>
    <x v="0"/>
    <x v="0"/>
    <s v="BEB587"/>
    <s v="Agua Limón 600 Ml"/>
    <n v="1"/>
    <n v="4900"/>
    <n v="0"/>
    <n v="1373"/>
    <n v="3527"/>
    <n v="0.71979591836734691"/>
    <n v="0"/>
    <s v="Bebidas"/>
    <s v="Bebidas"/>
    <s v="Bebidas"/>
  </r>
  <r>
    <x v="0"/>
    <x v="0"/>
    <x v="0"/>
    <s v="COMP11"/>
    <s v="COMBO - Lumpia y agua 280 ML"/>
    <n v="1"/>
    <n v="7900"/>
    <n v="0"/>
    <n v="0"/>
    <n v="7900"/>
    <n v="1"/>
    <n v="0"/>
    <s v="Armalo en combo"/>
    <s v="Personal"/>
    <s v="Combo"/>
  </r>
  <r>
    <x v="0"/>
    <x v="0"/>
    <x v="0"/>
    <s v="BEB595"/>
    <s v="Agua Manzana 600 Ml"/>
    <n v="1"/>
    <n v="4900"/>
    <n v="0"/>
    <n v="1373"/>
    <n v="3527"/>
    <n v="0.71979591836734691"/>
    <n v="0"/>
    <s v="Bebidas"/>
    <s v="Bebidas"/>
    <s v="Bebidas"/>
  </r>
  <r>
    <x v="0"/>
    <x v="0"/>
    <x v="0"/>
    <s v="BOW01"/>
    <s v="Tao Bowl mini"/>
    <n v="1"/>
    <n v="17900"/>
    <n v="0"/>
    <n v="0"/>
    <n v="17900"/>
    <n v="1"/>
    <n v="0"/>
    <s v="Bowl"/>
    <s v="Personal"/>
    <s v="Bowl"/>
  </r>
  <r>
    <x v="0"/>
    <x v="0"/>
    <x v="0"/>
    <s v="BEB583"/>
    <s v="Sprite 400 Ml"/>
    <n v="1"/>
    <n v="4900"/>
    <n v="0"/>
    <n v="1330"/>
    <n v="3570"/>
    <n v="0.72857142857142854"/>
    <n v="0"/>
    <s v="Bebidas"/>
    <s v="Bebidas"/>
    <s v="Bebidas"/>
  </r>
  <r>
    <x v="0"/>
    <x v="0"/>
    <x v="0"/>
    <s v="MON330"/>
    <s v="Chop Suey Vegetariano Personal"/>
    <n v="1"/>
    <n v="17900"/>
    <n v="0"/>
    <n v="5466"/>
    <n v="12434"/>
    <n v="0.69463687150837994"/>
    <n v="0"/>
    <s v="Platos mong"/>
    <s v="Personal"/>
    <s v="Caja"/>
  </r>
  <r>
    <x v="0"/>
    <x v="0"/>
    <x v="0"/>
    <s v="MON210"/>
    <s v="Chow Mein Camaron Personal"/>
    <n v="1"/>
    <n v="24900"/>
    <n v="0"/>
    <n v="10481"/>
    <n v="14419"/>
    <n v="0.57907630522088349"/>
    <n v="0"/>
    <s v="Platos mong"/>
    <s v="Personal"/>
    <s v="Caja"/>
  </r>
  <r>
    <x v="0"/>
    <x v="0"/>
    <x v="0"/>
    <s v="COMP08"/>
    <s v="COMBO - Papas 120 grs y Coca Cola 250 ml"/>
    <n v="1"/>
    <n v="7900"/>
    <n v="0"/>
    <n v="3212"/>
    <n v="4688"/>
    <n v="0.59341772151898731"/>
    <n v="0"/>
    <s v="Armalo en combo"/>
    <s v="Personal"/>
    <s v="Combo"/>
  </r>
  <r>
    <x v="0"/>
    <x v="0"/>
    <x v="0"/>
    <s v="BEB609"/>
    <s v="Fusetea Limon CB (*Extra)"/>
    <n v="1"/>
    <n v="1600"/>
    <n v="0"/>
    <n v="1874"/>
    <n v="-274"/>
    <n v="-0.17125000000000001"/>
    <n v="0"/>
    <s v="Bebidas"/>
    <s v="Bebidas Cambio de bebida"/>
    <s v="Bebidas"/>
  </r>
  <r>
    <x v="0"/>
    <x v="0"/>
    <x v="0"/>
    <s v="BEB586"/>
    <s v="Agua Gas 600 Ml"/>
    <n v="1"/>
    <n v="4900"/>
    <n v="0"/>
    <n v="1288"/>
    <n v="3612"/>
    <n v="0.7371428571428571"/>
    <n v="0"/>
    <s v="Bebidas"/>
    <s v="Bebidas"/>
    <s v="Bebidas"/>
  </r>
  <r>
    <x v="0"/>
    <x v="0"/>
    <x v="0"/>
    <s v="MON202"/>
    <s v="Chow Mein Especial Familiar"/>
    <n v="1"/>
    <n v="57900"/>
    <n v="0"/>
    <n v="37744"/>
    <n v="20156"/>
    <n v="0.34811744386873922"/>
    <n v="0"/>
    <s v="Platos mong"/>
    <s v="No Personal"/>
    <s v="Caja"/>
  </r>
  <r>
    <x v="0"/>
    <x v="0"/>
    <x v="0"/>
    <s v="BEB594"/>
    <s v="Premio 400 Ml"/>
    <n v="1"/>
    <n v="4900"/>
    <n v="0"/>
    <n v="1330"/>
    <n v="3570"/>
    <n v="0.72857142857142854"/>
    <n v="0"/>
    <s v="Bebidas"/>
    <s v="Bebidas"/>
    <s v="Bebidas"/>
  </r>
  <r>
    <x v="0"/>
    <x v="0"/>
    <x v="0"/>
    <s v="BEB620"/>
    <s v="Agua 280 ml CB (*Extra)"/>
    <n v="1"/>
    <n v="0"/>
    <n v="0"/>
    <n v="868"/>
    <n v="-868"/>
    <n v="0"/>
    <n v="0"/>
    <s v="Bebidas"/>
    <s v="Bebidas Cambio de bebida"/>
    <s v="Bebidas"/>
  </r>
  <r>
    <x v="0"/>
    <x v="0"/>
    <x v="0"/>
    <s v="PESP03"/>
    <s v="LING"/>
    <n v="1"/>
    <n v="26900"/>
    <n v="0"/>
    <n v="13567"/>
    <n v="13333"/>
    <n v="0.49565055762081783"/>
    <n v="0"/>
    <s v="Platos especiales"/>
    <s v="Personal"/>
    <s v="Platos Especiales"/>
  </r>
  <r>
    <x v="0"/>
    <x v="0"/>
    <x v="0"/>
    <s v="BEB604"/>
    <s v="Sprite 400 Ml CB (*Extra)"/>
    <n v="1"/>
    <n v="1600"/>
    <n v="0"/>
    <n v="1516"/>
    <n v="84"/>
    <n v="5.2499999999999998E-2"/>
    <n v="0"/>
    <s v="Bebidas"/>
    <s v="Bebidas Cambio de bebida"/>
    <s v="Bebidas"/>
  </r>
  <r>
    <x v="0"/>
    <x v="0"/>
    <x v="0"/>
    <s v="ADIC490"/>
    <s v="Adicion - Pollo en trozos"/>
    <n v="1"/>
    <n v="6900"/>
    <n v="0"/>
    <n v="2245"/>
    <n v="4655"/>
    <n v="0.67463768115942024"/>
    <n v="0"/>
    <s v="Adición"/>
    <s v="Adición"/>
    <s v="Adición"/>
  </r>
  <r>
    <x v="0"/>
    <x v="0"/>
    <x v="0"/>
    <s v="BEB592"/>
    <s v="Coca Cola 400 Ml Zero"/>
    <n v="1"/>
    <n v="5900"/>
    <n v="0"/>
    <n v="1448"/>
    <n v="4452"/>
    <n v="0.75457627118644066"/>
    <n v="0"/>
    <s v="Bebidas"/>
    <s v="Bebidas"/>
    <s v="Bebidas"/>
  </r>
  <r>
    <x v="0"/>
    <x v="0"/>
    <x v="0"/>
    <s v="ADIC567"/>
    <s v="cerdo agridulce"/>
    <n v="1"/>
    <n v="7900"/>
    <n v="0"/>
    <n v="0"/>
    <n v="7900"/>
    <n v="1"/>
    <n v="0"/>
    <s v="Adición"/>
    <s v="Adición"/>
    <s v="Adición"/>
  </r>
  <r>
    <x v="1"/>
    <x v="1"/>
    <x v="0"/>
    <s v="COMP01"/>
    <s v="COMBO 1- Valenciano personal"/>
    <n v="63"/>
    <n v="1479500"/>
    <n v="-26200"/>
    <n v="606501"/>
    <n v="872999"/>
    <n v="0.5900635349780331"/>
    <n v="1.7708685366677933E-2"/>
    <s v="Combos personales"/>
    <s v="Personal"/>
    <s v="Combo"/>
  </r>
  <r>
    <x v="1"/>
    <x v="1"/>
    <x v="0"/>
    <s v="MON132"/>
    <s v="Chow Fan Valenciano familiar"/>
    <n v="63"/>
    <n v="3966283"/>
    <n v="-248417"/>
    <n v="2183265"/>
    <n v="1783018"/>
    <n v="0.44954381722131276"/>
    <n v="6.2632192407853907E-2"/>
    <s v="Platos mong"/>
    <s v="No Personal"/>
    <s v="Caja"/>
  </r>
  <r>
    <x v="1"/>
    <x v="1"/>
    <x v="0"/>
    <s v="ENT04"/>
    <s v="LUMPIAS X 2"/>
    <n v="55"/>
    <n v="471375"/>
    <n v="-17718"/>
    <n v="172645"/>
    <n v="298730"/>
    <n v="0.63374171307345528"/>
    <n v="3.7587907716785995E-2"/>
    <s v="Entradas"/>
    <s v="Otro"/>
    <s v="Otro"/>
  </r>
  <r>
    <x v="1"/>
    <x v="1"/>
    <x v="0"/>
    <s v="MON101"/>
    <s v="Chow fan especial trio"/>
    <n v="35"/>
    <n v="1387904"/>
    <n v="-8596"/>
    <n v="701855"/>
    <n v="686049"/>
    <n v="0.4943058021304067"/>
    <n v="6.193511943189154E-3"/>
    <s v="Platos mong"/>
    <s v="No Personal"/>
    <s v="Platos Especiales"/>
  </r>
  <r>
    <x v="1"/>
    <x v="1"/>
    <x v="0"/>
    <s v="MON301"/>
    <s v="Chop Suey Especial trio"/>
    <n v="32"/>
    <n v="1213184"/>
    <n v="-154623"/>
    <n v="362624"/>
    <n v="850560"/>
    <n v="0.70109727790673138"/>
    <n v="0.12745222488921715"/>
    <s v="Platos mong"/>
    <s v="No Personal"/>
    <s v="Caja"/>
  </r>
  <r>
    <x v="1"/>
    <x v="1"/>
    <x v="0"/>
    <s v="MON450"/>
    <s v="Arma tu plato"/>
    <n v="27"/>
    <n v="622500"/>
    <n v="-49800"/>
    <n v="0"/>
    <n v="622500"/>
    <n v="1"/>
    <n v="0.08"/>
    <s v="Arma tu plato"/>
    <s v="Personal"/>
    <s v="Caja"/>
  </r>
  <r>
    <x v="1"/>
    <x v="1"/>
    <x v="0"/>
    <s v="MON102"/>
    <s v="Chow Fan Especial familiar"/>
    <n v="22"/>
    <n v="1097800"/>
    <n v="0"/>
    <n v="711722"/>
    <n v="386078"/>
    <n v="0.35168336673346695"/>
    <n v="0"/>
    <s v="Platos mong"/>
    <s v="No Personal"/>
    <s v="Caja"/>
  </r>
  <r>
    <x v="1"/>
    <x v="1"/>
    <x v="0"/>
    <s v="BEB598"/>
    <s v="Coca Cola 1,5 litros"/>
    <n v="20"/>
    <n v="195423"/>
    <n v="-2577"/>
    <n v="90020"/>
    <n v="105403"/>
    <n v="0.53935821269758422"/>
    <n v="1.3186779447659691E-2"/>
    <s v="Bebidas"/>
    <s v="Bebidas"/>
    <s v="Bebidas"/>
  </r>
  <r>
    <x v="1"/>
    <x v="1"/>
    <x v="0"/>
    <s v="MON131"/>
    <s v="Chow Fan Valenciano trio"/>
    <n v="20"/>
    <n v="998000"/>
    <n v="0"/>
    <n v="376360"/>
    <n v="621640"/>
    <n v="0.62288577154308622"/>
    <n v="0"/>
    <s v="Platos mong"/>
    <s v="No Personal"/>
    <s v="Caja"/>
  </r>
  <r>
    <x v="1"/>
    <x v="1"/>
    <x v="0"/>
    <s v="ADIC564"/>
    <s v="Adición Presa de pollo"/>
    <n v="14"/>
    <n v="94556"/>
    <n v="-2044"/>
    <n v="34496"/>
    <n v="60060"/>
    <n v="0.63517915309446249"/>
    <n v="2.1616819662422269E-2"/>
    <s v="Adición"/>
    <s v="Adición"/>
    <s v="Adición"/>
  </r>
  <r>
    <x v="1"/>
    <x v="1"/>
    <x v="0"/>
    <s v="ADIC560"/>
    <s v="Adición Papa frita"/>
    <n v="13"/>
    <n v="76700"/>
    <n v="0"/>
    <n v="53274"/>
    <n v="23426"/>
    <n v="0.30542372881355934"/>
    <n v="0"/>
    <s v="Adición"/>
    <s v="Adición"/>
    <s v="Adición"/>
  </r>
  <r>
    <x v="1"/>
    <x v="1"/>
    <x v="0"/>
    <s v="COMP05"/>
    <s v="COMBO 5 - Chow Mein especial personal"/>
    <n v="13"/>
    <n v="375700"/>
    <n v="0"/>
    <n v="146289"/>
    <n v="229411"/>
    <n v="0.61062283737024226"/>
    <n v="0"/>
    <s v="Combos personales"/>
    <s v="Personal"/>
    <s v="Combo"/>
  </r>
  <r>
    <x v="1"/>
    <x v="1"/>
    <x v="0"/>
    <s v="COMP02"/>
    <s v="COMBO 2 - Chow fan especial personal"/>
    <n v="13"/>
    <n v="336700"/>
    <n v="0"/>
    <n v="123513"/>
    <n v="213187"/>
    <n v="0.63316602316602322"/>
    <n v="0"/>
    <s v="Combos personales"/>
    <s v="Personal"/>
    <s v="Combo"/>
  </r>
  <r>
    <x v="1"/>
    <x v="1"/>
    <x v="0"/>
    <s v="ATP03"/>
    <s v="Arroz vegetales (*Extra)"/>
    <n v="13"/>
    <n v="24000"/>
    <n v="-2000"/>
    <n v="26455"/>
    <n v="-2455"/>
    <n v="-0.10229166666666667"/>
    <n v="8.3333333333333329E-2"/>
    <s v="Arma tu plato"/>
    <s v="Personal"/>
    <s v="Caja"/>
  </r>
  <r>
    <x v="1"/>
    <x v="1"/>
    <x v="0"/>
    <s v="ATP01"/>
    <s v="Pollo a la naranja (*Extra)"/>
    <n v="13"/>
    <n v="0"/>
    <n v="0"/>
    <n v="71383"/>
    <n v="-71383"/>
    <n v="0"/>
    <n v="0"/>
    <s v="Arma tu plato"/>
    <s v="Personal"/>
    <s v="Caja"/>
  </r>
  <r>
    <x v="1"/>
    <x v="1"/>
    <x v="0"/>
    <s v="COMP03"/>
    <s v="COMBO 3 - Chop suey especial personal"/>
    <n v="12"/>
    <n v="343800"/>
    <n v="-3000"/>
    <n v="114840"/>
    <n v="228960"/>
    <n v="0.6659685863874345"/>
    <n v="8.7260034904013961E-3"/>
    <s v="Combos personales"/>
    <s v="Personal"/>
    <s v="Combo"/>
  </r>
  <r>
    <x v="1"/>
    <x v="1"/>
    <x v="0"/>
    <s v="MON300"/>
    <s v="Chop suey especial personal"/>
    <n v="12"/>
    <n v="250800"/>
    <n v="0"/>
    <n v="82056"/>
    <n v="168744"/>
    <n v="0.67282296650717699"/>
    <n v="0"/>
    <s v="Platos mong"/>
    <s v="Personal"/>
    <s v="Caja"/>
  </r>
  <r>
    <x v="1"/>
    <x v="1"/>
    <x v="0"/>
    <s v="MON121"/>
    <s v="Chow Fan Pollo trio"/>
    <n v="12"/>
    <n v="402323"/>
    <n v="-4477"/>
    <n v="170772"/>
    <n v="231551"/>
    <n v="0.57553508002276776"/>
    <n v="1.1127874866711572E-2"/>
    <s v="Platos mong"/>
    <s v="No Personal"/>
    <s v="Caja"/>
  </r>
  <r>
    <x v="1"/>
    <x v="1"/>
    <x v="0"/>
    <s v="ATP09"/>
    <s v="Res brócoli (*Extra)"/>
    <n v="12"/>
    <n v="0"/>
    <n v="0"/>
    <n v="39864"/>
    <n v="-39864"/>
    <n v="0"/>
    <n v="0"/>
    <s v="Arma tu plato"/>
    <s v="Personal"/>
    <s v="Caja"/>
  </r>
  <r>
    <x v="1"/>
    <x v="1"/>
    <x v="0"/>
    <s v="MON100"/>
    <s v="Chow Fan Especial Personal"/>
    <n v="11"/>
    <n v="216502"/>
    <n v="-2398"/>
    <n v="74448"/>
    <n v="142054"/>
    <n v="0.65613250685905899"/>
    <n v="1.1076110151407378E-2"/>
    <s v="Platos mong"/>
    <s v="Personal"/>
    <s v="Caja"/>
  </r>
  <r>
    <x v="1"/>
    <x v="1"/>
    <x v="0"/>
    <s v="ATP10"/>
    <s v="Cerdo agridulce (*Extra)"/>
    <n v="11"/>
    <n v="0"/>
    <n v="0"/>
    <n v="60137"/>
    <n v="-60137"/>
    <n v="0"/>
    <n v="0"/>
    <s v="Arma tu plato"/>
    <s v="Personal"/>
    <s v="Caja"/>
  </r>
  <r>
    <x v="1"/>
    <x v="1"/>
    <x v="0"/>
    <s v="ATP02"/>
    <s v="Camarones apanados 7 (*Extra)"/>
    <n v="10"/>
    <n v="18000"/>
    <n v="-2000"/>
    <n v="31080"/>
    <n v="-13080"/>
    <n v="-0.72666666666666668"/>
    <n v="0.1111111111111111"/>
    <s v="Arma tu plato"/>
    <s v="Personal"/>
    <s v="Caja"/>
  </r>
  <r>
    <x v="1"/>
    <x v="1"/>
    <x v="0"/>
    <s v="COMC02"/>
    <s v="COMBO AMIGOS"/>
    <n v="8"/>
    <n v="425900"/>
    <n v="-5300"/>
    <n v="189104"/>
    <n v="236796"/>
    <n v="0.55598966893637003"/>
    <n v="1.2444235736088284E-2"/>
    <s v="Combos para compartir"/>
    <s v="No Personal"/>
    <s v="Combo"/>
  </r>
  <r>
    <x v="1"/>
    <x v="1"/>
    <x v="0"/>
    <s v="BEB585"/>
    <s v="Agua Normal 600 Ml"/>
    <n v="8"/>
    <n v="34300"/>
    <n v="-4900"/>
    <n v="8760"/>
    <n v="25540"/>
    <n v="0.74460641399416905"/>
    <n v="0.14285714285714285"/>
    <s v="Bebidas"/>
    <s v="Bebidas"/>
    <s v="Bebidas"/>
  </r>
  <r>
    <x v="1"/>
    <x v="1"/>
    <x v="0"/>
    <s v="MON130"/>
    <s v="Chow Fan Valenciano Personal"/>
    <n v="7"/>
    <n v="131400"/>
    <n v="-21900"/>
    <n v="59248"/>
    <n v="72152"/>
    <n v="0.54910197869101973"/>
    <n v="0.16666666666666666"/>
    <s v="Platos mong"/>
    <s v="Personal"/>
    <s v="Caja"/>
  </r>
  <r>
    <x v="1"/>
    <x v="1"/>
    <x v="0"/>
    <s v="COMC04"/>
    <s v="COMBO FAMIAMIGOS"/>
    <n v="7"/>
    <n v="489300"/>
    <n v="0"/>
    <n v="274547"/>
    <n v="214753"/>
    <n v="0.43889842632331905"/>
    <n v="0"/>
    <s v="Combos para compartir"/>
    <s v="No Personal"/>
    <s v="Combo"/>
  </r>
  <r>
    <x v="1"/>
    <x v="1"/>
    <x v="0"/>
    <s v="MON302"/>
    <s v="Chop Suey Especial Familiar"/>
    <n v="7"/>
    <n v="405300"/>
    <n v="0"/>
    <n v="196399"/>
    <n v="208901"/>
    <n v="0.51542314335060446"/>
    <n v="0"/>
    <s v="Platos mong"/>
    <s v="No Personal"/>
    <s v="Caja"/>
  </r>
  <r>
    <x v="1"/>
    <x v="1"/>
    <x v="0"/>
    <s v="ATP08"/>
    <s v="Pollo Apanado ATP (*Extra)"/>
    <n v="7"/>
    <n v="0"/>
    <n v="0"/>
    <n v="36841"/>
    <n v="-36841"/>
    <n v="0"/>
    <n v="0"/>
    <s v="Arma tu plato"/>
    <s v="Personal"/>
    <s v="Caja"/>
  </r>
  <r>
    <x v="1"/>
    <x v="1"/>
    <x v="0"/>
    <s v="ENT02"/>
    <s v="LUMPIA X 1"/>
    <n v="6"/>
    <n v="27562"/>
    <n v="-2438"/>
    <n v="9414"/>
    <n v="18148"/>
    <n v="0.65844278354255859"/>
    <n v="8.8455119367244761E-2"/>
    <s v="Entradas"/>
    <s v="Otro"/>
    <s v="Otro"/>
  </r>
  <r>
    <x v="1"/>
    <x v="1"/>
    <x v="0"/>
    <s v="COMC07"/>
    <s v="COMBO ANTOJO"/>
    <n v="6"/>
    <n v="125400"/>
    <n v="0"/>
    <n v="47838"/>
    <n v="77562"/>
    <n v="0.61851674641148324"/>
    <n v="0"/>
    <s v="Combos para compartir"/>
    <s v="No Personal"/>
    <s v="Combo"/>
  </r>
  <r>
    <x v="1"/>
    <x v="1"/>
    <x v="0"/>
    <s v="MON103"/>
    <s v="Chow Fan Especial megafamiliar"/>
    <n v="6"/>
    <n v="468020"/>
    <n v="-23380"/>
    <n v="256224"/>
    <n v="211796"/>
    <n v="0.4525362164010085"/>
    <n v="4.9955130122644333E-2"/>
    <s v="Platos mong"/>
    <s v="No Personal"/>
    <s v="Caja"/>
  </r>
  <r>
    <x v="1"/>
    <x v="1"/>
    <x v="0"/>
    <s v="ATP04"/>
    <s v="Chop suey (*Extra)"/>
    <n v="6"/>
    <n v="0"/>
    <n v="0"/>
    <n v="15804"/>
    <n v="-15804"/>
    <n v="0"/>
    <n v="0"/>
    <s v="Arma tu plato"/>
    <s v="Personal"/>
    <s v="Caja"/>
  </r>
  <r>
    <x v="1"/>
    <x v="1"/>
    <x v="0"/>
    <s v="MON120"/>
    <s v="Chow Fan Pollo Personal"/>
    <n v="6"/>
    <n v="95400"/>
    <n v="0"/>
    <n v="36384"/>
    <n v="59016"/>
    <n v="0.61861635220125788"/>
    <n v="0"/>
    <s v="Platos mong"/>
    <s v="Personal"/>
    <s v="Caja"/>
  </r>
  <r>
    <x v="1"/>
    <x v="1"/>
    <x v="0"/>
    <s v="BOW01"/>
    <s v="Tao Bowl mini"/>
    <n v="5"/>
    <n v="71600"/>
    <n v="-17900"/>
    <n v="0"/>
    <n v="71600"/>
    <n v="1"/>
    <n v="0.25"/>
    <s v="Bowl"/>
    <s v="Personal"/>
    <s v="Bowl"/>
  </r>
  <r>
    <x v="1"/>
    <x v="1"/>
    <x v="0"/>
    <s v="ADIC565"/>
    <s v="Adición Camaron"/>
    <n v="5"/>
    <n v="34500"/>
    <n v="0"/>
    <n v="15540"/>
    <n v="18960"/>
    <n v="0.54956521739130437"/>
    <n v="0"/>
    <s v="Adición"/>
    <s v="Adición"/>
    <s v="Adición"/>
  </r>
  <r>
    <x v="1"/>
    <x v="1"/>
    <x v="0"/>
    <s v="BEB580"/>
    <s v="Coca Cola 250 Ml Normal"/>
    <n v="5"/>
    <n v="19500"/>
    <n v="0"/>
    <n v="5815"/>
    <n v="13685"/>
    <n v="0.70179487179487177"/>
    <n v="0"/>
    <s v="Bebidas"/>
    <s v="Bebidas"/>
    <s v="Bebidas"/>
  </r>
  <r>
    <x v="1"/>
    <x v="1"/>
    <x v="0"/>
    <s v="MON133"/>
    <s v="Chow fan valenciano megafamiliar"/>
    <n v="5"/>
    <n v="429500"/>
    <n v="0"/>
    <n v="243040"/>
    <n v="186460"/>
    <n v="0.4341327124563446"/>
    <n v="0"/>
    <s v="Platos mong"/>
    <s v="No Personal"/>
    <s v="Caja"/>
  </r>
  <r>
    <x v="1"/>
    <x v="1"/>
    <x v="0"/>
    <s v="ENT03"/>
    <s v="CAMARONES APANADOS"/>
    <n v="5"/>
    <n v="84500"/>
    <n v="0"/>
    <n v="31075"/>
    <n v="53425"/>
    <n v="0.63224852071005921"/>
    <n v="0"/>
    <s v="Entradas"/>
    <s v="Otro"/>
    <s v="Otro"/>
  </r>
  <r>
    <x v="1"/>
    <x v="1"/>
    <x v="0"/>
    <s v="ADIC563"/>
    <s v="Adición Arroz Frito"/>
    <n v="5"/>
    <n v="29500"/>
    <n v="0"/>
    <n v="6410"/>
    <n v="23090"/>
    <n v="0.78271186440677964"/>
    <n v="0"/>
    <s v="Adición"/>
    <s v="Adición"/>
    <s v="Adición"/>
  </r>
  <r>
    <x v="1"/>
    <x v="1"/>
    <x v="0"/>
    <s v="PESP04"/>
    <s v="SUN KEE"/>
    <n v="5"/>
    <n v="134500"/>
    <n v="0"/>
    <n v="68190"/>
    <n v="66310"/>
    <n v="0.4930111524163569"/>
    <n v="0"/>
    <s v="Platos especiales"/>
    <s v="Personal"/>
    <s v="Platos Especiales"/>
  </r>
  <r>
    <x v="1"/>
    <x v="1"/>
    <x v="0"/>
    <s v="BEB620"/>
    <s v="Agua 280 ml CB (*Extra)"/>
    <n v="5"/>
    <n v="0"/>
    <n v="0"/>
    <n v="4340"/>
    <n v="-4340"/>
    <n v="0"/>
    <n v="0"/>
    <s v="Bebidas"/>
    <s v="Bebidas Cambio de bebida"/>
    <s v="Bebidas"/>
  </r>
  <r>
    <x v="1"/>
    <x v="1"/>
    <x v="0"/>
    <s v="MON320"/>
    <s v="Chop Suey Pollo Personal"/>
    <n v="5"/>
    <n v="94500"/>
    <n v="0"/>
    <n v="27305"/>
    <n v="67195"/>
    <n v="0.71105820105820106"/>
    <n v="0"/>
    <s v="Platos mong"/>
    <s v="Personal"/>
    <s v="Caja"/>
  </r>
  <r>
    <x v="1"/>
    <x v="1"/>
    <x v="0"/>
    <s v="BEB581"/>
    <s v="Coca Cola 400 Ml Normal"/>
    <n v="5"/>
    <n v="29500"/>
    <n v="0"/>
    <n v="8475"/>
    <n v="21025"/>
    <n v="0.71271186440677969"/>
    <n v="0"/>
    <s v="Bebidas"/>
    <s v="Bebidas"/>
    <s v="Bebidas"/>
  </r>
  <r>
    <x v="1"/>
    <x v="1"/>
    <x v="0"/>
    <s v="PESP02"/>
    <s v="MONG"/>
    <n v="5"/>
    <n v="99600"/>
    <n v="-24900"/>
    <n v="63590"/>
    <n v="36010"/>
    <n v="0.36154618473895583"/>
    <n v="0.25"/>
    <s v="Platos especiales"/>
    <s v="Personal"/>
    <s v="Platos Especiales"/>
  </r>
  <r>
    <x v="1"/>
    <x v="1"/>
    <x v="0"/>
    <s v="BEB01"/>
    <s v="Coca Cola 250 Ml Normal CB (*Extra)"/>
    <n v="5"/>
    <n v="5000"/>
    <n v="0"/>
    <n v="9725"/>
    <n v="-4725"/>
    <n v="-0.94499999999999995"/>
    <n v="0"/>
    <s v="Bebidas"/>
    <s v="Bebidas Cambio de bebida"/>
    <s v="Bebidas"/>
  </r>
  <r>
    <x v="1"/>
    <x v="1"/>
    <x v="0"/>
    <s v="ATP05"/>
    <s v="Chow mein (*Extra)"/>
    <n v="5"/>
    <n v="0"/>
    <n v="0"/>
    <n v="15485"/>
    <n v="-15485"/>
    <n v="0"/>
    <n v="0"/>
    <s v="Arma tu plato"/>
    <s v="Personal"/>
    <s v="Caja"/>
  </r>
  <r>
    <x v="1"/>
    <x v="1"/>
    <x v="0"/>
    <s v="MON122"/>
    <s v="Chow Fan Pollo familiar"/>
    <n v="4"/>
    <n v="167600"/>
    <n v="0"/>
    <n v="97020"/>
    <n v="70580"/>
    <n v="0.42112171837708828"/>
    <n v="0"/>
    <s v="Platos mong"/>
    <s v="No Personal"/>
    <s v="Caja"/>
  </r>
  <r>
    <x v="1"/>
    <x v="1"/>
    <x v="0"/>
    <s v="MON210"/>
    <s v="Chow Mein Camaron Personal"/>
    <n v="3"/>
    <n v="73893"/>
    <n v="-807"/>
    <n v="31443"/>
    <n v="42450"/>
    <n v="0.57447931468474689"/>
    <n v="1.0921196865738298E-2"/>
    <s v="Platos mong"/>
    <s v="Personal"/>
    <s v="Caja"/>
  </r>
  <r>
    <x v="1"/>
    <x v="1"/>
    <x v="0"/>
    <s v="COMP04"/>
    <s v="COMBO 4 - arroz vegetales especial"/>
    <n v="3"/>
    <n v="89700"/>
    <n v="0"/>
    <n v="30741"/>
    <n v="58959"/>
    <n v="0.65729096989966551"/>
    <n v="0"/>
    <s v="Combos personales"/>
    <s v="Personal"/>
    <s v="Combo"/>
  </r>
  <r>
    <x v="1"/>
    <x v="1"/>
    <x v="0"/>
    <s v="ADIC561"/>
    <s v="Adición Vegetales"/>
    <n v="3"/>
    <n v="20700"/>
    <n v="0"/>
    <n v="2067"/>
    <n v="18633"/>
    <n v="0.90014492753623188"/>
    <n v="0"/>
    <s v="Adición"/>
    <s v="Adición"/>
    <s v="Adición"/>
  </r>
  <r>
    <x v="1"/>
    <x v="1"/>
    <x v="0"/>
    <s v="PESP05"/>
    <s v="WONG- Menú infantil"/>
    <n v="3"/>
    <n v="50700"/>
    <n v="0"/>
    <n v="21375"/>
    <n v="29325"/>
    <n v="0.57840236686390534"/>
    <n v="0"/>
    <s v="Platos especiales"/>
    <s v="Personal"/>
    <s v="Platos Especiales"/>
  </r>
  <r>
    <x v="1"/>
    <x v="1"/>
    <x v="0"/>
    <s v="ADIC562"/>
    <s v="Adición Pasta"/>
    <n v="3"/>
    <n v="14700"/>
    <n v="0"/>
    <n v="9030"/>
    <n v="5670"/>
    <n v="0.38571428571428573"/>
    <n v="0"/>
    <s v="Adición"/>
    <s v="Adición"/>
    <s v="Adición"/>
  </r>
  <r>
    <x v="1"/>
    <x v="1"/>
    <x v="0"/>
    <s v="MON330"/>
    <s v="Chop Suey Vegetariano Personal"/>
    <n v="3"/>
    <n v="53700"/>
    <n v="0"/>
    <n v="16398"/>
    <n v="37302"/>
    <n v="0.69463687150837994"/>
    <n v="0"/>
    <s v="Platos mong"/>
    <s v="Personal"/>
    <s v="Caja"/>
  </r>
  <r>
    <x v="1"/>
    <x v="1"/>
    <x v="0"/>
    <s v="ATP06"/>
    <s v="Arroz Frito ATP (*Extra)"/>
    <n v="3"/>
    <n v="0"/>
    <n v="0"/>
    <n v="3846"/>
    <n v="-3846"/>
    <n v="0"/>
    <n v="0"/>
    <s v="Arma tu plato"/>
    <s v="Personal"/>
    <s v="Caja"/>
  </r>
  <r>
    <x v="1"/>
    <x v="1"/>
    <x v="0"/>
    <s v="ENT01"/>
    <s v="Deditos de Pollo"/>
    <n v="3"/>
    <n v="31800"/>
    <n v="-15900"/>
    <n v="30084"/>
    <n v="1716"/>
    <n v="5.39622641509434E-2"/>
    <n v="0.5"/>
    <s v="Entradas"/>
    <s v="Otro"/>
    <s v="Otro"/>
  </r>
  <r>
    <x v="1"/>
    <x v="1"/>
    <x v="0"/>
    <s v="MON112"/>
    <s v="Chow Fan Camarones Familiar"/>
    <n v="2"/>
    <n v="103800"/>
    <n v="0"/>
    <n v="57630"/>
    <n v="46170"/>
    <n v="0.44479768786127166"/>
    <n v="0"/>
    <s v="Platos mong"/>
    <s v="No Personal"/>
    <s v="Caja"/>
  </r>
  <r>
    <x v="1"/>
    <x v="1"/>
    <x v="0"/>
    <s v="MONE701"/>
    <s v="Mong Express Chow fan"/>
    <n v="2"/>
    <n v="38900"/>
    <n v="-900"/>
    <n v="0"/>
    <n v="38900"/>
    <n v="1"/>
    <n v="2.313624678663239E-2"/>
    <s v="Mong Express"/>
    <s v="Personal"/>
    <s v="Caja"/>
  </r>
  <r>
    <x v="1"/>
    <x v="1"/>
    <x v="0"/>
    <s v="ADIC490"/>
    <s v="Adicion - Pollo en trozos"/>
    <n v="2"/>
    <n v="13800"/>
    <n v="0"/>
    <n v="4490"/>
    <n v="9310"/>
    <n v="0.67463768115942024"/>
    <n v="0"/>
    <s v="Adición"/>
    <s v="Adición"/>
    <s v="Adición"/>
  </r>
  <r>
    <x v="1"/>
    <x v="1"/>
    <x v="0"/>
    <s v="BEB601"/>
    <s v="Coca Cola 400 Ml Normal CB (*Extra)"/>
    <n v="2"/>
    <n v="4600"/>
    <n v="0"/>
    <n v="4470"/>
    <n v="130"/>
    <n v="2.8260869565217391E-2"/>
    <n v="0"/>
    <s v="Bebidas"/>
    <s v="Bebidas Cambio de bebida"/>
    <s v="Bebidas"/>
  </r>
  <r>
    <x v="1"/>
    <x v="1"/>
    <x v="0"/>
    <s v="MON201"/>
    <s v="Chow Mein Especial trio"/>
    <n v="2"/>
    <n v="85800"/>
    <n v="0"/>
    <n v="38882"/>
    <n v="46918"/>
    <n v="0.54682983682983688"/>
    <n v="0"/>
    <s v="Platos mong"/>
    <s v="No Personal"/>
    <s v="Caja"/>
  </r>
  <r>
    <x v="1"/>
    <x v="1"/>
    <x v="0"/>
    <s v="BEB600"/>
    <s v="Fuze te limón 1.2"/>
    <n v="2"/>
    <n v="16000"/>
    <n v="0"/>
    <n v="0"/>
    <n v="16000"/>
    <n v="1"/>
    <n v="0"/>
    <s v="Bebidas"/>
    <s v="Bebidas"/>
    <s v="Bebidas"/>
  </r>
  <r>
    <x v="1"/>
    <x v="1"/>
    <x v="0"/>
    <s v="MON111"/>
    <s v="Chow Fan Camarones trio"/>
    <n v="2"/>
    <n v="95800"/>
    <n v="0"/>
    <n v="41822"/>
    <n v="53978"/>
    <n v="0.56344467640918583"/>
    <n v="0"/>
    <s v="Platos mong"/>
    <s v="No Personal"/>
    <s v="Caja"/>
  </r>
  <r>
    <x v="1"/>
    <x v="1"/>
    <x v="0"/>
    <s v="COMC06"/>
    <s v="COMBO FAMILIAR"/>
    <n v="2"/>
    <n v="193800"/>
    <n v="0"/>
    <n v="93560"/>
    <n v="100240"/>
    <n v="0.51723426212590295"/>
    <n v="0"/>
    <s v="Combos para compartir"/>
    <s v="No Personal"/>
    <s v="Combo"/>
  </r>
  <r>
    <x v="1"/>
    <x v="1"/>
    <x v="0"/>
    <s v="MON322"/>
    <s v="Chop Suey Pollo familiar"/>
    <n v="2"/>
    <n v="101800"/>
    <n v="0"/>
    <n v="42234"/>
    <n v="59566"/>
    <n v="0.58512770137524561"/>
    <n v="0"/>
    <s v="Platos mong"/>
    <s v="No Personal"/>
    <s v="Caja"/>
  </r>
  <r>
    <x v="1"/>
    <x v="1"/>
    <x v="0"/>
    <s v="ADIC566"/>
    <s v="Pollo a la naranja"/>
    <n v="2"/>
    <n v="15800"/>
    <n v="0"/>
    <n v="0"/>
    <n v="15800"/>
    <n v="1"/>
    <n v="0"/>
    <s v="Adición"/>
    <s v="Adición"/>
    <s v="Adición"/>
  </r>
  <r>
    <x v="1"/>
    <x v="1"/>
    <x v="0"/>
    <s v="BEB589"/>
    <s v="Fusetea Durazno"/>
    <n v="2"/>
    <n v="9800"/>
    <n v="0"/>
    <n v="3120"/>
    <n v="6680"/>
    <n v="0.68163265306122445"/>
    <n v="0"/>
    <s v="Bebidas"/>
    <s v="Bebidas"/>
    <s v="Bebidas"/>
  </r>
  <r>
    <x v="1"/>
    <x v="1"/>
    <x v="0"/>
    <s v="MON312"/>
    <s v="Chop Suey Camaron Familiar"/>
    <n v="1"/>
    <n v="59900"/>
    <n v="0"/>
    <n v="33677"/>
    <n v="26223"/>
    <n v="0.43777963272120202"/>
    <n v="0"/>
    <s v="Platos mong"/>
    <s v="No Personal"/>
    <s v="Caja"/>
  </r>
  <r>
    <x v="1"/>
    <x v="1"/>
    <x v="0"/>
    <s v="BOW07"/>
    <s v="Tao Bowl grande"/>
    <n v="1"/>
    <n v="21900"/>
    <n v="0"/>
    <n v="0"/>
    <n v="21900"/>
    <n v="1"/>
    <n v="0"/>
    <s v="Bowl"/>
    <s v="Personal"/>
    <s v="Bowl"/>
  </r>
  <r>
    <x v="1"/>
    <x v="1"/>
    <x v="0"/>
    <s v="MON200"/>
    <s v="Chow Mein Especial Personal"/>
    <n v="1"/>
    <n v="20900"/>
    <n v="0"/>
    <n v="8521"/>
    <n v="12379"/>
    <n v="0.59229665071770332"/>
    <n v="0"/>
    <s v="Platos mong"/>
    <s v="Personal"/>
    <s v="Caja"/>
  </r>
  <r>
    <x v="1"/>
    <x v="1"/>
    <x v="0"/>
    <s v="MON110"/>
    <s v="Chow Fan Camarones Personal"/>
    <n v="1"/>
    <n v="17975"/>
    <n v="-4925"/>
    <n v="9404"/>
    <n v="8571"/>
    <n v="0.47682892906815022"/>
    <n v="0.27399165507649514"/>
    <s v="Platos mong"/>
    <s v="Personal"/>
    <s v="Caja"/>
  </r>
  <r>
    <x v="1"/>
    <x v="1"/>
    <x v="0"/>
    <s v="MON221"/>
    <s v="Chow Mein Pollo trio"/>
    <n v="1"/>
    <n v="34900"/>
    <n v="0"/>
    <n v="15895"/>
    <n v="19005"/>
    <n v="0.54455587392550142"/>
    <n v="0"/>
    <s v="Platos mong"/>
    <s v="No Personal"/>
    <s v="Caja"/>
  </r>
  <r>
    <x v="1"/>
    <x v="1"/>
    <x v="0"/>
    <s v="BEB613"/>
    <s v="Coca Cola 400 Ml Zero CB (*Extra)"/>
    <n v="1"/>
    <n v="2300"/>
    <n v="0"/>
    <n v="2239"/>
    <n v="61"/>
    <n v="2.6521739130434784E-2"/>
    <n v="0"/>
    <s v="Bebidas"/>
    <s v="Bebidas Cambio de bebida"/>
    <s v="Bebidas"/>
  </r>
  <r>
    <x v="1"/>
    <x v="1"/>
    <x v="0"/>
    <s v="MON321"/>
    <s v="Chop Suey Pollo trio"/>
    <n v="1"/>
    <n v="34900"/>
    <n v="0"/>
    <n v="11217"/>
    <n v="23683"/>
    <n v="0.67859598853868197"/>
    <n v="0"/>
    <s v="Platos mong"/>
    <s v="No Personal"/>
    <s v="Caja"/>
  </r>
  <r>
    <x v="1"/>
    <x v="1"/>
    <x v="0"/>
    <s v="MON331"/>
    <s v="Chop suey vegetariano trio"/>
    <n v="1"/>
    <n v="29900"/>
    <n v="0"/>
    <n v="11810"/>
    <n v="18090"/>
    <n v="0.60501672240802673"/>
    <n v="0"/>
    <s v="Platos mong"/>
    <s v="No Personal"/>
    <s v="Caja"/>
  </r>
  <r>
    <x v="1"/>
    <x v="1"/>
    <x v="0"/>
    <s v="MONFIT"/>
    <s v="Mong fit"/>
    <n v="1"/>
    <n v="11900"/>
    <n v="0"/>
    <n v="0"/>
    <n v="11900"/>
    <n v="1"/>
    <n v="0"/>
    <s v="Platos especiales"/>
    <s v="Personal"/>
    <s v="Platos Especiales"/>
  </r>
  <r>
    <x v="1"/>
    <x v="1"/>
    <x v="0"/>
    <s v="BEB583"/>
    <s v="Sprite 400 Ml"/>
    <n v="1"/>
    <n v="4900"/>
    <n v="0"/>
    <n v="1330"/>
    <n v="3570"/>
    <n v="0.72857142857142854"/>
    <n v="0"/>
    <s v="Bebidas"/>
    <s v="Bebidas"/>
    <s v="Bebidas"/>
  </r>
  <r>
    <x v="1"/>
    <x v="1"/>
    <x v="0"/>
    <s v="BOW04"/>
    <s v="Kumo Bowl mini"/>
    <n v="1"/>
    <n v="0"/>
    <n v="-18900"/>
    <n v="0"/>
    <n v="0"/>
    <n v="0"/>
    <n v="0"/>
    <s v="Bowl"/>
    <s v="Personal"/>
    <s v="Bowl"/>
  </r>
  <r>
    <x v="1"/>
    <x v="1"/>
    <x v="0"/>
    <s v="BOW03"/>
    <s v="Take Bowl mini"/>
    <n v="1"/>
    <n v="0"/>
    <n v="-17900"/>
    <n v="0"/>
    <n v="0"/>
    <n v="0"/>
    <n v="0"/>
    <s v="Bowl"/>
    <s v="Personal"/>
    <s v="Bowl"/>
  </r>
  <r>
    <x v="1"/>
    <x v="1"/>
    <x v="0"/>
    <s v="BOW02"/>
    <s v="Kong Bowl mini"/>
    <n v="1"/>
    <n v="0"/>
    <n v="-17900"/>
    <n v="0"/>
    <n v="0"/>
    <n v="0"/>
    <n v="0"/>
    <s v="Bowl"/>
    <s v="Personal"/>
    <s v="Bowl"/>
  </r>
  <r>
    <x v="1"/>
    <x v="1"/>
    <x v="0"/>
    <s v="BEB588"/>
    <s v="Fusetea Limon"/>
    <n v="1"/>
    <n v="4900"/>
    <n v="0"/>
    <n v="1560"/>
    <n v="3340"/>
    <n v="0.68163265306122445"/>
    <n v="0"/>
    <s v="Bebidas"/>
    <s v="Bebidas"/>
    <s v="Bebidas"/>
  </r>
  <r>
    <x v="1"/>
    <x v="1"/>
    <x v="0"/>
    <s v="BEB609"/>
    <s v="Fusetea Limon CB (*Extra)"/>
    <n v="1"/>
    <n v="1600"/>
    <n v="0"/>
    <n v="1874"/>
    <n v="-274"/>
    <n v="-0.17125000000000001"/>
    <n v="0"/>
    <s v="Bebidas"/>
    <s v="Bebidas Cambio de bebida"/>
    <s v="Bebidas"/>
  </r>
  <r>
    <x v="1"/>
    <x v="1"/>
    <x v="0"/>
    <s v="mon001"/>
    <s v="fondo promocional"/>
    <n v="1"/>
    <n v="359088"/>
    <n v="0"/>
    <n v="0"/>
    <n v="359088"/>
    <n v="1"/>
    <n v="0"/>
    <s v="Otro"/>
    <s v="Otro"/>
    <s v="Otro"/>
  </r>
  <r>
    <x v="1"/>
    <x v="1"/>
    <x v="0"/>
    <s v="MON310"/>
    <s v="Chop suey camarón personal"/>
    <n v="1"/>
    <n v="23900"/>
    <n v="0"/>
    <n v="8757"/>
    <n v="15143"/>
    <n v="0.6335983263598326"/>
    <n v="0"/>
    <s v="Platos mong"/>
    <s v="Personal"/>
    <s v="Caja"/>
  </r>
  <r>
    <x v="1"/>
    <x v="1"/>
    <x v="0"/>
    <s v="BEB586"/>
    <s v="Agua Gas 600 Ml"/>
    <n v="1"/>
    <n v="4900"/>
    <n v="0"/>
    <n v="1288"/>
    <n v="3612"/>
    <n v="0.7371428571428571"/>
    <n v="0"/>
    <s v="Bebidas"/>
    <s v="Bebidas"/>
    <s v="Bebidas"/>
  </r>
  <r>
    <x v="1"/>
    <x v="1"/>
    <x v="0"/>
    <s v="MON202"/>
    <s v="Chow Mein Especial Familiar"/>
    <n v="1"/>
    <n v="57900"/>
    <n v="0"/>
    <n v="37744"/>
    <n v="20156"/>
    <n v="0.34811744386873922"/>
    <n v="0"/>
    <s v="Platos mong"/>
    <s v="No Personal"/>
    <s v="Caja"/>
  </r>
  <r>
    <x v="1"/>
    <x v="1"/>
    <x v="0"/>
    <s v="BEB595"/>
    <s v="Agua Manzana 600 Ml"/>
    <n v="1"/>
    <n v="4900"/>
    <n v="0"/>
    <n v="1373"/>
    <n v="3527"/>
    <n v="0.71979591836734691"/>
    <n v="0"/>
    <s v="Bebidas"/>
    <s v="Bebidas"/>
    <s v="Bebidas"/>
  </r>
  <r>
    <x v="1"/>
    <x v="1"/>
    <x v="0"/>
    <s v="BEB587"/>
    <s v="Agua Limón 600 Ml"/>
    <n v="1"/>
    <n v="4900"/>
    <n v="0"/>
    <n v="1373"/>
    <n v="3527"/>
    <n v="0.71979591836734691"/>
    <n v="0"/>
    <s v="Bebidas"/>
    <s v="Bebidas"/>
    <s v="Bebidas"/>
  </r>
  <r>
    <x v="1"/>
    <x v="1"/>
    <x v="0"/>
    <s v="MON123"/>
    <s v="Chow Fan Pollo megafamiliar"/>
    <n v="1"/>
    <n v="63900"/>
    <n v="0"/>
    <n v="32179"/>
    <n v="31721"/>
    <n v="0.49641627543035993"/>
    <n v="0"/>
    <s v="Platos mong"/>
    <s v="No Personal"/>
    <s v="Caja"/>
  </r>
  <r>
    <x v="1"/>
    <x v="1"/>
    <x v="0"/>
    <s v="ATP07"/>
    <s v="Pollo presa ATP (*Extra)"/>
    <n v="1"/>
    <n v="0"/>
    <n v="0"/>
    <n v="2849"/>
    <n v="-2849"/>
    <n v="0"/>
    <n v="0"/>
    <s v="Arma tu plato"/>
    <s v="Personal"/>
    <s v="Caja"/>
  </r>
  <r>
    <x v="1"/>
    <x v="1"/>
    <x v="0"/>
    <s v="BEB584"/>
    <s v="Quatro 400 Ml"/>
    <n v="1"/>
    <n v="4900"/>
    <n v="0"/>
    <n v="1330"/>
    <n v="3570"/>
    <n v="0.72857142857142854"/>
    <n v="0"/>
    <s v="Bebidas"/>
    <s v="Bebidas"/>
    <s v="Bebidas"/>
  </r>
  <r>
    <x v="1"/>
    <x v="1"/>
    <x v="0"/>
    <s v="COMP11"/>
    <s v="COMBO - Lumpia y agua 280 ML"/>
    <n v="1"/>
    <n v="7900"/>
    <n v="0"/>
    <n v="0"/>
    <n v="7900"/>
    <n v="1"/>
    <n v="0"/>
    <s v="Armalo en combo"/>
    <s v="Personal"/>
    <s v="Combo"/>
  </r>
  <r>
    <x v="1"/>
    <x v="1"/>
    <x v="0"/>
    <s v="MON500"/>
    <s v="Arroz vegetales especial personal"/>
    <n v="1"/>
    <n v="22900"/>
    <n v="0"/>
    <n v="7514"/>
    <n v="15386"/>
    <n v="0.67187772925764189"/>
    <n v="0"/>
    <s v="Platos mong"/>
    <s v="Personal"/>
    <s v="Caja"/>
  </r>
  <r>
    <x v="1"/>
    <x v="1"/>
    <x v="0"/>
    <s v="BEB605"/>
    <s v="Quatro 400 Ml CB (*Extra)"/>
    <n v="1"/>
    <n v="1600"/>
    <n v="0"/>
    <n v="1330"/>
    <n v="270"/>
    <n v="0.16875000000000001"/>
    <n v="0"/>
    <s v="Bebidas"/>
    <s v="Bebidas Cambio de bebida"/>
    <s v="Bebidas"/>
  </r>
  <r>
    <x v="1"/>
    <x v="2"/>
    <x v="0"/>
    <s v="COMP01"/>
    <s v="COMBO 1- Valenciano personal"/>
    <n v="65"/>
    <n v="1547600"/>
    <n v="-5900"/>
    <n v="625755"/>
    <n v="921845"/>
    <n v="0.59566102352028949"/>
    <n v="3.8123546135952441E-3"/>
    <s v="Combos personales"/>
    <s v="Personal"/>
    <s v="Combo"/>
  </r>
  <r>
    <x v="1"/>
    <x v="2"/>
    <x v="0"/>
    <s v="ENT04"/>
    <s v="LUMPIAS X 2"/>
    <n v="52"/>
    <n v="458058"/>
    <n v="-4742"/>
    <n v="163228"/>
    <n v="294830"/>
    <n v="0.64365211392443755"/>
    <n v="1.0352400787673176E-2"/>
    <s v="Entradas"/>
    <s v="Otro"/>
    <s v="Otro"/>
  </r>
  <r>
    <x v="1"/>
    <x v="2"/>
    <x v="0"/>
    <s v="MON450"/>
    <s v="Arma tu plato"/>
    <n v="46"/>
    <n v="1141497"/>
    <n v="-3903"/>
    <n v="0"/>
    <n v="1141497"/>
    <n v="1"/>
    <n v="3.4191942685788926E-3"/>
    <s v="Arma tu plato"/>
    <s v="Personal"/>
    <s v="Caja"/>
  </r>
  <r>
    <x v="1"/>
    <x v="2"/>
    <x v="0"/>
    <s v="ATP01"/>
    <s v="Pollo a la naranja (*Extra)"/>
    <n v="36"/>
    <n v="0"/>
    <n v="0"/>
    <n v="197676"/>
    <n v="-197676"/>
    <n v="0"/>
    <n v="0"/>
    <s v="Arma tu plato"/>
    <s v="Personal"/>
    <s v="Caja"/>
  </r>
  <r>
    <x v="1"/>
    <x v="2"/>
    <x v="0"/>
    <s v="MON301"/>
    <s v="Chop Suey Especial trio"/>
    <n v="35"/>
    <n v="1341630"/>
    <n v="-159870"/>
    <n v="396620"/>
    <n v="945010"/>
    <n v="0.70437452949024693"/>
    <n v="0.11916102054962993"/>
    <s v="Platos mong"/>
    <s v="No Personal"/>
    <s v="Caja"/>
  </r>
  <r>
    <x v="1"/>
    <x v="2"/>
    <x v="0"/>
    <s v="MON132"/>
    <s v="Chow Fan Valenciano familiar"/>
    <n v="28"/>
    <n v="1726878"/>
    <n v="-146322"/>
    <n v="970340"/>
    <n v="756538"/>
    <n v="0.43809580062980708"/>
    <n v="8.4732100356828918E-2"/>
    <s v="Platos mong"/>
    <s v="No Personal"/>
    <s v="Caja"/>
  </r>
  <r>
    <x v="1"/>
    <x v="2"/>
    <x v="0"/>
    <s v="ATP10"/>
    <s v="Cerdo agridulce (*Extra)"/>
    <n v="25"/>
    <n v="0"/>
    <n v="0"/>
    <n v="136675"/>
    <n v="-136675"/>
    <n v="0"/>
    <n v="0"/>
    <s v="Arma tu plato"/>
    <s v="Personal"/>
    <s v="Caja"/>
  </r>
  <r>
    <x v="1"/>
    <x v="2"/>
    <x v="0"/>
    <s v="MON102"/>
    <s v="Chow Fan Especial familiar"/>
    <n v="22"/>
    <n v="1097800"/>
    <n v="0"/>
    <n v="711722"/>
    <n v="386078"/>
    <n v="0.35168336673346695"/>
    <n v="0"/>
    <s v="Platos mong"/>
    <s v="No Personal"/>
    <s v="Caja"/>
  </r>
  <r>
    <x v="1"/>
    <x v="2"/>
    <x v="0"/>
    <s v="COMP02"/>
    <s v="COMBO 2 - Chow fan especial personal"/>
    <n v="21"/>
    <n v="536305"/>
    <n v="-7595"/>
    <n v="199521"/>
    <n v="336784"/>
    <n v="0.62797102395092341"/>
    <n v="1.4161717679305619E-2"/>
    <s v="Combos personales"/>
    <s v="Personal"/>
    <s v="Combo"/>
  </r>
  <r>
    <x v="1"/>
    <x v="2"/>
    <x v="0"/>
    <s v="MON101"/>
    <s v="Chow fan especial trio"/>
    <n v="21"/>
    <n v="836029"/>
    <n v="-1871"/>
    <n v="421113"/>
    <n v="414916"/>
    <n v="0.49629378885182213"/>
    <n v="2.2379606449058585E-3"/>
    <s v="Platos mong"/>
    <s v="No Personal"/>
    <s v="Platos Especiales"/>
  </r>
  <r>
    <x v="1"/>
    <x v="2"/>
    <x v="0"/>
    <s v="COMP03"/>
    <s v="COMBO 3 - Chop suey especial personal"/>
    <n v="20"/>
    <n v="576000"/>
    <n v="-2000"/>
    <n v="191400"/>
    <n v="384600"/>
    <n v="0.66770833333333335"/>
    <n v="3.472222222222222E-3"/>
    <s v="Combos personales"/>
    <s v="Personal"/>
    <s v="Combo"/>
  </r>
  <r>
    <x v="1"/>
    <x v="2"/>
    <x v="0"/>
    <s v="MON131"/>
    <s v="Chow Fan Valenciano trio"/>
    <n v="19"/>
    <n v="948100"/>
    <n v="0"/>
    <n v="357542"/>
    <n v="590558"/>
    <n v="0.62288577154308622"/>
    <n v="0"/>
    <s v="Platos mong"/>
    <s v="No Personal"/>
    <s v="Caja"/>
  </r>
  <r>
    <x v="1"/>
    <x v="2"/>
    <x v="0"/>
    <s v="ATP03"/>
    <s v="Arroz vegetales (*Extra)"/>
    <n v="16"/>
    <n v="31687"/>
    <n v="-313"/>
    <n v="32560"/>
    <n v="-873"/>
    <n v="-2.7550730583520054E-2"/>
    <n v="9.8778678953514061E-3"/>
    <s v="Arma tu plato"/>
    <s v="Personal"/>
    <s v="Caja"/>
  </r>
  <r>
    <x v="1"/>
    <x v="2"/>
    <x v="0"/>
    <s v="ATP06"/>
    <s v="Arroz Frito ATP (*Extra)"/>
    <n v="15"/>
    <n v="0"/>
    <n v="0"/>
    <n v="19230"/>
    <n v="-19230"/>
    <n v="0"/>
    <n v="0"/>
    <s v="Arma tu plato"/>
    <s v="Personal"/>
    <s v="Caja"/>
  </r>
  <r>
    <x v="1"/>
    <x v="2"/>
    <x v="0"/>
    <s v="BEB598"/>
    <s v="Coca Cola 1,5 litros"/>
    <n v="14"/>
    <n v="135406"/>
    <n v="-3194"/>
    <n v="63014"/>
    <n v="72392"/>
    <n v="0.53462918925306113"/>
    <n v="2.3588319572249383E-2"/>
    <s v="Bebidas"/>
    <s v="Bebidas"/>
    <s v="Bebidas"/>
  </r>
  <r>
    <x v="1"/>
    <x v="2"/>
    <x v="0"/>
    <s v="COMC02"/>
    <s v="COMBO AMIGOS"/>
    <n v="14"/>
    <n v="746600"/>
    <n v="-8000"/>
    <n v="330932"/>
    <n v="415668"/>
    <n v="0.55674792392177874"/>
    <n v="1.0715242432360031E-2"/>
    <s v="Combos para compartir"/>
    <s v="No Personal"/>
    <s v="Combo"/>
  </r>
  <r>
    <x v="1"/>
    <x v="2"/>
    <x v="0"/>
    <s v="MON100"/>
    <s v="Chow Fan Especial Personal"/>
    <n v="13"/>
    <n v="253800"/>
    <n v="-4900"/>
    <n v="87984"/>
    <n v="165816"/>
    <n v="0.65333333333333332"/>
    <n v="1.9306540583136328E-2"/>
    <s v="Platos mong"/>
    <s v="Personal"/>
    <s v="Caja"/>
  </r>
  <r>
    <x v="1"/>
    <x v="2"/>
    <x v="0"/>
    <s v="PESP04"/>
    <s v="SUN KEE"/>
    <n v="13"/>
    <n v="348464"/>
    <n v="-1236"/>
    <n v="177294"/>
    <n v="171170"/>
    <n v="0.49121286560448141"/>
    <n v="3.5469948115156801E-3"/>
    <s v="Platos especiales"/>
    <s v="Personal"/>
    <s v="Platos Especiales"/>
  </r>
  <r>
    <x v="1"/>
    <x v="2"/>
    <x v="0"/>
    <s v="BEB581"/>
    <s v="Coca Cola 400 Ml Normal"/>
    <n v="13"/>
    <n v="75700"/>
    <n v="-1000"/>
    <n v="22035"/>
    <n v="53665"/>
    <n v="0.70891677675033027"/>
    <n v="1.3210039630118891E-2"/>
    <s v="Bebidas"/>
    <s v="Bebidas"/>
    <s v="Bebidas"/>
  </r>
  <r>
    <x v="1"/>
    <x v="2"/>
    <x v="0"/>
    <s v="ENT02"/>
    <s v="LUMPIA X 1"/>
    <n v="13"/>
    <n v="63981"/>
    <n v="-1019"/>
    <n v="20397"/>
    <n v="43584"/>
    <n v="0.6812022319125991"/>
    <n v="1.5926603210328065E-2"/>
    <s v="Entradas"/>
    <s v="Otro"/>
    <s v="Otro"/>
  </r>
  <r>
    <x v="1"/>
    <x v="2"/>
    <x v="0"/>
    <s v="ATP02"/>
    <s v="Camarones apanados 7 (*Extra)"/>
    <n v="12"/>
    <n v="24000"/>
    <n v="0"/>
    <n v="37296"/>
    <n v="-13296"/>
    <n v="-0.55400000000000005"/>
    <n v="0"/>
    <s v="Arma tu plato"/>
    <s v="Personal"/>
    <s v="Caja"/>
  </r>
  <r>
    <x v="1"/>
    <x v="2"/>
    <x v="0"/>
    <s v="ENT03"/>
    <s v="CAMARONES APANADOS"/>
    <n v="10"/>
    <n v="169000"/>
    <n v="0"/>
    <n v="62150"/>
    <n v="106850"/>
    <n v="0.63224852071005921"/>
    <n v="0"/>
    <s v="Entradas"/>
    <s v="Otro"/>
    <s v="Otro"/>
  </r>
  <r>
    <x v="1"/>
    <x v="2"/>
    <x v="0"/>
    <s v="ATP04"/>
    <s v="Chop suey (*Extra)"/>
    <n v="10"/>
    <n v="0"/>
    <n v="0"/>
    <n v="26340"/>
    <n v="-26340"/>
    <n v="0"/>
    <n v="0"/>
    <s v="Arma tu plato"/>
    <s v="Personal"/>
    <s v="Caja"/>
  </r>
  <r>
    <x v="1"/>
    <x v="2"/>
    <x v="0"/>
    <s v="ATP09"/>
    <s v="Res brócoli (*Extra)"/>
    <n v="9"/>
    <n v="0"/>
    <n v="0"/>
    <n v="29898"/>
    <n v="-29898"/>
    <n v="0"/>
    <n v="0"/>
    <s v="Arma tu plato"/>
    <s v="Personal"/>
    <s v="Caja"/>
  </r>
  <r>
    <x v="1"/>
    <x v="2"/>
    <x v="0"/>
    <s v="COMP05"/>
    <s v="COMBO 5 - Chow Mein especial personal"/>
    <n v="9"/>
    <n v="260100"/>
    <n v="0"/>
    <n v="101277"/>
    <n v="158823"/>
    <n v="0.61062283737024226"/>
    <n v="0"/>
    <s v="Combos personales"/>
    <s v="Personal"/>
    <s v="Combo"/>
  </r>
  <r>
    <x v="1"/>
    <x v="2"/>
    <x v="0"/>
    <s v="ADIC564"/>
    <s v="Adición Presa de pollo"/>
    <n v="8"/>
    <n v="55200"/>
    <n v="0"/>
    <n v="19712"/>
    <n v="35488"/>
    <n v="0.64289855072463764"/>
    <n v="0"/>
    <s v="Adición"/>
    <s v="Adición"/>
    <s v="Adición"/>
  </r>
  <r>
    <x v="1"/>
    <x v="2"/>
    <x v="0"/>
    <s v="MON130"/>
    <s v="Chow Fan Valenciano Personal"/>
    <n v="8"/>
    <n v="175200"/>
    <n v="0"/>
    <n v="67712"/>
    <n v="107488"/>
    <n v="0.61351598173515987"/>
    <n v="0"/>
    <s v="Platos mong"/>
    <s v="Personal"/>
    <s v="Caja"/>
  </r>
  <r>
    <x v="1"/>
    <x v="2"/>
    <x v="0"/>
    <s v="MON300"/>
    <s v="Chop suey especial personal"/>
    <n v="8"/>
    <n v="165980"/>
    <n v="-1220"/>
    <n v="54704"/>
    <n v="111276"/>
    <n v="0.67041812266538137"/>
    <n v="7.3502831666465837E-3"/>
    <s v="Platos mong"/>
    <s v="Personal"/>
    <s v="Caja"/>
  </r>
  <r>
    <x v="1"/>
    <x v="2"/>
    <x v="0"/>
    <s v="ADIC560"/>
    <s v="Adición Papa frita"/>
    <n v="8"/>
    <n v="47200"/>
    <n v="0"/>
    <n v="32784"/>
    <n v="14416"/>
    <n v="0.30542372881355934"/>
    <n v="0"/>
    <s v="Adición"/>
    <s v="Adición"/>
    <s v="Adición"/>
  </r>
  <r>
    <x v="1"/>
    <x v="2"/>
    <x v="0"/>
    <s v="ATP08"/>
    <s v="Pollo Apanado ATP (*Extra)"/>
    <n v="8"/>
    <n v="0"/>
    <n v="0"/>
    <n v="42104"/>
    <n v="-42104"/>
    <n v="0"/>
    <n v="0"/>
    <s v="Arma tu plato"/>
    <s v="Personal"/>
    <s v="Caja"/>
  </r>
  <r>
    <x v="1"/>
    <x v="2"/>
    <x v="0"/>
    <s v="ADIC563"/>
    <s v="Adición Arroz Frito"/>
    <n v="7"/>
    <n v="40400"/>
    <n v="-900"/>
    <n v="8974"/>
    <n v="31426"/>
    <n v="0.7778712871287129"/>
    <n v="2.2277227722772276E-2"/>
    <s v="Adición"/>
    <s v="Adición"/>
    <s v="Adición"/>
  </r>
  <r>
    <x v="1"/>
    <x v="2"/>
    <x v="0"/>
    <s v="BEB01"/>
    <s v="Coca Cola 250 Ml Normal CB (*Extra)"/>
    <n v="7"/>
    <n v="7000"/>
    <n v="0"/>
    <n v="13615"/>
    <n v="-6615"/>
    <n v="-0.94499999999999995"/>
    <n v="0"/>
    <s v="Bebidas"/>
    <s v="Bebidas Cambio de bebida"/>
    <s v="Bebidas"/>
  </r>
  <r>
    <x v="1"/>
    <x v="2"/>
    <x v="0"/>
    <s v="PESP01"/>
    <s v="MING"/>
    <n v="6"/>
    <n v="173400"/>
    <n v="0"/>
    <n v="45630"/>
    <n v="127770"/>
    <n v="0.73685121107266438"/>
    <n v="0"/>
    <s v="Platos especiales"/>
    <s v="Personal"/>
    <s v="Platos Especiales"/>
  </r>
  <r>
    <x v="1"/>
    <x v="2"/>
    <x v="0"/>
    <s v="PESP05"/>
    <s v="WONG- Menú infantil"/>
    <n v="6"/>
    <n v="84500"/>
    <n v="-16900"/>
    <n v="42750"/>
    <n v="41750"/>
    <n v="0.49408284023668642"/>
    <n v="0.2"/>
    <s v="Platos especiales"/>
    <s v="Personal"/>
    <s v="Platos Especiales"/>
  </r>
  <r>
    <x v="1"/>
    <x v="2"/>
    <x v="0"/>
    <s v="MON302"/>
    <s v="Chop Suey Especial Familiar"/>
    <n v="6"/>
    <n v="347400"/>
    <n v="0"/>
    <n v="168342"/>
    <n v="179058"/>
    <n v="0.51542314335060446"/>
    <n v="0"/>
    <s v="Platos mong"/>
    <s v="No Personal"/>
    <s v="Caja"/>
  </r>
  <r>
    <x v="1"/>
    <x v="2"/>
    <x v="0"/>
    <s v="MON120"/>
    <s v="Chow Fan Pollo Personal"/>
    <n v="6"/>
    <n v="95400"/>
    <n v="0"/>
    <n v="36384"/>
    <n v="59016"/>
    <n v="0.61861635220125788"/>
    <n v="0"/>
    <s v="Platos mong"/>
    <s v="Personal"/>
    <s v="Caja"/>
  </r>
  <r>
    <x v="1"/>
    <x v="2"/>
    <x v="0"/>
    <s v="MONE700"/>
    <s v="Mong Express Chop suey pollo"/>
    <n v="6"/>
    <n v="119400"/>
    <n v="0"/>
    <n v="49098"/>
    <n v="70302"/>
    <n v="0.58879396984924626"/>
    <n v="0"/>
    <s v="Mong Express"/>
    <s v="Personal"/>
    <s v="Caja"/>
  </r>
  <r>
    <x v="1"/>
    <x v="2"/>
    <x v="0"/>
    <s v="MON500"/>
    <s v="Arroz vegetales especial personal"/>
    <n v="6"/>
    <n v="137400"/>
    <n v="0"/>
    <n v="45084"/>
    <n v="92316"/>
    <n v="0.67187772925764189"/>
    <n v="0"/>
    <s v="Platos mong"/>
    <s v="Personal"/>
    <s v="Caja"/>
  </r>
  <r>
    <x v="1"/>
    <x v="2"/>
    <x v="0"/>
    <s v="BEB620"/>
    <s v="Agua 280 ml CB (*Extra)"/>
    <n v="5"/>
    <n v="0"/>
    <n v="0"/>
    <n v="4340"/>
    <n v="-4340"/>
    <n v="0"/>
    <n v="0"/>
    <s v="Bebidas"/>
    <s v="Bebidas Cambio de bebida"/>
    <s v="Bebidas"/>
  </r>
  <r>
    <x v="1"/>
    <x v="2"/>
    <x v="0"/>
    <s v="MON110"/>
    <s v="Chow Fan Camarones Personal"/>
    <n v="5"/>
    <n v="114500"/>
    <n v="0"/>
    <n v="47020"/>
    <n v="67480"/>
    <n v="0.58934497816593889"/>
    <n v="0"/>
    <s v="Platos mong"/>
    <s v="Personal"/>
    <s v="Caja"/>
  </r>
  <r>
    <x v="1"/>
    <x v="2"/>
    <x v="0"/>
    <s v="MON321"/>
    <s v="Chop Suey Pollo trio"/>
    <n v="5"/>
    <n v="174500"/>
    <n v="0"/>
    <n v="56085"/>
    <n v="118415"/>
    <n v="0.67859598853868197"/>
    <n v="0"/>
    <s v="Platos mong"/>
    <s v="No Personal"/>
    <s v="Caja"/>
  </r>
  <r>
    <x v="1"/>
    <x v="2"/>
    <x v="0"/>
    <s v="BEB588"/>
    <s v="Fusetea Limon"/>
    <n v="5"/>
    <n v="24500"/>
    <n v="0"/>
    <n v="7800"/>
    <n v="16700"/>
    <n v="0.68163265306122445"/>
    <n v="0"/>
    <s v="Bebidas"/>
    <s v="Bebidas"/>
    <s v="Bebidas"/>
  </r>
  <r>
    <x v="1"/>
    <x v="2"/>
    <x v="0"/>
    <s v="ENT01"/>
    <s v="Deditos de Pollo"/>
    <n v="5"/>
    <n v="79262"/>
    <n v="-238"/>
    <n v="50140"/>
    <n v="29122"/>
    <n v="0.36741439781988849"/>
    <n v="3.0026999066387425E-3"/>
    <s v="Entradas"/>
    <s v="Otro"/>
    <s v="Otro"/>
  </r>
  <r>
    <x v="1"/>
    <x v="2"/>
    <x v="0"/>
    <s v="ATP05"/>
    <s v="Chow mein (*Extra)"/>
    <n v="5"/>
    <n v="0"/>
    <n v="0"/>
    <n v="15485"/>
    <n v="-15485"/>
    <n v="0"/>
    <n v="0"/>
    <s v="Arma tu plato"/>
    <s v="Personal"/>
    <s v="Caja"/>
  </r>
  <r>
    <x v="1"/>
    <x v="2"/>
    <x v="0"/>
    <s v="COMC04"/>
    <s v="COMBO FAMIAMIGOS"/>
    <n v="5"/>
    <n v="343500"/>
    <n v="-6000"/>
    <n v="196105"/>
    <n v="147395"/>
    <n v="0.42909752547307134"/>
    <n v="1.7467248908296942E-2"/>
    <s v="Combos para compartir"/>
    <s v="No Personal"/>
    <s v="Combo"/>
  </r>
  <r>
    <x v="1"/>
    <x v="2"/>
    <x v="0"/>
    <s v="MON121"/>
    <s v="Chow Fan Pollo trio"/>
    <n v="5"/>
    <n v="169500"/>
    <n v="0"/>
    <n v="71155"/>
    <n v="98345"/>
    <n v="0.58020648967551625"/>
    <n v="0"/>
    <s v="Platos mong"/>
    <s v="No Personal"/>
    <s v="Caja"/>
  </r>
  <r>
    <x v="1"/>
    <x v="2"/>
    <x v="0"/>
    <s v="ADIC566"/>
    <s v="Pollo a la naranja"/>
    <n v="5"/>
    <n v="39005"/>
    <n v="-495"/>
    <n v="0"/>
    <n v="39005"/>
    <n v="1"/>
    <n v="1.2690680681963851E-2"/>
    <s v="Adición"/>
    <s v="Adición"/>
    <s v="Adición"/>
  </r>
  <r>
    <x v="1"/>
    <x v="2"/>
    <x v="0"/>
    <s v="BEB580"/>
    <s v="Coca Cola 250 Ml Normal"/>
    <n v="5"/>
    <n v="19500"/>
    <n v="0"/>
    <n v="5815"/>
    <n v="13685"/>
    <n v="0.70179487179487177"/>
    <n v="0"/>
    <s v="Bebidas"/>
    <s v="Bebidas"/>
    <s v="Bebidas"/>
  </r>
  <r>
    <x v="1"/>
    <x v="2"/>
    <x v="0"/>
    <s v="MON103"/>
    <s v="Chow Fan Especial megafamiliar"/>
    <n v="5"/>
    <n v="387956"/>
    <n v="-21544"/>
    <n v="213520"/>
    <n v="174436"/>
    <n v="0.44962830836486611"/>
    <n v="5.5532070647186793E-2"/>
    <s v="Platos mong"/>
    <s v="No Personal"/>
    <s v="Caja"/>
  </r>
  <r>
    <x v="1"/>
    <x v="2"/>
    <x v="0"/>
    <s v="BEB589"/>
    <s v="Fusetea Durazno"/>
    <n v="5"/>
    <n v="24500"/>
    <n v="0"/>
    <n v="7800"/>
    <n v="16700"/>
    <n v="0.68163265306122445"/>
    <n v="0"/>
    <s v="Bebidas"/>
    <s v="Bebidas"/>
    <s v="Bebidas"/>
  </r>
  <r>
    <x v="1"/>
    <x v="2"/>
    <x v="0"/>
    <s v="BEB586"/>
    <s v="Agua Gas 600 Ml"/>
    <n v="4"/>
    <n v="19600"/>
    <n v="0"/>
    <n v="5152"/>
    <n v="14448"/>
    <n v="0.7371428571428571"/>
    <n v="0"/>
    <s v="Bebidas"/>
    <s v="Bebidas"/>
    <s v="Bebidas"/>
  </r>
  <r>
    <x v="1"/>
    <x v="2"/>
    <x v="0"/>
    <s v="BEB593"/>
    <s v="Coca Cola 250 Ml Zero"/>
    <n v="4"/>
    <n v="15600"/>
    <n v="0"/>
    <n v="5164"/>
    <n v="10436"/>
    <n v="0.66897435897435897"/>
    <n v="0"/>
    <s v="Bebidas"/>
    <s v="Bebidas"/>
    <s v="Bebidas"/>
  </r>
  <r>
    <x v="1"/>
    <x v="2"/>
    <x v="0"/>
    <s v="COMP04"/>
    <s v="COMBO 4 - arroz vegetales especial"/>
    <n v="4"/>
    <n v="117600"/>
    <n v="0"/>
    <n v="40988"/>
    <n v="76612"/>
    <n v="0.65146258503401355"/>
    <n v="0"/>
    <s v="Combos personales"/>
    <s v="Personal"/>
    <s v="Combo"/>
  </r>
  <r>
    <x v="1"/>
    <x v="2"/>
    <x v="0"/>
    <s v="ADIC561"/>
    <s v="Adición Vegetales"/>
    <n v="4"/>
    <n v="27600"/>
    <n v="0"/>
    <n v="2756"/>
    <n v="24844"/>
    <n v="0.90014492753623188"/>
    <n v="0"/>
    <s v="Adición"/>
    <s v="Adición"/>
    <s v="Adición"/>
  </r>
  <r>
    <x v="1"/>
    <x v="2"/>
    <x v="0"/>
    <s v="BEB599"/>
    <s v="Agua 280 ml"/>
    <n v="4"/>
    <n v="14000"/>
    <n v="0"/>
    <n v="3472"/>
    <n v="10528"/>
    <n v="0.752"/>
    <n v="0"/>
    <s v="Bebidas"/>
    <s v="Bebidas"/>
    <s v="Bebidas"/>
  </r>
  <r>
    <x v="1"/>
    <x v="2"/>
    <x v="0"/>
    <s v="COMP11"/>
    <s v="COMBO - Lumpia y agua 280 ML"/>
    <n v="4"/>
    <n v="31600"/>
    <n v="0"/>
    <n v="0"/>
    <n v="31600"/>
    <n v="1"/>
    <n v="0"/>
    <s v="Armalo en combo"/>
    <s v="Personal"/>
    <s v="Combo"/>
  </r>
  <r>
    <x v="1"/>
    <x v="2"/>
    <x v="0"/>
    <s v="ADIC565"/>
    <s v="Adición Camaron"/>
    <n v="4"/>
    <n v="27600"/>
    <n v="0"/>
    <n v="12432"/>
    <n v="15168"/>
    <n v="0.54956521739130437"/>
    <n v="0"/>
    <s v="Adición"/>
    <s v="Adición"/>
    <s v="Adición"/>
  </r>
  <r>
    <x v="1"/>
    <x v="2"/>
    <x v="0"/>
    <s v="BEB592"/>
    <s v="Coca Cola 400 Ml Zero"/>
    <n v="4"/>
    <n v="23600"/>
    <n v="0"/>
    <n v="5792"/>
    <n v="17808"/>
    <n v="0.75457627118644066"/>
    <n v="0"/>
    <s v="Bebidas"/>
    <s v="Bebidas"/>
    <s v="Bebidas"/>
  </r>
  <r>
    <x v="1"/>
    <x v="2"/>
    <x v="0"/>
    <s v="BOW01"/>
    <s v="Tao Bowl mini"/>
    <n v="3"/>
    <n v="35800"/>
    <n v="-17900"/>
    <n v="0"/>
    <n v="35800"/>
    <n v="1"/>
    <n v="0.5"/>
    <s v="Bowl"/>
    <s v="Personal"/>
    <s v="Bowl"/>
  </r>
  <r>
    <x v="1"/>
    <x v="2"/>
    <x v="0"/>
    <s v="MONE701"/>
    <s v="Mong Express Chow fan"/>
    <n v="3"/>
    <n v="54700"/>
    <n v="-5000"/>
    <n v="0"/>
    <n v="54700"/>
    <n v="1"/>
    <n v="9.1407678244972576E-2"/>
    <s v="Mong Express"/>
    <s v="Personal"/>
    <s v="Caja"/>
  </r>
  <r>
    <x v="1"/>
    <x v="2"/>
    <x v="0"/>
    <s v="PESP03"/>
    <s v="LING"/>
    <n v="3"/>
    <n v="80700"/>
    <n v="0"/>
    <n v="40701"/>
    <n v="39999"/>
    <n v="0.49565055762081783"/>
    <n v="0"/>
    <s v="Platos especiales"/>
    <s v="Personal"/>
    <s v="Platos Especiales"/>
  </r>
  <r>
    <x v="1"/>
    <x v="2"/>
    <x v="0"/>
    <s v="MON133"/>
    <s v="Chow fan valenciano megafamiliar"/>
    <n v="3"/>
    <n v="230700"/>
    <n v="-27000"/>
    <n v="145824"/>
    <n v="84876"/>
    <n v="0.36790637191157349"/>
    <n v="0.11703511053315994"/>
    <s v="Platos mong"/>
    <s v="No Personal"/>
    <s v="Caja"/>
  </r>
  <r>
    <x v="1"/>
    <x v="2"/>
    <x v="0"/>
    <s v="MON122"/>
    <s v="Chow Fan Pollo familiar"/>
    <n v="3"/>
    <n v="120700"/>
    <n v="-5000"/>
    <n v="72765"/>
    <n v="47935"/>
    <n v="0.3971416735708368"/>
    <n v="4.1425020712510356E-2"/>
    <s v="Platos mong"/>
    <s v="No Personal"/>
    <s v="Caja"/>
  </r>
  <r>
    <x v="1"/>
    <x v="2"/>
    <x v="0"/>
    <s v="MON123"/>
    <s v="Chow Fan Pollo megafamiliar"/>
    <n v="3"/>
    <n v="191700"/>
    <n v="0"/>
    <n v="96537"/>
    <n v="95163"/>
    <n v="0.49641627543035993"/>
    <n v="0"/>
    <s v="Platos mong"/>
    <s v="No Personal"/>
    <s v="Caja"/>
  </r>
  <r>
    <x v="1"/>
    <x v="2"/>
    <x v="0"/>
    <s v="COMC06"/>
    <s v="COMBO FAMILIAR"/>
    <n v="3"/>
    <n v="286077"/>
    <n v="-4623"/>
    <n v="140340"/>
    <n v="145737"/>
    <n v="0.50943277509202067"/>
    <n v="1.6159984899170504E-2"/>
    <s v="Combos para compartir"/>
    <s v="No Personal"/>
    <s v="Combo"/>
  </r>
  <r>
    <x v="1"/>
    <x v="2"/>
    <x v="0"/>
    <s v="MON112"/>
    <s v="Chow Fan Camarones Familiar"/>
    <n v="2"/>
    <n v="103800"/>
    <n v="0"/>
    <n v="57630"/>
    <n v="46170"/>
    <n v="0.44479768786127166"/>
    <n v="0"/>
    <s v="Platos mong"/>
    <s v="No Personal"/>
    <s v="Caja"/>
  </r>
  <r>
    <x v="1"/>
    <x v="2"/>
    <x v="0"/>
    <s v="MON201"/>
    <s v="Chow Mein Especial trio"/>
    <n v="2"/>
    <n v="85800"/>
    <n v="0"/>
    <n v="38882"/>
    <n v="46918"/>
    <n v="0.54682983682983688"/>
    <n v="0"/>
    <s v="Platos mong"/>
    <s v="No Personal"/>
    <s v="Caja"/>
  </r>
  <r>
    <x v="1"/>
    <x v="2"/>
    <x v="0"/>
    <s v="BEB594"/>
    <s v="Premio 400 Ml"/>
    <n v="2"/>
    <n v="9185"/>
    <n v="-615"/>
    <n v="2660"/>
    <n v="6525"/>
    <n v="0.71039738704409361"/>
    <n v="6.695699510070767E-2"/>
    <s v="Bebidas"/>
    <s v="Bebidas"/>
    <s v="Bebidas"/>
  </r>
  <r>
    <x v="1"/>
    <x v="2"/>
    <x v="0"/>
    <s v="BEB595"/>
    <s v="Agua Manzana 600 Ml"/>
    <n v="2"/>
    <n v="9800"/>
    <n v="0"/>
    <n v="2746"/>
    <n v="7054"/>
    <n v="0.71979591836734691"/>
    <n v="0"/>
    <s v="Bebidas"/>
    <s v="Bebidas"/>
    <s v="Bebidas"/>
  </r>
  <r>
    <x v="1"/>
    <x v="2"/>
    <x v="0"/>
    <s v="COMC07"/>
    <s v="COMBO ANTOJO"/>
    <n v="2"/>
    <n v="41800"/>
    <n v="0"/>
    <n v="15946"/>
    <n v="25854"/>
    <n v="0.61851674641148324"/>
    <n v="0"/>
    <s v="Combos para compartir"/>
    <s v="No Personal"/>
    <s v="Combo"/>
  </r>
  <r>
    <x v="1"/>
    <x v="2"/>
    <x v="0"/>
    <s v="BEB596"/>
    <s v="Fusetea mango"/>
    <n v="2"/>
    <n v="9800"/>
    <n v="0"/>
    <n v="3792"/>
    <n v="6008"/>
    <n v="0.61306122448979594"/>
    <n v="0"/>
    <s v="Bebidas"/>
    <s v="Bebidas"/>
    <s v="Bebidas"/>
  </r>
  <r>
    <x v="1"/>
    <x v="2"/>
    <x v="0"/>
    <s v="MON505"/>
    <s v="Arroz vegetales pollo personal"/>
    <n v="2"/>
    <n v="39800"/>
    <n v="0"/>
    <n v="12276"/>
    <n v="27524"/>
    <n v="0.69155778894472364"/>
    <n v="0"/>
    <s v="Platos mong"/>
    <s v="Personal"/>
    <s v="Caja"/>
  </r>
  <r>
    <x v="1"/>
    <x v="2"/>
    <x v="0"/>
    <s v="BEB602"/>
    <s v="Kola Roman 400 Ml CB (*Extra)"/>
    <n v="2"/>
    <n v="3200"/>
    <n v="0"/>
    <n v="4470"/>
    <n v="-1270"/>
    <n v="-0.39687499999999998"/>
    <n v="0"/>
    <s v="Bebidas"/>
    <s v="Bebidas Cambio de bebida"/>
    <s v="Bebidas"/>
  </r>
  <r>
    <x v="1"/>
    <x v="2"/>
    <x v="0"/>
    <s v="MON220"/>
    <s v="Chow Mein Pollo Personal"/>
    <n v="2"/>
    <n v="35800"/>
    <n v="0"/>
    <n v="14282"/>
    <n v="21518"/>
    <n v="0.60106145251396648"/>
    <n v="0"/>
    <s v="Platos mong"/>
    <s v="Personal"/>
    <s v="Caja"/>
  </r>
  <r>
    <x v="1"/>
    <x v="2"/>
    <x v="0"/>
    <s v="PESP02"/>
    <s v="MONG"/>
    <n v="2"/>
    <n v="49800"/>
    <n v="0"/>
    <n v="25436"/>
    <n v="24364"/>
    <n v="0.48923694779116467"/>
    <n v="0"/>
    <s v="Platos especiales"/>
    <s v="Personal"/>
    <s v="Platos Especiales"/>
  </r>
  <r>
    <x v="1"/>
    <x v="2"/>
    <x v="0"/>
    <s v="BEB600"/>
    <s v="Fuze te limón 1.2"/>
    <n v="2"/>
    <n v="14900"/>
    <n v="-1100"/>
    <n v="0"/>
    <n v="14900"/>
    <n v="1"/>
    <n v="7.3825503355704702E-2"/>
    <s v="Bebidas"/>
    <s v="Bebidas"/>
    <s v="Bebidas"/>
  </r>
  <r>
    <x v="1"/>
    <x v="2"/>
    <x v="0"/>
    <s v="ATP07"/>
    <s v="Pollo presa ATP (*Extra)"/>
    <n v="2"/>
    <n v="0"/>
    <n v="0"/>
    <n v="5698"/>
    <n v="-5698"/>
    <n v="0"/>
    <n v="0"/>
    <s v="Arma tu plato"/>
    <s v="Personal"/>
    <s v="Caja"/>
  </r>
  <r>
    <x v="1"/>
    <x v="2"/>
    <x v="0"/>
    <s v="BEB587"/>
    <s v="Agua Limón 600 Ml"/>
    <n v="2"/>
    <n v="9800"/>
    <n v="0"/>
    <n v="2746"/>
    <n v="7054"/>
    <n v="0.71979591836734691"/>
    <n v="0"/>
    <s v="Bebidas"/>
    <s v="Bebidas"/>
    <s v="Bebidas"/>
  </r>
  <r>
    <x v="1"/>
    <x v="2"/>
    <x v="0"/>
    <s v="MON200"/>
    <s v="Chow Mein Especial Personal"/>
    <n v="2"/>
    <n v="41800"/>
    <n v="0"/>
    <n v="17042"/>
    <n v="24758"/>
    <n v="0.59229665071770332"/>
    <n v="0"/>
    <s v="Platos mong"/>
    <s v="Personal"/>
    <s v="Caja"/>
  </r>
  <r>
    <x v="1"/>
    <x v="2"/>
    <x v="0"/>
    <s v="ADIC568"/>
    <s v="Res brocoli"/>
    <n v="2"/>
    <n v="17800"/>
    <n v="0"/>
    <n v="0"/>
    <n v="17800"/>
    <n v="1"/>
    <n v="0"/>
    <s v="Adición"/>
    <s v="Adición"/>
    <s v="Adición"/>
  </r>
  <r>
    <x v="1"/>
    <x v="2"/>
    <x v="0"/>
    <s v="ADIC567"/>
    <s v="cerdo agridulce"/>
    <n v="1"/>
    <n v="7900"/>
    <n v="0"/>
    <n v="0"/>
    <n v="7900"/>
    <n v="1"/>
    <n v="0"/>
    <s v="Adición"/>
    <s v="Adición"/>
    <s v="Adición"/>
  </r>
  <r>
    <x v="1"/>
    <x v="2"/>
    <x v="0"/>
    <s v="BOW04"/>
    <s v="Kumo Bowl mini"/>
    <n v="1"/>
    <n v="18900"/>
    <n v="0"/>
    <n v="0"/>
    <n v="18900"/>
    <n v="1"/>
    <n v="0"/>
    <s v="Bowl"/>
    <s v="Personal"/>
    <s v="Bowl"/>
  </r>
  <r>
    <x v="1"/>
    <x v="2"/>
    <x v="0"/>
    <s v="BOW03"/>
    <s v="Take Bowl mini"/>
    <n v="1"/>
    <n v="17900"/>
    <n v="0"/>
    <n v="0"/>
    <n v="17900"/>
    <n v="1"/>
    <n v="0"/>
    <s v="Bowl"/>
    <s v="Personal"/>
    <s v="Bowl"/>
  </r>
  <r>
    <x v="1"/>
    <x v="2"/>
    <x v="0"/>
    <s v="BEB605"/>
    <s v="Quatro 400 Ml CB (*Extra)"/>
    <n v="1"/>
    <n v="1600"/>
    <n v="0"/>
    <n v="1330"/>
    <n v="270"/>
    <n v="0.16875000000000001"/>
    <n v="0"/>
    <s v="Bebidas"/>
    <s v="Bebidas Cambio de bebida"/>
    <s v="Bebidas"/>
  </r>
  <r>
    <x v="1"/>
    <x v="2"/>
    <x v="0"/>
    <s v="MON210"/>
    <s v="Chow Mein Camaron Personal"/>
    <n v="1"/>
    <n v="24900"/>
    <n v="0"/>
    <n v="10481"/>
    <n v="14419"/>
    <n v="0.57907630522088349"/>
    <n v="0"/>
    <s v="Platos mong"/>
    <s v="Personal"/>
    <s v="Caja"/>
  </r>
  <r>
    <x v="1"/>
    <x v="2"/>
    <x v="0"/>
    <s v="BEB607"/>
    <s v="Agua Gas 600 Ml CB (*Extra)"/>
    <n v="1"/>
    <n v="1600"/>
    <n v="0"/>
    <n v="1610"/>
    <n v="-10"/>
    <n v="-6.2500000000000003E-3"/>
    <n v="0"/>
    <s v="Bebidas"/>
    <s v="Bebidas Cambio de bebida"/>
    <s v="Bebidas"/>
  </r>
  <r>
    <x v="1"/>
    <x v="2"/>
    <x v="0"/>
    <s v="BEB584"/>
    <s v="Quatro 400 Ml"/>
    <n v="1"/>
    <n v="4900"/>
    <n v="0"/>
    <n v="1330"/>
    <n v="3570"/>
    <n v="0.72857142857142854"/>
    <n v="0"/>
    <s v="Bebidas"/>
    <s v="Bebidas"/>
    <s v="Bebidas"/>
  </r>
  <r>
    <x v="1"/>
    <x v="2"/>
    <x v="0"/>
    <s v="COMP10"/>
    <s v="COMBO - Lumpia y Coca Cola 250 ml"/>
    <n v="1"/>
    <n v="7900"/>
    <n v="0"/>
    <n v="0"/>
    <n v="7900"/>
    <n v="1"/>
    <n v="0"/>
    <s v="Armalo en combo"/>
    <s v="Personal"/>
    <s v="Combo"/>
  </r>
  <r>
    <x v="1"/>
    <x v="2"/>
    <x v="0"/>
    <s v="COMP09"/>
    <s v="COMBO - Papas 120 grs y agua 280 Ml"/>
    <n v="1"/>
    <n v="7900"/>
    <n v="0"/>
    <n v="2917"/>
    <n v="4983"/>
    <n v="0.63075949367088613"/>
    <n v="0"/>
    <s v="Armalo en combo"/>
    <s v="Personal"/>
    <s v="Combo"/>
  </r>
  <r>
    <x v="1"/>
    <x v="2"/>
    <x v="0"/>
    <s v="BEB00"/>
    <s v="Coca Cola 250 Ml Zero CB (*Extra)"/>
    <n v="1"/>
    <n v="0"/>
    <n v="0"/>
    <n v="0"/>
    <n v="0"/>
    <n v="0"/>
    <n v="0"/>
    <s v="Bebidas"/>
    <s v="Bebidas Cambio de bebida"/>
    <s v="Bebidas"/>
  </r>
  <r>
    <x v="1"/>
    <x v="2"/>
    <x v="0"/>
    <s v="ADIC562"/>
    <s v="Adición Pasta"/>
    <n v="1"/>
    <n v="4900"/>
    <n v="0"/>
    <n v="3010"/>
    <n v="1890"/>
    <n v="0.38571428571428573"/>
    <n v="0"/>
    <s v="Adición"/>
    <s v="Adición"/>
    <s v="Adición"/>
  </r>
  <r>
    <x v="1"/>
    <x v="2"/>
    <x v="0"/>
    <s v="MON202"/>
    <s v="Chow Mein Especial Familiar"/>
    <n v="1"/>
    <n v="57900"/>
    <n v="0"/>
    <n v="37744"/>
    <n v="20156"/>
    <n v="0.34811744386873922"/>
    <n v="0"/>
    <s v="Platos mong"/>
    <s v="No Personal"/>
    <s v="Caja"/>
  </r>
  <r>
    <x v="1"/>
    <x v="2"/>
    <x v="0"/>
    <s v="MON504"/>
    <s v="Arroz vegetales camarones personal"/>
    <n v="1"/>
    <n v="25900"/>
    <n v="-2000"/>
    <n v="9478"/>
    <n v="16422"/>
    <n v="0.63405405405405402"/>
    <n v="7.7220077220077218E-2"/>
    <s v="Platos mong"/>
    <s v="Personal"/>
    <s v="Caja"/>
  </r>
  <r>
    <x v="1"/>
    <x v="2"/>
    <x v="0"/>
    <s v="BEB611"/>
    <s v="Jugo Del Valle Mandarina CB (*Extra)"/>
    <n v="1"/>
    <n v="1600"/>
    <n v="0"/>
    <n v="950"/>
    <n v="650"/>
    <n v="0.40625"/>
    <n v="0"/>
    <s v="Bebidas"/>
    <s v="Bebidas Cambio de bebida"/>
    <s v="Bebidas"/>
  </r>
  <r>
    <x v="1"/>
    <x v="2"/>
    <x v="0"/>
    <s v="BEB585"/>
    <s v="Agua Normal 600 Ml"/>
    <n v="1"/>
    <n v="4900"/>
    <n v="0"/>
    <n v="1095"/>
    <n v="3805"/>
    <n v="0.77653061224489794"/>
    <n v="0"/>
    <s v="Bebidas"/>
    <s v="Bebidas"/>
    <s v="Bebidas"/>
  </r>
  <r>
    <x v="1"/>
    <x v="2"/>
    <x v="0"/>
    <s v="BEB597"/>
    <s v="Fusetea manzana"/>
    <n v="1"/>
    <n v="4900"/>
    <n v="0"/>
    <n v="1560"/>
    <n v="3340"/>
    <n v="0.68163265306122445"/>
    <n v="0"/>
    <s v="Bebidas"/>
    <s v="Bebidas"/>
    <s v="Bebidas"/>
  </r>
  <r>
    <x v="1"/>
    <x v="2"/>
    <x v="0"/>
    <s v="COMP08"/>
    <s v="COMBO - Papas 120 grs y Coca Cola 250 ml"/>
    <n v="1"/>
    <n v="7900"/>
    <n v="0"/>
    <n v="3212"/>
    <n v="4688"/>
    <n v="0.59341772151898731"/>
    <n v="0"/>
    <s v="Armalo en combo"/>
    <s v="Personal"/>
    <s v="Combo"/>
  </r>
  <r>
    <x v="1"/>
    <x v="2"/>
    <x v="0"/>
    <s v="MON320"/>
    <s v="Chop Suey Pollo Personal"/>
    <n v="1"/>
    <n v="18900"/>
    <n v="0"/>
    <n v="5461"/>
    <n v="13439"/>
    <n v="0.71105820105820106"/>
    <n v="0"/>
    <s v="Platos mong"/>
    <s v="Personal"/>
    <s v="Caja"/>
  </r>
  <r>
    <x v="0"/>
    <x v="0"/>
    <x v="1"/>
    <s v="COMP01"/>
    <s v="COMBO 1- Valenciano personal"/>
    <n v="321"/>
    <n v="7661449"/>
    <n v="-10451"/>
    <n v="3090267"/>
    <n v="4571182"/>
    <n v="0.59664718775782488"/>
    <n v="1.3641022736038575E-3"/>
    <s v="Combos personales"/>
    <s v="Personal"/>
    <s v="Combo"/>
  </r>
  <r>
    <x v="0"/>
    <x v="0"/>
    <x v="1"/>
    <s v="MON450"/>
    <s v="Arma tu plato"/>
    <n v="253"/>
    <n v="6297293"/>
    <n v="-2407"/>
    <n v="0"/>
    <n v="6297293"/>
    <n v="1"/>
    <n v="3.822277286446732E-4"/>
    <s v="Arma tu plato"/>
    <s v="Personal"/>
    <s v="Caja"/>
  </r>
  <r>
    <x v="0"/>
    <x v="0"/>
    <x v="1"/>
    <s v="ATP01"/>
    <s v="Pollo a la naranja (*Extra)"/>
    <n v="169"/>
    <n v="0"/>
    <n v="0"/>
    <n v="927979"/>
    <n v="-927979"/>
    <n v="0"/>
    <n v="0"/>
    <s v="Arma tu plato"/>
    <s v="Personal"/>
    <s v="Caja"/>
  </r>
  <r>
    <x v="0"/>
    <x v="0"/>
    <x v="1"/>
    <s v="ENT04"/>
    <s v="LUMPIAS X 2"/>
    <n v="144"/>
    <n v="1281400"/>
    <n v="-200"/>
    <n v="452016"/>
    <n v="829384"/>
    <n v="0.64724832214765105"/>
    <n v="1.5607928827844546E-4"/>
    <s v="Entradas"/>
    <s v="Otro"/>
    <s v="Otro"/>
  </r>
  <r>
    <x v="0"/>
    <x v="0"/>
    <x v="1"/>
    <s v="ATP10"/>
    <s v="Cerdo agridulce (*Extra)"/>
    <n v="98"/>
    <n v="0"/>
    <n v="0"/>
    <n v="535766"/>
    <n v="-535766"/>
    <n v="0"/>
    <n v="0"/>
    <s v="Arma tu plato"/>
    <s v="Personal"/>
    <s v="Caja"/>
  </r>
  <r>
    <x v="0"/>
    <x v="0"/>
    <x v="1"/>
    <s v="ATP06"/>
    <s v="Arroz Frito ATP (*Extra)"/>
    <n v="95"/>
    <n v="0"/>
    <n v="0"/>
    <n v="121790"/>
    <n v="-121790"/>
    <n v="0"/>
    <n v="0"/>
    <s v="Arma tu plato"/>
    <s v="Personal"/>
    <s v="Caja"/>
  </r>
  <r>
    <x v="0"/>
    <x v="0"/>
    <x v="1"/>
    <s v="ATP02"/>
    <s v="Camarones apanados 7 (*Extra)"/>
    <n v="87"/>
    <n v="173807"/>
    <n v="-193"/>
    <n v="270396"/>
    <n v="-96589"/>
    <n v="-0.55572560368684809"/>
    <n v="1.1104270829138067E-3"/>
    <s v="Arma tu plato"/>
    <s v="Personal"/>
    <s v="Caja"/>
  </r>
  <r>
    <x v="0"/>
    <x v="0"/>
    <x v="1"/>
    <s v="COMP03"/>
    <s v="COMBO 3 - Chop suey especial personal"/>
    <n v="84"/>
    <n v="2427600"/>
    <n v="0"/>
    <n v="803880"/>
    <n v="1623720"/>
    <n v="0.66885813148788931"/>
    <n v="0"/>
    <s v="Combos personales"/>
    <s v="Personal"/>
    <s v="Combo"/>
  </r>
  <r>
    <x v="0"/>
    <x v="0"/>
    <x v="1"/>
    <s v="COMP05"/>
    <s v="COMBO 5 - Chow Mein especial personal"/>
    <n v="83"/>
    <n v="2398700"/>
    <n v="0"/>
    <n v="933999"/>
    <n v="1464701"/>
    <n v="0.61062283737024226"/>
    <n v="0"/>
    <s v="Combos personales"/>
    <s v="Personal"/>
    <s v="Combo"/>
  </r>
  <r>
    <x v="0"/>
    <x v="0"/>
    <x v="1"/>
    <s v="BEB581"/>
    <s v="Coca Cola 400 Ml Normal"/>
    <n v="82"/>
    <n v="481389"/>
    <n v="-2411"/>
    <n v="138990"/>
    <n v="342399"/>
    <n v="0.71127300374541169"/>
    <n v="5.0084235410447686E-3"/>
    <s v="Bebidas"/>
    <s v="Bebidas"/>
    <s v="Bebidas"/>
  </r>
  <r>
    <x v="0"/>
    <x v="0"/>
    <x v="1"/>
    <s v="BEB585"/>
    <s v="Agua Normal 600 Ml"/>
    <n v="72"/>
    <n v="347900"/>
    <n v="-4900"/>
    <n v="78840"/>
    <n v="269060"/>
    <n v="0.77338315607933317"/>
    <n v="1.4084507042253521E-2"/>
    <s v="Bebidas"/>
    <s v="Bebidas"/>
    <s v="Bebidas"/>
  </r>
  <r>
    <x v="0"/>
    <x v="0"/>
    <x v="1"/>
    <s v="ATP09"/>
    <s v="Res brócoli (*Extra)"/>
    <n v="70"/>
    <n v="0"/>
    <n v="0"/>
    <n v="232540"/>
    <n v="-232540"/>
    <n v="0"/>
    <n v="0"/>
    <s v="Arma tu plato"/>
    <s v="Personal"/>
    <s v="Caja"/>
  </r>
  <r>
    <x v="0"/>
    <x v="0"/>
    <x v="1"/>
    <s v="BEB01"/>
    <s v="Coca Cola 250 Ml Normal CB (*Extra)"/>
    <n v="69"/>
    <n v="68287"/>
    <n v="-713"/>
    <n v="134205"/>
    <n v="-65918"/>
    <n v="-0.96530818457393064"/>
    <n v="1.0441226002020883E-2"/>
    <s v="Bebidas"/>
    <s v="Bebidas Cambio de bebida"/>
    <s v="Bebidas"/>
  </r>
  <r>
    <x v="0"/>
    <x v="0"/>
    <x v="1"/>
    <s v="BEB620"/>
    <s v="Agua 280 ml CB (*Extra)"/>
    <n v="69"/>
    <n v="0"/>
    <n v="0"/>
    <n v="59892"/>
    <n v="-59892"/>
    <n v="0"/>
    <n v="0"/>
    <s v="Bebidas"/>
    <s v="Bebidas Cambio de bebida"/>
    <s v="Bebidas"/>
  </r>
  <r>
    <x v="0"/>
    <x v="0"/>
    <x v="1"/>
    <s v="COMP02"/>
    <s v="COMBO 2 - Chow fan especial personal"/>
    <n v="69"/>
    <n v="1787100"/>
    <n v="0"/>
    <n v="655569"/>
    <n v="1131531"/>
    <n v="0.63316602316602322"/>
    <n v="0"/>
    <s v="Combos personales"/>
    <s v="Personal"/>
    <s v="Combo"/>
  </r>
  <r>
    <x v="0"/>
    <x v="0"/>
    <x v="1"/>
    <s v="PESP04"/>
    <s v="SUN KEE"/>
    <n v="68"/>
    <n v="1829200"/>
    <n v="0"/>
    <n v="927384"/>
    <n v="901816"/>
    <n v="0.4930111524163569"/>
    <n v="0"/>
    <s v="Platos especiales"/>
    <s v="Personal"/>
    <s v="Platos Especiales"/>
  </r>
  <r>
    <x v="0"/>
    <x v="0"/>
    <x v="1"/>
    <s v="ATP04"/>
    <s v="Chop suey (*Extra)"/>
    <n v="61"/>
    <n v="0"/>
    <n v="0"/>
    <n v="160674"/>
    <n v="-160674"/>
    <n v="0"/>
    <n v="0"/>
    <s v="Arma tu plato"/>
    <s v="Personal"/>
    <s v="Caja"/>
  </r>
  <r>
    <x v="0"/>
    <x v="0"/>
    <x v="1"/>
    <s v="ATP03"/>
    <s v="Arroz vegetales (*Extra)"/>
    <n v="51"/>
    <n v="102000"/>
    <n v="0"/>
    <n v="103785"/>
    <n v="-1785"/>
    <n v="-1.7500000000000002E-2"/>
    <n v="0"/>
    <s v="Arma tu plato"/>
    <s v="Personal"/>
    <s v="Caja"/>
  </r>
  <r>
    <x v="0"/>
    <x v="0"/>
    <x v="1"/>
    <s v="ATP05"/>
    <s v="Chow mein (*Extra)"/>
    <n v="46"/>
    <n v="0"/>
    <n v="0"/>
    <n v="142462"/>
    <n v="-142462"/>
    <n v="0"/>
    <n v="0"/>
    <s v="Arma tu plato"/>
    <s v="Personal"/>
    <s v="Caja"/>
  </r>
  <r>
    <x v="0"/>
    <x v="0"/>
    <x v="1"/>
    <s v="BEB580"/>
    <s v="Coca Cola 250 Ml Normal"/>
    <n v="40"/>
    <n v="156000"/>
    <n v="0"/>
    <n v="46520"/>
    <n v="109480"/>
    <n v="0.70179487179487177"/>
    <n v="0"/>
    <s v="Bebidas"/>
    <s v="Bebidas"/>
    <s v="Bebidas"/>
  </r>
  <r>
    <x v="0"/>
    <x v="0"/>
    <x v="1"/>
    <s v="ATP08"/>
    <s v="Pollo Apanado ATP (*Extra)"/>
    <n v="39"/>
    <n v="0"/>
    <n v="0"/>
    <n v="205257"/>
    <n v="-205257"/>
    <n v="0"/>
    <n v="0"/>
    <s v="Arma tu plato"/>
    <s v="Personal"/>
    <s v="Caja"/>
  </r>
  <r>
    <x v="0"/>
    <x v="0"/>
    <x v="1"/>
    <s v="BEB592"/>
    <s v="Coca Cola 400 Ml Zero"/>
    <n v="38"/>
    <n v="224200"/>
    <n v="0"/>
    <n v="55024"/>
    <n v="169176"/>
    <n v="0.75457627118644066"/>
    <n v="0"/>
    <s v="Bebidas"/>
    <s v="Bebidas"/>
    <s v="Bebidas"/>
  </r>
  <r>
    <x v="0"/>
    <x v="0"/>
    <x v="1"/>
    <s v="BEB599"/>
    <s v="Agua 280 ml"/>
    <n v="37"/>
    <n v="129500"/>
    <n v="0"/>
    <n v="32116"/>
    <n v="97384"/>
    <n v="0.752"/>
    <n v="0"/>
    <s v="Bebidas"/>
    <s v="Bebidas"/>
    <s v="Bebidas"/>
  </r>
  <r>
    <x v="0"/>
    <x v="0"/>
    <x v="1"/>
    <s v="PESP03"/>
    <s v="LING"/>
    <n v="34"/>
    <n v="914600"/>
    <n v="0"/>
    <n v="461278"/>
    <n v="453322"/>
    <n v="0.49565055762081783"/>
    <n v="0"/>
    <s v="Platos especiales"/>
    <s v="Personal"/>
    <s v="Platos Especiales"/>
  </r>
  <r>
    <x v="0"/>
    <x v="0"/>
    <x v="1"/>
    <s v="ADIC560"/>
    <s v="Adición Papa frita"/>
    <n v="30"/>
    <n v="174300"/>
    <n v="-2700"/>
    <n v="122940"/>
    <n v="51360"/>
    <n v="0.29466437177280552"/>
    <n v="1.549053356282272E-2"/>
    <s v="Adición"/>
    <s v="Adición"/>
    <s v="Adición"/>
  </r>
  <r>
    <x v="0"/>
    <x v="0"/>
    <x v="1"/>
    <s v="ADIC563"/>
    <s v="Adición Arroz Frito"/>
    <n v="30"/>
    <n v="157558"/>
    <n v="-19442"/>
    <n v="38460"/>
    <n v="119098"/>
    <n v="0.75589941481866996"/>
    <n v="0.12339582883763439"/>
    <s v="Adición"/>
    <s v="Adición"/>
    <s v="Adición"/>
  </r>
  <r>
    <x v="0"/>
    <x v="0"/>
    <x v="1"/>
    <s v="ATP07"/>
    <s v="Pollo presa ATP (*Extra)"/>
    <n v="30"/>
    <n v="0"/>
    <n v="0"/>
    <n v="85470"/>
    <n v="-85470"/>
    <n v="0"/>
    <n v="0"/>
    <s v="Arma tu plato"/>
    <s v="Personal"/>
    <s v="Caja"/>
  </r>
  <r>
    <x v="0"/>
    <x v="0"/>
    <x v="1"/>
    <s v="COMP10"/>
    <s v="COMBO - Lumpia y Coca Cola 250 ml"/>
    <n v="27"/>
    <n v="213300"/>
    <n v="0"/>
    <n v="0"/>
    <n v="213300"/>
    <n v="1"/>
    <n v="0"/>
    <s v="Armalo en combo"/>
    <s v="Personal"/>
    <s v="Combo"/>
  </r>
  <r>
    <x v="0"/>
    <x v="0"/>
    <x v="1"/>
    <s v="ENT03"/>
    <s v="CAMARONES APANADOS"/>
    <n v="27"/>
    <n v="453051"/>
    <n v="-3249"/>
    <n v="167805"/>
    <n v="285246"/>
    <n v="0.62961123582113276"/>
    <n v="7.1713780567750646E-3"/>
    <s v="Entradas"/>
    <s v="Otro"/>
    <s v="Otro"/>
  </r>
  <r>
    <x v="0"/>
    <x v="0"/>
    <x v="1"/>
    <s v="MON500"/>
    <s v="Arroz vegetales especial personal"/>
    <n v="24"/>
    <n v="540243"/>
    <n v="-9357"/>
    <n v="180336"/>
    <n v="359907"/>
    <n v="0.66619465684886248"/>
    <n v="1.7319983785074496E-2"/>
    <s v="Platos mong"/>
    <s v="Personal"/>
    <s v="Caja"/>
  </r>
  <r>
    <x v="0"/>
    <x v="0"/>
    <x v="1"/>
    <s v="MONE701"/>
    <s v="Mong Express Chow fan"/>
    <n v="24"/>
    <n v="470364"/>
    <n v="-7236"/>
    <n v="0"/>
    <n v="470364"/>
    <n v="1"/>
    <n v="1.5383830395183306E-2"/>
    <s v="Mong Express"/>
    <s v="Personal"/>
    <s v="Caja"/>
  </r>
  <r>
    <x v="0"/>
    <x v="0"/>
    <x v="1"/>
    <s v="BEB598"/>
    <s v="Coca Cola 1,5 litros"/>
    <n v="24"/>
    <n v="168300"/>
    <n v="-69300"/>
    <n v="108024"/>
    <n v="60276"/>
    <n v="0.35814616755793227"/>
    <n v="0.41176470588235292"/>
    <s v="Bebidas"/>
    <s v="Bebidas"/>
    <s v="Bebidas"/>
  </r>
  <r>
    <x v="0"/>
    <x v="0"/>
    <x v="1"/>
    <s v="BOW01"/>
    <s v="Tao Bowl mini"/>
    <n v="23"/>
    <n v="411700"/>
    <n v="0"/>
    <n v="0"/>
    <n v="411700"/>
    <n v="1"/>
    <n v="0"/>
    <s v="Bowl"/>
    <s v="Personal"/>
    <s v="Bowl"/>
  </r>
  <r>
    <x v="0"/>
    <x v="0"/>
    <x v="1"/>
    <s v="BEB593"/>
    <s v="Coca Cola 250 Ml Zero"/>
    <n v="23"/>
    <n v="89342"/>
    <n v="-358"/>
    <n v="29693"/>
    <n v="59649"/>
    <n v="0.66764791475453877"/>
    <n v="4.0070739405878531E-3"/>
    <s v="Bebidas"/>
    <s v="Bebidas"/>
    <s v="Bebidas"/>
  </r>
  <r>
    <x v="0"/>
    <x v="0"/>
    <x v="1"/>
    <s v="BEB586"/>
    <s v="Agua Gas 600 Ml"/>
    <n v="23"/>
    <n v="112700"/>
    <n v="0"/>
    <n v="29624"/>
    <n v="83076"/>
    <n v="0.7371428571428571"/>
    <n v="0"/>
    <s v="Bebidas"/>
    <s v="Bebidas"/>
    <s v="Bebidas"/>
  </r>
  <r>
    <x v="0"/>
    <x v="0"/>
    <x v="1"/>
    <s v="PESP02"/>
    <s v="MONG"/>
    <n v="22"/>
    <n v="547800"/>
    <n v="0"/>
    <n v="279796"/>
    <n v="268004"/>
    <n v="0.48923694779116467"/>
    <n v="0"/>
    <s v="Platos especiales"/>
    <s v="Personal"/>
    <s v="Platos Especiales"/>
  </r>
  <r>
    <x v="0"/>
    <x v="0"/>
    <x v="1"/>
    <s v="MONE700"/>
    <s v="Mong Express Chop suey pollo"/>
    <n v="21"/>
    <n v="409768"/>
    <n v="-8132"/>
    <n v="171843"/>
    <n v="237925"/>
    <n v="0.58063343160032022"/>
    <n v="1.9845375920032798E-2"/>
    <s v="Mong Express"/>
    <s v="Personal"/>
    <s v="Caja"/>
  </r>
  <r>
    <x v="0"/>
    <x v="0"/>
    <x v="1"/>
    <s v="COMP04"/>
    <s v="COMBO 4 - arroz vegetales especial"/>
    <n v="20"/>
    <n v="598000"/>
    <n v="0"/>
    <n v="204940"/>
    <n v="393060"/>
    <n v="0.65729096989966551"/>
    <n v="0"/>
    <s v="Combos personales"/>
    <s v="Personal"/>
    <s v="Combo"/>
  </r>
  <r>
    <x v="0"/>
    <x v="0"/>
    <x v="1"/>
    <s v="MON300"/>
    <s v="Chop suey especial personal"/>
    <n v="20"/>
    <n v="418000"/>
    <n v="0"/>
    <n v="136760"/>
    <n v="281240"/>
    <n v="0.67282296650717699"/>
    <n v="0"/>
    <s v="Platos mong"/>
    <s v="Personal"/>
    <s v="Caja"/>
  </r>
  <r>
    <x v="0"/>
    <x v="0"/>
    <x v="1"/>
    <s v="BEB595"/>
    <s v="Agua Manzana 600 Ml"/>
    <n v="18"/>
    <n v="88200"/>
    <n v="0"/>
    <n v="24714"/>
    <n v="63486"/>
    <n v="0.71979591836734691"/>
    <n v="0"/>
    <s v="Bebidas"/>
    <s v="Bebidas"/>
    <s v="Bebidas"/>
  </r>
  <r>
    <x v="0"/>
    <x v="0"/>
    <x v="1"/>
    <s v="BEB588"/>
    <s v="Fusetea Limon"/>
    <n v="18"/>
    <n v="88200"/>
    <n v="0"/>
    <n v="28080"/>
    <n v="60120"/>
    <n v="0.68163265306122445"/>
    <n v="0"/>
    <s v="Bebidas"/>
    <s v="Bebidas"/>
    <s v="Bebidas"/>
  </r>
  <r>
    <x v="0"/>
    <x v="0"/>
    <x v="1"/>
    <s v="PESP01"/>
    <s v="MING"/>
    <n v="17"/>
    <n v="491300"/>
    <n v="0"/>
    <n v="129285"/>
    <n v="362015"/>
    <n v="0.73685121107266438"/>
    <n v="0"/>
    <s v="Platos especiales"/>
    <s v="Personal"/>
    <s v="Platos Especiales"/>
  </r>
  <r>
    <x v="0"/>
    <x v="0"/>
    <x v="1"/>
    <s v="MON131"/>
    <s v="Chow Fan Valenciano trio"/>
    <n v="16"/>
    <n v="942400"/>
    <n v="0"/>
    <n v="301088"/>
    <n v="641312"/>
    <n v="0.68050933786078094"/>
    <n v="0"/>
    <s v="Platos mong"/>
    <s v="No Personal"/>
    <s v="Caja"/>
  </r>
  <r>
    <x v="0"/>
    <x v="0"/>
    <x v="1"/>
    <s v="BEB587"/>
    <s v="Agua Limón 600 Ml"/>
    <n v="16"/>
    <n v="78400"/>
    <n v="0"/>
    <n v="21968"/>
    <n v="56432"/>
    <n v="0.71979591836734691"/>
    <n v="0"/>
    <s v="Bebidas"/>
    <s v="Bebidas"/>
    <s v="Bebidas"/>
  </r>
  <r>
    <x v="0"/>
    <x v="0"/>
    <x v="1"/>
    <s v="MON102"/>
    <s v="Chow Fan Especial familiar"/>
    <n v="16"/>
    <n v="1070400"/>
    <n v="0"/>
    <n v="517616"/>
    <n v="552784"/>
    <n v="0.51642750373692081"/>
    <n v="0"/>
    <s v="Platos mong"/>
    <s v="No Personal"/>
    <s v="Caja"/>
  </r>
  <r>
    <x v="0"/>
    <x v="0"/>
    <x v="1"/>
    <s v="BEB589"/>
    <s v="Fusetea Durazno"/>
    <n v="16"/>
    <n v="78400"/>
    <n v="0"/>
    <n v="24960"/>
    <n v="53440"/>
    <n v="0.68163265306122445"/>
    <n v="0"/>
    <s v="Bebidas"/>
    <s v="Bebidas"/>
    <s v="Bebidas"/>
  </r>
  <r>
    <x v="0"/>
    <x v="0"/>
    <x v="1"/>
    <s v="BOW07"/>
    <s v="Tao Bowl grande"/>
    <n v="15"/>
    <n v="284700"/>
    <n v="-43800"/>
    <n v="0"/>
    <n v="284700"/>
    <n v="1"/>
    <n v="0.15384615384615385"/>
    <s v="Bowl"/>
    <s v="Personal"/>
    <s v="Bowl"/>
  </r>
  <r>
    <x v="0"/>
    <x v="0"/>
    <x v="1"/>
    <s v="ADIC566"/>
    <s v="Pollo a la naranja"/>
    <n v="14"/>
    <n v="110600"/>
    <n v="0"/>
    <n v="0"/>
    <n v="110600"/>
    <n v="1"/>
    <n v="0"/>
    <s v="Adición"/>
    <s v="Adición"/>
    <s v="Adición"/>
  </r>
  <r>
    <x v="0"/>
    <x v="0"/>
    <x v="1"/>
    <s v="COMC02"/>
    <s v="COMBO AMIGOS"/>
    <n v="13"/>
    <n v="778700"/>
    <n v="0"/>
    <n v="307294"/>
    <n v="471406"/>
    <n v="0.60537562604340567"/>
    <n v="0"/>
    <s v="Combos para compartir"/>
    <s v="No Personal"/>
    <s v="Combo"/>
  </r>
  <r>
    <x v="0"/>
    <x v="0"/>
    <x v="1"/>
    <s v="BEB583"/>
    <s v="Sprite 400 Ml"/>
    <n v="13"/>
    <n v="63700"/>
    <n v="0"/>
    <n v="17290"/>
    <n v="46410"/>
    <n v="0.72857142857142854"/>
    <n v="0"/>
    <s v="Bebidas"/>
    <s v="Bebidas"/>
    <s v="Bebidas"/>
  </r>
  <r>
    <x v="0"/>
    <x v="0"/>
    <x v="1"/>
    <s v="MON132"/>
    <s v="Chow Fan Valenciano familiar"/>
    <n v="13"/>
    <n v="999700"/>
    <n v="0"/>
    <n v="450515"/>
    <n v="549185"/>
    <n v="0.54934980494148244"/>
    <n v="0"/>
    <s v="Platos mong"/>
    <s v="No Personal"/>
    <s v="Caja"/>
  </r>
  <r>
    <x v="0"/>
    <x v="0"/>
    <x v="1"/>
    <s v="COMC07"/>
    <s v="COMBO ANTOJO"/>
    <n v="12"/>
    <n v="250800"/>
    <n v="0"/>
    <n v="95676"/>
    <n v="155124"/>
    <n v="0.61851674641148324"/>
    <n v="0"/>
    <s v="Combos para compartir"/>
    <s v="No Personal"/>
    <s v="Combo"/>
  </r>
  <r>
    <x v="0"/>
    <x v="0"/>
    <x v="1"/>
    <s v="ADIC565"/>
    <s v="Adición Camaron"/>
    <n v="12"/>
    <n v="82800"/>
    <n v="0"/>
    <n v="37296"/>
    <n v="45504"/>
    <n v="0.54956521739130437"/>
    <n v="0"/>
    <s v="Adición"/>
    <s v="Adición"/>
    <s v="Adición"/>
  </r>
  <r>
    <x v="0"/>
    <x v="0"/>
    <x v="1"/>
    <s v="MON101"/>
    <s v="Chow fan especial trio"/>
    <n v="12"/>
    <n v="562800"/>
    <n v="0"/>
    <n v="240636"/>
    <n v="322164"/>
    <n v="0.57243070362473347"/>
    <n v="0"/>
    <s v="Platos mong"/>
    <s v="No Personal"/>
    <s v="Platos Especiales"/>
  </r>
  <r>
    <x v="0"/>
    <x v="0"/>
    <x v="1"/>
    <s v="MON100"/>
    <s v="Chow Fan Especial Personal"/>
    <n v="12"/>
    <n v="238800"/>
    <n v="0"/>
    <n v="81216"/>
    <n v="157584"/>
    <n v="0.65989949748743715"/>
    <n v="0"/>
    <s v="Platos mong"/>
    <s v="Personal"/>
    <s v="Caja"/>
  </r>
  <r>
    <x v="0"/>
    <x v="0"/>
    <x v="1"/>
    <s v="BOW04"/>
    <s v="Kumo Bowl mini"/>
    <n v="11"/>
    <n v="207900"/>
    <n v="0"/>
    <n v="0"/>
    <n v="207900"/>
    <n v="1"/>
    <n v="0"/>
    <s v="Bowl"/>
    <s v="Personal"/>
    <s v="Bowl"/>
  </r>
  <r>
    <x v="0"/>
    <x v="0"/>
    <x v="1"/>
    <s v="MON504"/>
    <s v="Arroz vegetales camarones personal"/>
    <n v="11"/>
    <n v="284900"/>
    <n v="0"/>
    <n v="104258"/>
    <n v="180642"/>
    <n v="0.63405405405405402"/>
    <n v="0"/>
    <s v="Platos mong"/>
    <s v="Personal"/>
    <s v="Caja"/>
  </r>
  <r>
    <x v="0"/>
    <x v="0"/>
    <x v="1"/>
    <s v="BOW05"/>
    <s v="Kumo Bowl grande"/>
    <n v="11"/>
    <n v="229000"/>
    <n v="-22900"/>
    <n v="0"/>
    <n v="229000"/>
    <n v="1"/>
    <n v="0.1"/>
    <s v="Bowl"/>
    <s v="Personal"/>
    <s v="Bowl"/>
  </r>
  <r>
    <x v="0"/>
    <x v="0"/>
    <x v="1"/>
    <s v="ENT02"/>
    <s v="LUMPIA X 1"/>
    <n v="11"/>
    <n v="50000"/>
    <n v="-5000"/>
    <n v="17259"/>
    <n v="32741"/>
    <n v="0.65481999999999996"/>
    <n v="0.1"/>
    <s v="Entradas"/>
    <s v="Otro"/>
    <s v="Otro"/>
  </r>
  <r>
    <x v="0"/>
    <x v="0"/>
    <x v="1"/>
    <s v="ADIC564"/>
    <s v="Adición Presa de pollo"/>
    <n v="11"/>
    <n v="75900"/>
    <n v="0"/>
    <n v="27104"/>
    <n v="48796"/>
    <n v="0.64289855072463764"/>
    <n v="0"/>
    <s v="Adición"/>
    <s v="Adición"/>
    <s v="Adición"/>
  </r>
  <r>
    <x v="0"/>
    <x v="0"/>
    <x v="1"/>
    <s v="MON320"/>
    <s v="Chop Suey Pollo Personal"/>
    <n v="11"/>
    <n v="207900"/>
    <n v="0"/>
    <n v="60071"/>
    <n v="147829"/>
    <n v="0.71105820105820106"/>
    <n v="0"/>
    <s v="Platos mong"/>
    <s v="Personal"/>
    <s v="Caja"/>
  </r>
  <r>
    <x v="0"/>
    <x v="0"/>
    <x v="1"/>
    <s v="ENT01"/>
    <s v="Deditos de Pollo"/>
    <n v="11"/>
    <n v="123449"/>
    <n v="-51451"/>
    <n v="110308"/>
    <n v="13141"/>
    <n v="0.10644881692034767"/>
    <n v="0.41677939878006304"/>
    <s v="Entradas"/>
    <s v="Otro"/>
    <s v="Otro"/>
  </r>
  <r>
    <x v="0"/>
    <x v="0"/>
    <x v="1"/>
    <s v="PESP05"/>
    <s v="WONG- Menú infantil"/>
    <n v="11"/>
    <n v="184300"/>
    <n v="-1600"/>
    <n v="78375"/>
    <n v="105925"/>
    <n v="0.57474226804123707"/>
    <n v="8.6814975583288118E-3"/>
    <s v="Platos especiales"/>
    <s v="Personal"/>
    <s v="Platos Especiales"/>
  </r>
  <r>
    <x v="0"/>
    <x v="0"/>
    <x v="1"/>
    <s v="BEB596"/>
    <s v="Fusetea mango"/>
    <n v="10"/>
    <n v="49000"/>
    <n v="0"/>
    <n v="18960"/>
    <n v="30040"/>
    <n v="0.61306122448979594"/>
    <n v="0"/>
    <s v="Bebidas"/>
    <s v="Bebidas"/>
    <s v="Bebidas"/>
  </r>
  <r>
    <x v="0"/>
    <x v="0"/>
    <x v="1"/>
    <s v="BEB600"/>
    <s v="Fuze te limón 1.2"/>
    <n v="10"/>
    <n v="80000"/>
    <n v="0"/>
    <n v="0"/>
    <n v="80000"/>
    <n v="1"/>
    <n v="0"/>
    <s v="Bebidas"/>
    <s v="Bebidas"/>
    <s v="Bebidas"/>
  </r>
  <r>
    <x v="0"/>
    <x v="0"/>
    <x v="1"/>
    <s v="BEB590"/>
    <s v="Jugo Del Valle Mandarina"/>
    <n v="10"/>
    <n v="49000"/>
    <n v="0"/>
    <n v="15600"/>
    <n v="33400"/>
    <n v="0.68163265306122445"/>
    <n v="0"/>
    <s v="Bebidas"/>
    <s v="Bebidas"/>
    <s v="Bebidas"/>
  </r>
  <r>
    <x v="0"/>
    <x v="0"/>
    <x v="1"/>
    <s v="COMC04"/>
    <s v="COMBO FAMIAMIGOS"/>
    <n v="10"/>
    <n v="829000"/>
    <n v="0"/>
    <n v="392210"/>
    <n v="436790"/>
    <n v="0.52688781664656215"/>
    <n v="0"/>
    <s v="Combos para compartir"/>
    <s v="No Personal"/>
    <s v="Combo"/>
  </r>
  <r>
    <x v="0"/>
    <x v="0"/>
    <x v="1"/>
    <s v="COMC06"/>
    <s v="COMBO FAMILIAR"/>
    <n v="10"/>
    <n v="969000"/>
    <n v="0"/>
    <n v="467800"/>
    <n v="501200"/>
    <n v="0.51723426212590295"/>
    <n v="0"/>
    <s v="Combos para compartir"/>
    <s v="No Personal"/>
    <s v="Combo"/>
  </r>
  <r>
    <x v="0"/>
    <x v="0"/>
    <x v="1"/>
    <s v="MON130"/>
    <s v="Chow Fan Valenciano Personal"/>
    <n v="10"/>
    <n v="197100"/>
    <n v="-21900"/>
    <n v="84640"/>
    <n v="112460"/>
    <n v="0.57057331303906644"/>
    <n v="0.1111111111111111"/>
    <s v="Platos mong"/>
    <s v="Personal"/>
    <s v="Caja"/>
  </r>
  <r>
    <x v="0"/>
    <x v="0"/>
    <x v="1"/>
    <s v="BOW03"/>
    <s v="Take Bowl mini"/>
    <n v="9"/>
    <n v="161100"/>
    <n v="0"/>
    <n v="0"/>
    <n v="161100"/>
    <n v="1"/>
    <n v="0"/>
    <s v="Bowl"/>
    <s v="Personal"/>
    <s v="Bowl"/>
  </r>
  <r>
    <x v="0"/>
    <x v="0"/>
    <x v="1"/>
    <s v="BEB594"/>
    <s v="Premio 400 Ml"/>
    <n v="9"/>
    <n v="44100"/>
    <n v="0"/>
    <n v="11970"/>
    <n v="32130"/>
    <n v="0.72857142857142854"/>
    <n v="0"/>
    <s v="Bebidas"/>
    <s v="Bebidas"/>
    <s v="Bebidas"/>
  </r>
  <r>
    <x v="0"/>
    <x v="0"/>
    <x v="1"/>
    <s v="BEB591"/>
    <s v="Jugo del valle naranja"/>
    <n v="9"/>
    <n v="44100"/>
    <n v="0"/>
    <n v="14040"/>
    <n v="30060"/>
    <n v="0.68163265306122445"/>
    <n v="0"/>
    <s v="Bebidas"/>
    <s v="Bebidas"/>
    <s v="Bebidas"/>
  </r>
  <r>
    <x v="0"/>
    <x v="0"/>
    <x v="1"/>
    <s v="BEB584"/>
    <s v="Quatro 400 Ml"/>
    <n v="8"/>
    <n v="39200"/>
    <n v="0"/>
    <n v="10640"/>
    <n v="28560"/>
    <n v="0.72857142857142854"/>
    <n v="0"/>
    <s v="Bebidas"/>
    <s v="Bebidas"/>
    <s v="Bebidas"/>
  </r>
  <r>
    <x v="0"/>
    <x v="0"/>
    <x v="1"/>
    <s v="BEB601"/>
    <s v="Coca Cola 400 Ml Normal CB (*Extra)"/>
    <n v="8"/>
    <n v="18400"/>
    <n v="0"/>
    <n v="17880"/>
    <n v="520"/>
    <n v="2.8260869565217391E-2"/>
    <n v="0"/>
    <s v="Bebidas"/>
    <s v="Bebidas Cambio de bebida"/>
    <s v="Bebidas"/>
  </r>
  <r>
    <x v="0"/>
    <x v="0"/>
    <x v="1"/>
    <s v="ADIC561"/>
    <s v="Adición Vegetales"/>
    <n v="8"/>
    <n v="55200"/>
    <n v="0"/>
    <n v="5512"/>
    <n v="49688"/>
    <n v="0.90014492753623188"/>
    <n v="0"/>
    <s v="Adición"/>
    <s v="Adición"/>
    <s v="Adición"/>
  </r>
  <r>
    <x v="0"/>
    <x v="0"/>
    <x v="1"/>
    <s v="MON120"/>
    <s v="Chow Fan Pollo Personal"/>
    <n v="8"/>
    <n v="125700"/>
    <n v="-1500"/>
    <n v="48512"/>
    <n v="77188"/>
    <n v="0.6140652346857598"/>
    <n v="1.1933174224343675E-2"/>
    <s v="Platos mong"/>
    <s v="Personal"/>
    <s v="Caja"/>
  </r>
  <r>
    <x v="0"/>
    <x v="0"/>
    <x v="1"/>
    <s v="MON121"/>
    <s v="Chow Fan Pollo trio"/>
    <n v="8"/>
    <n v="319200"/>
    <n v="0"/>
    <n v="113848"/>
    <n v="205352"/>
    <n v="0.64333333333333331"/>
    <n v="0"/>
    <s v="Platos mong"/>
    <s v="No Personal"/>
    <s v="Caja"/>
  </r>
  <r>
    <x v="0"/>
    <x v="0"/>
    <x v="1"/>
    <s v="MON505"/>
    <s v="Arroz vegetales pollo personal"/>
    <n v="7"/>
    <n v="139300"/>
    <n v="0"/>
    <n v="42966"/>
    <n v="96334"/>
    <n v="0.69155778894472364"/>
    <n v="0"/>
    <s v="Platos mong"/>
    <s v="Personal"/>
    <s v="Caja"/>
  </r>
  <r>
    <x v="0"/>
    <x v="0"/>
    <x v="1"/>
    <s v="MON110"/>
    <s v="Chow Fan Camarones Personal"/>
    <n v="7"/>
    <n v="160300"/>
    <n v="0"/>
    <n v="65828"/>
    <n v="94472"/>
    <n v="0.58934497816593889"/>
    <n v="0"/>
    <s v="Platos mong"/>
    <s v="Personal"/>
    <s v="Caja"/>
  </r>
  <r>
    <x v="0"/>
    <x v="0"/>
    <x v="1"/>
    <s v="COMP08"/>
    <s v="COMBO - Papas 120 grs y Coca Cola 250 ml"/>
    <n v="7"/>
    <n v="55300"/>
    <n v="0"/>
    <n v="22484"/>
    <n v="32816"/>
    <n v="0.59341772151898731"/>
    <n v="0"/>
    <s v="Armalo en combo"/>
    <s v="Personal"/>
    <s v="Combo"/>
  </r>
  <r>
    <x v="0"/>
    <x v="0"/>
    <x v="1"/>
    <s v="BEB582"/>
    <s v="Kola Roman 400 Ml"/>
    <n v="7"/>
    <n v="34300"/>
    <n v="0"/>
    <n v="9310"/>
    <n v="24990"/>
    <n v="0.72857142857142854"/>
    <n v="0"/>
    <s v="Bebidas"/>
    <s v="Bebidas"/>
    <s v="Bebidas"/>
  </r>
  <r>
    <x v="0"/>
    <x v="0"/>
    <x v="1"/>
    <s v="BEB597"/>
    <s v="Fusetea manzana"/>
    <n v="6"/>
    <n v="29400"/>
    <n v="0"/>
    <n v="9360"/>
    <n v="20040"/>
    <n v="0.68163265306122445"/>
    <n v="0"/>
    <s v="Bebidas"/>
    <s v="Bebidas"/>
    <s v="Bebidas"/>
  </r>
  <r>
    <x v="0"/>
    <x v="0"/>
    <x v="1"/>
    <s v="MON330"/>
    <s v="Chop Suey Vegetariano Personal"/>
    <n v="4"/>
    <n v="71600"/>
    <n v="0"/>
    <n v="21864"/>
    <n v="49736"/>
    <n v="0.69463687150837994"/>
    <n v="0"/>
    <s v="Platos mong"/>
    <s v="Personal"/>
    <s v="Caja"/>
  </r>
  <r>
    <x v="0"/>
    <x v="0"/>
    <x v="1"/>
    <s v="BEB616"/>
    <s v="Agua Manzana 600 Ml CB (*Extra)"/>
    <n v="4"/>
    <n v="6400"/>
    <n v="0"/>
    <n v="8556"/>
    <n v="-2156"/>
    <n v="-0.33687499999999998"/>
    <n v="0"/>
    <s v="Bebidas"/>
    <s v="Bebidas Cambio de bebida"/>
    <s v="Bebidas"/>
  </r>
  <r>
    <x v="0"/>
    <x v="0"/>
    <x v="1"/>
    <s v="MON301"/>
    <s v="Chop Suey Especial trio"/>
    <n v="4"/>
    <n v="187600"/>
    <n v="0"/>
    <n v="45328"/>
    <n v="142272"/>
    <n v="0.7583795309168444"/>
    <n v="0"/>
    <s v="Platos mong"/>
    <s v="No Personal"/>
    <s v="Caja"/>
  </r>
  <r>
    <x v="0"/>
    <x v="0"/>
    <x v="1"/>
    <s v="BEB604"/>
    <s v="Sprite 400 Ml CB (*Extra)"/>
    <n v="4"/>
    <n v="6400"/>
    <n v="0"/>
    <n v="6064"/>
    <n v="336"/>
    <n v="5.2499999999999998E-2"/>
    <n v="0"/>
    <s v="Bebidas"/>
    <s v="Bebidas Cambio de bebida"/>
    <s v="Bebidas"/>
  </r>
  <r>
    <x v="0"/>
    <x v="0"/>
    <x v="1"/>
    <s v="MON310"/>
    <s v="Chop suey camarón personal"/>
    <n v="4"/>
    <n v="95600"/>
    <n v="0"/>
    <n v="35028"/>
    <n v="60572"/>
    <n v="0.6335983263598326"/>
    <n v="0"/>
    <s v="Platos mong"/>
    <s v="Personal"/>
    <s v="Caja"/>
  </r>
  <r>
    <x v="0"/>
    <x v="0"/>
    <x v="1"/>
    <s v="BEB607"/>
    <s v="Agua Gas 600 Ml CB (*Extra)"/>
    <n v="4"/>
    <n v="6400"/>
    <n v="0"/>
    <n v="6440"/>
    <n v="-40"/>
    <n v="-6.2500000000000003E-3"/>
    <n v="0"/>
    <s v="Bebidas"/>
    <s v="Bebidas Cambio de bebida"/>
    <s v="Bebidas"/>
  </r>
  <r>
    <x v="0"/>
    <x v="0"/>
    <x v="1"/>
    <s v="ADIC567"/>
    <s v="cerdo agridulce"/>
    <n v="3"/>
    <n v="23700"/>
    <n v="0"/>
    <n v="0"/>
    <n v="23700"/>
    <n v="1"/>
    <n v="0"/>
    <s v="Adición"/>
    <s v="Adición"/>
    <s v="Adición"/>
  </r>
  <r>
    <x v="0"/>
    <x v="0"/>
    <x v="1"/>
    <s v="BOW02"/>
    <s v="Kong Bowl mini"/>
    <n v="3"/>
    <n v="35800"/>
    <n v="-17900"/>
    <n v="0"/>
    <n v="35800"/>
    <n v="1"/>
    <n v="0.5"/>
    <s v="Bowl"/>
    <s v="Personal"/>
    <s v="Bowl"/>
  </r>
  <r>
    <x v="0"/>
    <x v="0"/>
    <x v="1"/>
    <s v="BEB602"/>
    <s v="Kola Roman 400 Ml CB (*Extra)"/>
    <n v="3"/>
    <n v="4800"/>
    <n v="0"/>
    <n v="6705"/>
    <n v="-1905"/>
    <n v="-0.39687499999999998"/>
    <n v="0"/>
    <s v="Bebidas"/>
    <s v="Bebidas Cambio de bebida"/>
    <s v="Bebidas"/>
  </r>
  <r>
    <x v="0"/>
    <x v="0"/>
    <x v="1"/>
    <s v="ADIC490"/>
    <s v="Adicion - Pollo en trozos"/>
    <n v="3"/>
    <n v="20700"/>
    <n v="0"/>
    <n v="6735"/>
    <n v="13965"/>
    <n v="0.67463768115942024"/>
    <n v="0"/>
    <s v="Adición"/>
    <s v="Adición"/>
    <s v="Adición"/>
  </r>
  <r>
    <x v="0"/>
    <x v="0"/>
    <x v="1"/>
    <s v="BEB605"/>
    <s v="Quatro 400 Ml CB (*Extra)"/>
    <n v="3"/>
    <n v="4800"/>
    <n v="0"/>
    <n v="3990"/>
    <n v="810"/>
    <n v="0.16875000000000001"/>
    <n v="0"/>
    <s v="Bebidas"/>
    <s v="Bebidas Cambio de bebida"/>
    <s v="Bebidas"/>
  </r>
  <r>
    <x v="0"/>
    <x v="0"/>
    <x v="1"/>
    <s v="MON103"/>
    <s v="Chow Fan Especial megafamiliar"/>
    <n v="3"/>
    <n v="284700"/>
    <n v="0"/>
    <n v="128112"/>
    <n v="156588"/>
    <n v="0.55001053740779771"/>
    <n v="0"/>
    <s v="Platos mong"/>
    <s v="No Personal"/>
    <s v="Caja"/>
  </r>
  <r>
    <x v="0"/>
    <x v="0"/>
    <x v="1"/>
    <s v="ADIC562"/>
    <s v="Adición Pasta"/>
    <n v="3"/>
    <n v="14700"/>
    <n v="0"/>
    <n v="9030"/>
    <n v="5670"/>
    <n v="0.38571428571428573"/>
    <n v="0"/>
    <s v="Adición"/>
    <s v="Adición"/>
    <s v="Adición"/>
  </r>
  <r>
    <x v="0"/>
    <x v="0"/>
    <x v="1"/>
    <s v="BEB611"/>
    <s v="Jugo Del Valle Mandarina CB (*Extra)"/>
    <n v="3"/>
    <n v="4800"/>
    <n v="0"/>
    <n v="2850"/>
    <n v="1950"/>
    <n v="0.40625"/>
    <n v="0"/>
    <s v="Bebidas"/>
    <s v="Bebidas Cambio de bebida"/>
    <s v="Bebidas"/>
  </r>
  <r>
    <x v="0"/>
    <x v="0"/>
    <x v="1"/>
    <s v="BEB617"/>
    <s v="Fusetea mango CB (*Extra)"/>
    <n v="3"/>
    <n v="4800"/>
    <n v="0"/>
    <n v="5688"/>
    <n v="-888"/>
    <n v="-0.185"/>
    <n v="0"/>
    <s v="Bebidas"/>
    <s v="Bebidas Cambio de bebida"/>
    <s v="Bebidas"/>
  </r>
  <r>
    <x v="0"/>
    <x v="0"/>
    <x v="1"/>
    <s v="BEB609"/>
    <s v="Fusetea Limon CB (*Extra)"/>
    <n v="3"/>
    <n v="4800"/>
    <n v="0"/>
    <n v="5622"/>
    <n v="-822"/>
    <n v="-0.17125000000000001"/>
    <n v="0"/>
    <s v="Bebidas"/>
    <s v="Bebidas Cambio de bebida"/>
    <s v="Bebidas"/>
  </r>
  <r>
    <x v="0"/>
    <x v="0"/>
    <x v="1"/>
    <s v="BEB610"/>
    <s v="Fusetea Durazno CB (*Extra)"/>
    <n v="3"/>
    <n v="4800"/>
    <n v="0"/>
    <n v="5622"/>
    <n v="-822"/>
    <n v="-0.17125000000000001"/>
    <n v="0"/>
    <s v="Bebidas"/>
    <s v="Bebidas Cambio de bebida"/>
    <s v="Bebidas"/>
  </r>
  <r>
    <x v="0"/>
    <x v="0"/>
    <x v="1"/>
    <s v="MONFIT"/>
    <s v="Mong fit"/>
    <n v="2"/>
    <n v="23800"/>
    <n v="0"/>
    <n v="0"/>
    <n v="23800"/>
    <n v="1"/>
    <n v="0"/>
    <s v="Platos especiales"/>
    <s v="Personal"/>
    <s v="Platos Especiales"/>
  </r>
  <r>
    <x v="0"/>
    <x v="0"/>
    <x v="1"/>
    <s v="MON321"/>
    <s v="Chop Suey Pollo trio"/>
    <n v="2"/>
    <n v="83800"/>
    <n v="0"/>
    <n v="22434"/>
    <n v="61366"/>
    <n v="0.73229116945107398"/>
    <n v="0"/>
    <s v="Platos mong"/>
    <s v="No Personal"/>
    <s v="Caja"/>
  </r>
  <r>
    <x v="0"/>
    <x v="0"/>
    <x v="1"/>
    <s v="MON302"/>
    <s v="Chop Suey Especial Familiar"/>
    <n v="2"/>
    <n v="155800"/>
    <n v="0"/>
    <n v="56114"/>
    <n v="99686"/>
    <n v="0.63983311938382537"/>
    <n v="0"/>
    <s v="Platos mong"/>
    <s v="No Personal"/>
    <s v="Caja"/>
  </r>
  <r>
    <x v="0"/>
    <x v="0"/>
    <x v="1"/>
    <s v="BEB612"/>
    <s v="Jugo del valle naranja CB (*Extra)"/>
    <n v="2"/>
    <n v="3200"/>
    <n v="0"/>
    <n v="1900"/>
    <n v="1300"/>
    <n v="0.40625"/>
    <n v="0"/>
    <s v="Bebidas"/>
    <s v="Bebidas Cambio de bebida"/>
    <s v="Bebidas"/>
  </r>
  <r>
    <x v="0"/>
    <x v="0"/>
    <x v="1"/>
    <s v="MON200"/>
    <s v="Chow Mein Especial Personal"/>
    <n v="2"/>
    <n v="41800"/>
    <n v="0"/>
    <n v="17042"/>
    <n v="24758"/>
    <n v="0.59229665071770332"/>
    <n v="0"/>
    <s v="Platos mong"/>
    <s v="Personal"/>
    <s v="Caja"/>
  </r>
  <r>
    <x v="0"/>
    <x v="0"/>
    <x v="1"/>
    <s v="MON111"/>
    <s v="Chow Fan Camarones trio"/>
    <n v="2"/>
    <n v="113800"/>
    <n v="0"/>
    <n v="41822"/>
    <n v="71978"/>
    <n v="0.63249560632688928"/>
    <n v="0"/>
    <s v="Platos mong"/>
    <s v="No Personal"/>
    <s v="Caja"/>
  </r>
  <r>
    <x v="0"/>
    <x v="0"/>
    <x v="1"/>
    <s v="BEB615"/>
    <s v="Premio 400 Ml CB (*Extra)"/>
    <n v="2"/>
    <n v="3200"/>
    <n v="0"/>
    <n v="3790"/>
    <n v="-590"/>
    <n v="-0.18437500000000001"/>
    <n v="0"/>
    <s v="Bebidas"/>
    <s v="Bebidas Cambio de bebida"/>
    <s v="Bebidas"/>
  </r>
  <r>
    <x v="0"/>
    <x v="0"/>
    <x v="1"/>
    <s v="MON122"/>
    <s v="Chow Fan Pollo familiar"/>
    <n v="2"/>
    <n v="111800"/>
    <n v="0"/>
    <n v="48510"/>
    <n v="63290"/>
    <n v="0.5661001788908766"/>
    <n v="0"/>
    <s v="Platos mong"/>
    <s v="No Personal"/>
    <s v="Caja"/>
  </r>
  <r>
    <x v="0"/>
    <x v="0"/>
    <x v="1"/>
    <s v="MON322"/>
    <s v="Chop Suey Pollo familiar"/>
    <n v="2"/>
    <n v="135800"/>
    <n v="0"/>
    <n v="42234"/>
    <n v="93566"/>
    <n v="0.6889985272459499"/>
    <n v="0"/>
    <s v="Platos mong"/>
    <s v="No Personal"/>
    <s v="Caja"/>
  </r>
  <r>
    <x v="0"/>
    <x v="0"/>
    <x v="1"/>
    <s v="BOW06"/>
    <s v="Take Bowl grande"/>
    <n v="2"/>
    <n v="43800"/>
    <n v="0"/>
    <n v="0"/>
    <n v="43800"/>
    <n v="1"/>
    <n v="0"/>
    <s v="Bowl"/>
    <s v="Personal"/>
    <s v="Bowl"/>
  </r>
  <r>
    <x v="0"/>
    <x v="0"/>
    <x v="1"/>
    <s v="MON133"/>
    <s v="Chow fan valenciano megafamiliar"/>
    <n v="1"/>
    <n v="113900"/>
    <n v="0"/>
    <n v="48608"/>
    <n v="65292"/>
    <n v="0.57323968393327485"/>
    <n v="0"/>
    <s v="Platos mong"/>
    <s v="No Personal"/>
    <s v="Caja"/>
  </r>
  <r>
    <x v="0"/>
    <x v="0"/>
    <x v="1"/>
    <s v="OTROS01"/>
    <s v="Cubiertos + servilletas"/>
    <n v="1"/>
    <n v="1000"/>
    <n v="0"/>
    <n v="0"/>
    <n v="1000"/>
    <n v="1"/>
    <n v="0"/>
    <s v="Adición"/>
    <s v="Adición"/>
    <s v="Adición"/>
  </r>
  <r>
    <x v="0"/>
    <x v="0"/>
    <x v="1"/>
    <s v="BOW08"/>
    <s v="Kong Bowl grande"/>
    <n v="1"/>
    <n v="21900"/>
    <n v="0"/>
    <n v="0"/>
    <n v="21900"/>
    <n v="1"/>
    <n v="0"/>
    <s v="Bowl"/>
    <s v="Personal"/>
    <s v="Bowl"/>
  </r>
  <r>
    <x v="0"/>
    <x v="0"/>
    <x v="1"/>
    <s v="BEB618"/>
    <s v="Fusetea manzana CB (*Extra)"/>
    <n v="1"/>
    <n v="1600"/>
    <n v="0"/>
    <n v="1896"/>
    <n v="-296"/>
    <n v="-0.185"/>
    <n v="0"/>
    <s v="Bebidas"/>
    <s v="Bebidas Cambio de bebida"/>
    <s v="Bebidas"/>
  </r>
  <r>
    <x v="0"/>
    <x v="0"/>
    <x v="1"/>
    <s v="BEB608"/>
    <s v="Agua Limón 600 Ml CB (*Extra)"/>
    <n v="1"/>
    <n v="1600"/>
    <n v="0"/>
    <n v="1711"/>
    <n v="-111"/>
    <n v="-6.9375000000000006E-2"/>
    <n v="0"/>
    <s v="Bebidas"/>
    <s v="Bebidas Cambio de bebida"/>
    <s v="Bebidas"/>
  </r>
  <r>
    <x v="0"/>
    <x v="0"/>
    <x v="1"/>
    <s v="DES34"/>
    <s v="Bolsa Acetato Cubiertos (*Extra)"/>
    <n v="1"/>
    <n v="0"/>
    <n v="0"/>
    <n v="45"/>
    <n v="-45"/>
    <n v="0"/>
    <n v="0"/>
    <s v="Extras"/>
    <s v="Otro"/>
    <s v="Otro"/>
  </r>
  <r>
    <x v="0"/>
    <x v="0"/>
    <x v="1"/>
    <s v="BEB613"/>
    <s v="Coca Cola 400 Ml Zero CB (*Extra)"/>
    <n v="1"/>
    <n v="2300"/>
    <n v="0"/>
    <n v="2239"/>
    <n v="61"/>
    <n v="2.6521739130434784E-2"/>
    <n v="0"/>
    <s v="Bebidas"/>
    <s v="Bebidas Cambio de bebida"/>
    <s v="Bebidas"/>
  </r>
  <r>
    <x v="0"/>
    <x v="0"/>
    <x v="1"/>
    <s v="MON311"/>
    <s v="Chop Suey Camaron trio"/>
    <n v="1"/>
    <n v="55900"/>
    <n v="0"/>
    <n v="17732"/>
    <n v="38168"/>
    <n v="0.68279069767441858"/>
    <n v="0"/>
    <s v="Platos mong"/>
    <s v="No Personal"/>
    <s v="Caja"/>
  </r>
  <r>
    <x v="1"/>
    <x v="1"/>
    <x v="1"/>
    <s v="COMP01"/>
    <s v="COMBO 1- Valenciano personal"/>
    <n v="295"/>
    <n v="7036427"/>
    <n v="-14073"/>
    <n v="2839965"/>
    <n v="4196462"/>
    <n v="0.59639103766727064"/>
    <n v="2.0000207491671553E-3"/>
    <s v="Combos personales"/>
    <s v="Personal"/>
    <s v="Combo"/>
  </r>
  <r>
    <x v="1"/>
    <x v="1"/>
    <x v="1"/>
    <s v="MON450"/>
    <s v="Arma tu plato"/>
    <n v="266"/>
    <n v="6601304"/>
    <n v="-22096"/>
    <n v="0"/>
    <n v="6601304"/>
    <n v="1"/>
    <n v="3.347217458853584E-3"/>
    <s v="Arma tu plato"/>
    <s v="Personal"/>
    <s v="Caja"/>
  </r>
  <r>
    <x v="1"/>
    <x v="1"/>
    <x v="1"/>
    <s v="ATP01"/>
    <s v="Pollo a la naranja (*Extra)"/>
    <n v="175"/>
    <n v="0"/>
    <n v="0"/>
    <n v="960925"/>
    <n v="-960925"/>
    <n v="0"/>
    <n v="0"/>
    <s v="Arma tu plato"/>
    <s v="Personal"/>
    <s v="Caja"/>
  </r>
  <r>
    <x v="1"/>
    <x v="1"/>
    <x v="1"/>
    <s v="ENT04"/>
    <s v="LUMPIAS X 2"/>
    <n v="121"/>
    <n v="1070335"/>
    <n v="-6565"/>
    <n v="379819"/>
    <n v="690516"/>
    <n v="0.64514007296780917"/>
    <n v="6.1335936879575084E-3"/>
    <s v="Entradas"/>
    <s v="Otro"/>
    <s v="Otro"/>
  </r>
  <r>
    <x v="1"/>
    <x v="1"/>
    <x v="1"/>
    <s v="ATP10"/>
    <s v="Cerdo agridulce (*Extra)"/>
    <n v="113"/>
    <n v="0"/>
    <n v="0"/>
    <n v="617771"/>
    <n v="-617771"/>
    <n v="0"/>
    <n v="0"/>
    <s v="Arma tu plato"/>
    <s v="Personal"/>
    <s v="Caja"/>
  </r>
  <r>
    <x v="1"/>
    <x v="1"/>
    <x v="1"/>
    <s v="BEB620"/>
    <s v="Agua 280 ml CB (*Extra)"/>
    <n v="94"/>
    <n v="0"/>
    <n v="0"/>
    <n v="81592"/>
    <n v="-81592"/>
    <n v="0"/>
    <n v="0"/>
    <s v="Bebidas"/>
    <s v="Bebidas Cambio de bebida"/>
    <s v="Bebidas"/>
  </r>
  <r>
    <x v="1"/>
    <x v="1"/>
    <x v="1"/>
    <s v="COMP03"/>
    <s v="COMBO 3 - Chop suey especial personal"/>
    <n v="93"/>
    <n v="2687700"/>
    <n v="0"/>
    <n v="890010"/>
    <n v="1797690"/>
    <n v="0.66885813148788931"/>
    <n v="0"/>
    <s v="Combos personales"/>
    <s v="Personal"/>
    <s v="Combo"/>
  </r>
  <r>
    <x v="1"/>
    <x v="1"/>
    <x v="1"/>
    <s v="BEB581"/>
    <s v="Coca Cola 400 Ml Normal"/>
    <n v="89"/>
    <n v="522031"/>
    <n v="-3069"/>
    <n v="150855"/>
    <n v="371176"/>
    <n v="0.71102290860121331"/>
    <n v="5.8789612111158152E-3"/>
    <s v="Bebidas"/>
    <s v="Bebidas"/>
    <s v="Bebidas"/>
  </r>
  <r>
    <x v="1"/>
    <x v="1"/>
    <x v="1"/>
    <s v="ATP09"/>
    <s v="Res brócoli (*Extra)"/>
    <n v="88"/>
    <n v="0"/>
    <n v="0"/>
    <n v="292336"/>
    <n v="-292336"/>
    <n v="0"/>
    <n v="0"/>
    <s v="Arma tu plato"/>
    <s v="Personal"/>
    <s v="Caja"/>
  </r>
  <r>
    <x v="1"/>
    <x v="1"/>
    <x v="1"/>
    <s v="COMP02"/>
    <s v="COMBO 2 - Chow fan especial personal"/>
    <n v="88"/>
    <n v="2276700"/>
    <n v="-2500"/>
    <n v="836088"/>
    <n v="1440612"/>
    <n v="0.63276320990907897"/>
    <n v="1.0980805551895287E-3"/>
    <s v="Combos personales"/>
    <s v="Personal"/>
    <s v="Combo"/>
  </r>
  <r>
    <x v="1"/>
    <x v="1"/>
    <x v="1"/>
    <s v="ATP02"/>
    <s v="Camarones apanados 7 (*Extra)"/>
    <n v="84"/>
    <n v="167404"/>
    <n v="-596"/>
    <n v="261072"/>
    <n v="-93668"/>
    <n v="-0.55953262765525313"/>
    <n v="3.560249456404865E-3"/>
    <s v="Arma tu plato"/>
    <s v="Personal"/>
    <s v="Caja"/>
  </r>
  <r>
    <x v="1"/>
    <x v="1"/>
    <x v="1"/>
    <s v="COMP05"/>
    <s v="COMBO 5 - Chow Mein especial personal"/>
    <n v="81"/>
    <n v="2338036"/>
    <n v="-2864"/>
    <n v="911493"/>
    <n v="1426543"/>
    <n v="0.61014586601746079"/>
    <n v="1.2249597525444433E-3"/>
    <s v="Combos personales"/>
    <s v="Personal"/>
    <s v="Combo"/>
  </r>
  <r>
    <x v="1"/>
    <x v="1"/>
    <x v="1"/>
    <s v="ATP06"/>
    <s v="Arroz Frito ATP (*Extra)"/>
    <n v="79"/>
    <n v="0"/>
    <n v="0"/>
    <n v="101278"/>
    <n v="-101278"/>
    <n v="0"/>
    <n v="0"/>
    <s v="Arma tu plato"/>
    <s v="Personal"/>
    <s v="Caja"/>
  </r>
  <r>
    <x v="1"/>
    <x v="1"/>
    <x v="1"/>
    <s v="PESP04"/>
    <s v="SUN KEE"/>
    <n v="75"/>
    <n v="2015698"/>
    <n v="-1802"/>
    <n v="1022850"/>
    <n v="992848"/>
    <n v="0.49255791294132356"/>
    <n v="8.9398312644056797E-4"/>
    <s v="Platos especiales"/>
    <s v="Personal"/>
    <s v="Platos Especiales"/>
  </r>
  <r>
    <x v="1"/>
    <x v="1"/>
    <x v="1"/>
    <s v="BEB01"/>
    <s v="Coca Cola 250 Ml Normal CB (*Extra)"/>
    <n v="74"/>
    <n v="73901"/>
    <n v="-99"/>
    <n v="143930"/>
    <n v="-70029"/>
    <n v="-0.94760558043869503"/>
    <n v="1.339630045601548E-3"/>
    <s v="Bebidas"/>
    <s v="Bebidas Cambio de bebida"/>
    <s v="Bebidas"/>
  </r>
  <r>
    <x v="1"/>
    <x v="1"/>
    <x v="1"/>
    <s v="ATP03"/>
    <s v="Arroz vegetales (*Extra)"/>
    <n v="65"/>
    <n v="129692"/>
    <n v="-308"/>
    <n v="132275"/>
    <n v="-2583"/>
    <n v="-1.9916417358048298E-2"/>
    <n v="2.3748573543472228E-3"/>
    <s v="Arma tu plato"/>
    <s v="Personal"/>
    <s v="Caja"/>
  </r>
  <r>
    <x v="1"/>
    <x v="1"/>
    <x v="1"/>
    <s v="BEB585"/>
    <s v="Agua Normal 600 Ml"/>
    <n v="65"/>
    <n v="318500"/>
    <n v="0"/>
    <n v="71175"/>
    <n v="247325"/>
    <n v="0.77653061224489794"/>
    <n v="0"/>
    <s v="Bebidas"/>
    <s v="Bebidas"/>
    <s v="Bebidas"/>
  </r>
  <r>
    <x v="1"/>
    <x v="1"/>
    <x v="1"/>
    <s v="ATP05"/>
    <s v="Chow mein (*Extra)"/>
    <n v="63"/>
    <n v="0"/>
    <n v="0"/>
    <n v="195111"/>
    <n v="-195111"/>
    <n v="0"/>
    <n v="0"/>
    <s v="Arma tu plato"/>
    <s v="Personal"/>
    <s v="Caja"/>
  </r>
  <r>
    <x v="1"/>
    <x v="1"/>
    <x v="1"/>
    <s v="ATP04"/>
    <s v="Chop suey (*Extra)"/>
    <n v="59"/>
    <n v="0"/>
    <n v="0"/>
    <n v="155406"/>
    <n v="-155406"/>
    <n v="0"/>
    <n v="0"/>
    <s v="Arma tu plato"/>
    <s v="Personal"/>
    <s v="Caja"/>
  </r>
  <r>
    <x v="1"/>
    <x v="1"/>
    <x v="1"/>
    <s v="PESP03"/>
    <s v="LING"/>
    <n v="47"/>
    <n v="1264300"/>
    <n v="0"/>
    <n v="637649"/>
    <n v="626651"/>
    <n v="0.49565055762081783"/>
    <n v="0"/>
    <s v="Platos especiales"/>
    <s v="Personal"/>
    <s v="Platos Especiales"/>
  </r>
  <r>
    <x v="1"/>
    <x v="1"/>
    <x v="1"/>
    <s v="MONE701"/>
    <s v="Mong Express Chow fan"/>
    <n v="40"/>
    <n v="775310"/>
    <n v="-20690"/>
    <n v="0"/>
    <n v="775310"/>
    <n v="1"/>
    <n v="2.6686099753646927E-2"/>
    <s v="Mong Express"/>
    <s v="Personal"/>
    <s v="Caja"/>
  </r>
  <r>
    <x v="1"/>
    <x v="1"/>
    <x v="1"/>
    <s v="ADIC560"/>
    <s v="Adición Papa frita"/>
    <n v="38"/>
    <n v="212900"/>
    <n v="-11300"/>
    <n v="155724"/>
    <n v="57176"/>
    <n v="0.26855800845467354"/>
    <n v="5.3076561766087368E-2"/>
    <s v="Adición"/>
    <s v="Adición"/>
    <s v="Adición"/>
  </r>
  <r>
    <x v="1"/>
    <x v="1"/>
    <x v="1"/>
    <s v="BEB592"/>
    <s v="Coca Cola 400 Ml Zero"/>
    <n v="37"/>
    <n v="218300"/>
    <n v="0"/>
    <n v="53576"/>
    <n v="164724"/>
    <n v="0.75457627118644066"/>
    <n v="0"/>
    <s v="Bebidas"/>
    <s v="Bebidas"/>
    <s v="Bebidas"/>
  </r>
  <r>
    <x v="1"/>
    <x v="1"/>
    <x v="1"/>
    <s v="BEB580"/>
    <s v="Coca Cola 250 Ml Normal"/>
    <n v="36"/>
    <n v="139229"/>
    <n v="-1171"/>
    <n v="41868"/>
    <n v="97361"/>
    <n v="0.69928678651717668"/>
    <n v="8.4106041126489461E-3"/>
    <s v="Bebidas"/>
    <s v="Bebidas"/>
    <s v="Bebidas"/>
  </r>
  <r>
    <x v="1"/>
    <x v="1"/>
    <x v="1"/>
    <s v="ATP08"/>
    <s v="Pollo Apanado ATP (*Extra)"/>
    <n v="34"/>
    <n v="0"/>
    <n v="0"/>
    <n v="178942"/>
    <n v="-178942"/>
    <n v="0"/>
    <n v="0"/>
    <s v="Arma tu plato"/>
    <s v="Personal"/>
    <s v="Caja"/>
  </r>
  <r>
    <x v="1"/>
    <x v="1"/>
    <x v="1"/>
    <s v="BOW01"/>
    <s v="Tao Bowl mini"/>
    <n v="26"/>
    <n v="411700"/>
    <n v="-53700"/>
    <n v="0"/>
    <n v="411700"/>
    <n v="1"/>
    <n v="0.13043478260869565"/>
    <s v="Bowl"/>
    <s v="Personal"/>
    <s v="Bowl"/>
  </r>
  <r>
    <x v="1"/>
    <x v="1"/>
    <x v="1"/>
    <s v="BEB593"/>
    <s v="Coca Cola 250 Ml Zero"/>
    <n v="26"/>
    <n v="101400"/>
    <n v="0"/>
    <n v="33566"/>
    <n v="67834"/>
    <n v="0.66897435897435897"/>
    <n v="0"/>
    <s v="Bebidas"/>
    <s v="Bebidas"/>
    <s v="Bebidas"/>
  </r>
  <r>
    <x v="1"/>
    <x v="1"/>
    <x v="1"/>
    <s v="BEB598"/>
    <s v="Coca Cola 1,5 litros"/>
    <n v="26"/>
    <n v="178200"/>
    <n v="-79200"/>
    <n v="117026"/>
    <n v="61174"/>
    <n v="0.34328843995510661"/>
    <n v="0.44444444444444442"/>
    <s v="Bebidas"/>
    <s v="Bebidas"/>
    <s v="Bebidas"/>
  </r>
  <r>
    <x v="1"/>
    <x v="1"/>
    <x v="1"/>
    <s v="ADIC563"/>
    <s v="Adición Arroz Frito"/>
    <n v="25"/>
    <n v="132899"/>
    <n v="-14601"/>
    <n v="32050"/>
    <n v="100849"/>
    <n v="0.7588394194087239"/>
    <n v="0.10986538649651238"/>
    <s v="Adición"/>
    <s v="Adición"/>
    <s v="Adición"/>
  </r>
  <r>
    <x v="1"/>
    <x v="1"/>
    <x v="1"/>
    <s v="BEB599"/>
    <s v="Agua 280 ml"/>
    <n v="25"/>
    <n v="87500"/>
    <n v="0"/>
    <n v="21700"/>
    <n v="65800"/>
    <n v="0.752"/>
    <n v="0"/>
    <s v="Bebidas"/>
    <s v="Bebidas"/>
    <s v="Bebidas"/>
  </r>
  <r>
    <x v="1"/>
    <x v="1"/>
    <x v="1"/>
    <s v="PESP02"/>
    <s v="MONG"/>
    <n v="25"/>
    <n v="620560"/>
    <n v="-1940"/>
    <n v="317950"/>
    <n v="302610"/>
    <n v="0.48764019595204333"/>
    <n v="3.1262085857934768E-3"/>
    <s v="Platos especiales"/>
    <s v="Personal"/>
    <s v="Platos Especiales"/>
  </r>
  <r>
    <x v="1"/>
    <x v="1"/>
    <x v="1"/>
    <s v="BEB595"/>
    <s v="Agua Manzana 600 Ml"/>
    <n v="24"/>
    <n v="117600"/>
    <n v="0"/>
    <n v="32952"/>
    <n v="84648"/>
    <n v="0.71979591836734691"/>
    <n v="0"/>
    <s v="Bebidas"/>
    <s v="Bebidas"/>
    <s v="Bebidas"/>
  </r>
  <r>
    <x v="1"/>
    <x v="1"/>
    <x v="1"/>
    <s v="ENT03"/>
    <s v="CAMARONES APANADOS"/>
    <n v="22"/>
    <n v="371800"/>
    <n v="0"/>
    <n v="136730"/>
    <n v="235070"/>
    <n v="0.63224852071005921"/>
    <n v="0"/>
    <s v="Entradas"/>
    <s v="Otro"/>
    <s v="Otro"/>
  </r>
  <r>
    <x v="1"/>
    <x v="1"/>
    <x v="1"/>
    <s v="MONE700"/>
    <s v="Mong Express Chop suey pollo"/>
    <n v="22"/>
    <n v="433900"/>
    <n v="-3900"/>
    <n v="180026"/>
    <n v="253874"/>
    <n v="0.5850979488361373"/>
    <n v="8.9882461396635169E-3"/>
    <s v="Mong Express"/>
    <s v="Personal"/>
    <s v="Caja"/>
  </r>
  <r>
    <x v="1"/>
    <x v="1"/>
    <x v="1"/>
    <s v="ATP07"/>
    <s v="Pollo presa ATP (*Extra)"/>
    <n v="21"/>
    <n v="0"/>
    <n v="0"/>
    <n v="59829"/>
    <n v="-59829"/>
    <n v="0"/>
    <n v="0"/>
    <s v="Arma tu plato"/>
    <s v="Personal"/>
    <s v="Caja"/>
  </r>
  <r>
    <x v="1"/>
    <x v="1"/>
    <x v="1"/>
    <s v="ENT02"/>
    <s v="LUMPIA X 1"/>
    <n v="20"/>
    <n v="99243"/>
    <n v="-757"/>
    <n v="31380"/>
    <n v="67863"/>
    <n v="0.68380641455820557"/>
    <n v="7.6277420069929365E-3"/>
    <s v="Entradas"/>
    <s v="Otro"/>
    <s v="Otro"/>
  </r>
  <r>
    <x v="1"/>
    <x v="1"/>
    <x v="1"/>
    <s v="COMP10"/>
    <s v="COMBO - Lumpia y Coca Cola 250 ml"/>
    <n v="18"/>
    <n v="142200"/>
    <n v="0"/>
    <n v="0"/>
    <n v="142200"/>
    <n v="1"/>
    <n v="0"/>
    <s v="Armalo en combo"/>
    <s v="Personal"/>
    <s v="Combo"/>
  </r>
  <r>
    <x v="1"/>
    <x v="1"/>
    <x v="1"/>
    <s v="COMC02"/>
    <s v="COMBO AMIGOS"/>
    <n v="18"/>
    <n v="1078200"/>
    <n v="0"/>
    <n v="425484"/>
    <n v="652716"/>
    <n v="0.60537562604340567"/>
    <n v="0"/>
    <s v="Combos para compartir"/>
    <s v="No Personal"/>
    <s v="Combo"/>
  </r>
  <r>
    <x v="1"/>
    <x v="1"/>
    <x v="1"/>
    <s v="BEB587"/>
    <s v="Agua Limón 600 Ml"/>
    <n v="17"/>
    <n v="83300"/>
    <n v="0"/>
    <n v="23341"/>
    <n v="59959"/>
    <n v="0.71979591836734691"/>
    <n v="0"/>
    <s v="Bebidas"/>
    <s v="Bebidas"/>
    <s v="Bebidas"/>
  </r>
  <r>
    <x v="1"/>
    <x v="1"/>
    <x v="1"/>
    <s v="BEB588"/>
    <s v="Fusetea Limon"/>
    <n v="17"/>
    <n v="83300"/>
    <n v="0"/>
    <n v="26520"/>
    <n v="56780"/>
    <n v="0.68163265306122445"/>
    <n v="0"/>
    <s v="Bebidas"/>
    <s v="Bebidas"/>
    <s v="Bebidas"/>
  </r>
  <r>
    <x v="1"/>
    <x v="1"/>
    <x v="1"/>
    <s v="BEB596"/>
    <s v="Fusetea mango"/>
    <n v="17"/>
    <n v="83300"/>
    <n v="0"/>
    <n v="32232"/>
    <n v="51068"/>
    <n v="0.61306122448979594"/>
    <n v="0"/>
    <s v="Bebidas"/>
    <s v="Bebidas"/>
    <s v="Bebidas"/>
  </r>
  <r>
    <x v="1"/>
    <x v="1"/>
    <x v="1"/>
    <s v="MON101"/>
    <s v="Chow fan especial trio"/>
    <n v="17"/>
    <n v="797300"/>
    <n v="0"/>
    <n v="340901"/>
    <n v="456399"/>
    <n v="0.57243070362473347"/>
    <n v="0"/>
    <s v="Platos mong"/>
    <s v="No Personal"/>
    <s v="Platos Especiales"/>
  </r>
  <r>
    <x v="1"/>
    <x v="1"/>
    <x v="1"/>
    <s v="ADIC566"/>
    <s v="Pollo a la naranja"/>
    <n v="16"/>
    <n v="126400"/>
    <n v="0"/>
    <n v="0"/>
    <n v="126400"/>
    <n v="1"/>
    <n v="0"/>
    <s v="Adición"/>
    <s v="Adición"/>
    <s v="Adición"/>
  </r>
  <r>
    <x v="1"/>
    <x v="1"/>
    <x v="1"/>
    <s v="PESP01"/>
    <s v="MING"/>
    <n v="16"/>
    <n v="462400"/>
    <n v="0"/>
    <n v="121680"/>
    <n v="340720"/>
    <n v="0.73685121107266438"/>
    <n v="0"/>
    <s v="Platos especiales"/>
    <s v="Personal"/>
    <s v="Platos Especiales"/>
  </r>
  <r>
    <x v="1"/>
    <x v="1"/>
    <x v="1"/>
    <s v="MON500"/>
    <s v="Arroz vegetales especial personal"/>
    <n v="16"/>
    <n v="366400"/>
    <n v="0"/>
    <n v="120224"/>
    <n v="246176"/>
    <n v="0.67187772925764189"/>
    <n v="0"/>
    <s v="Platos mong"/>
    <s v="Personal"/>
    <s v="Caja"/>
  </r>
  <r>
    <x v="1"/>
    <x v="1"/>
    <x v="1"/>
    <s v="BEB589"/>
    <s v="Fusetea Durazno"/>
    <n v="15"/>
    <n v="71836"/>
    <n v="-1664"/>
    <n v="23400"/>
    <n v="48436"/>
    <n v="0.67425803218442004"/>
    <n v="2.3163873266885685E-2"/>
    <s v="Bebidas"/>
    <s v="Bebidas"/>
    <s v="Bebidas"/>
  </r>
  <r>
    <x v="1"/>
    <x v="1"/>
    <x v="1"/>
    <s v="BOW04"/>
    <s v="Kumo Bowl mini"/>
    <n v="14"/>
    <n v="264600"/>
    <n v="0"/>
    <n v="0"/>
    <n v="264600"/>
    <n v="1"/>
    <n v="0"/>
    <s v="Bowl"/>
    <s v="Personal"/>
    <s v="Bowl"/>
  </r>
  <r>
    <x v="1"/>
    <x v="1"/>
    <x v="1"/>
    <s v="ADIC565"/>
    <s v="Adición Camaron"/>
    <n v="14"/>
    <n v="95916"/>
    <n v="-684"/>
    <n v="43512"/>
    <n v="52404"/>
    <n v="0.54635305892656072"/>
    <n v="7.1312398348554983E-3"/>
    <s v="Adición"/>
    <s v="Adición"/>
    <s v="Adición"/>
  </r>
  <r>
    <x v="1"/>
    <x v="1"/>
    <x v="1"/>
    <s v="BEB586"/>
    <s v="Agua Gas 600 Ml"/>
    <n v="13"/>
    <n v="63700"/>
    <n v="0"/>
    <n v="16744"/>
    <n v="46956"/>
    <n v="0.7371428571428571"/>
    <n v="0"/>
    <s v="Bebidas"/>
    <s v="Bebidas"/>
    <s v="Bebidas"/>
  </r>
  <r>
    <x v="1"/>
    <x v="1"/>
    <x v="1"/>
    <s v="COMP04"/>
    <s v="COMBO 4 - arroz vegetales especial"/>
    <n v="13"/>
    <n v="388700"/>
    <n v="0"/>
    <n v="133211"/>
    <n v="255489"/>
    <n v="0.65729096989966551"/>
    <n v="0"/>
    <s v="Combos personales"/>
    <s v="Personal"/>
    <s v="Combo"/>
  </r>
  <r>
    <x v="1"/>
    <x v="1"/>
    <x v="1"/>
    <s v="MON110"/>
    <s v="Chow Fan Camarones Personal"/>
    <n v="12"/>
    <n v="265443"/>
    <n v="-9357"/>
    <n v="112848"/>
    <n v="152595"/>
    <n v="0.57486918095410311"/>
    <n v="3.5250505758298391E-2"/>
    <s v="Platos mong"/>
    <s v="Personal"/>
    <s v="Caja"/>
  </r>
  <r>
    <x v="1"/>
    <x v="1"/>
    <x v="1"/>
    <s v="BEB584"/>
    <s v="Quatro 400 Ml"/>
    <n v="12"/>
    <n v="58534"/>
    <n v="-266"/>
    <n v="15960"/>
    <n v="42574"/>
    <n v="0.72733795742645302"/>
    <n v="4.5443673762257837E-3"/>
    <s v="Bebidas"/>
    <s v="Bebidas"/>
    <s v="Bebidas"/>
  </r>
  <r>
    <x v="1"/>
    <x v="1"/>
    <x v="1"/>
    <s v="BEB594"/>
    <s v="Premio 400 Ml"/>
    <n v="12"/>
    <n v="58314"/>
    <n v="-486"/>
    <n v="15960"/>
    <n v="42354"/>
    <n v="0.72630929107932918"/>
    <n v="8.3341907603662925E-3"/>
    <s v="Bebidas"/>
    <s v="Bebidas"/>
    <s v="Bebidas"/>
  </r>
  <r>
    <x v="1"/>
    <x v="1"/>
    <x v="1"/>
    <s v="MON120"/>
    <s v="Chow Fan Pollo Personal"/>
    <n v="11"/>
    <n v="157200"/>
    <n v="-17700"/>
    <n v="66704"/>
    <n v="90496"/>
    <n v="0.57567430025445288"/>
    <n v="0.11259541984732824"/>
    <s v="Platos mong"/>
    <s v="Personal"/>
    <s v="Caja"/>
  </r>
  <r>
    <x v="1"/>
    <x v="1"/>
    <x v="1"/>
    <s v="MON130"/>
    <s v="Chow Fan Valenciano Personal"/>
    <n v="11"/>
    <n v="240900"/>
    <n v="0"/>
    <n v="93104"/>
    <n v="147796"/>
    <n v="0.61351598173515987"/>
    <n v="0"/>
    <s v="Platos mong"/>
    <s v="Personal"/>
    <s v="Caja"/>
  </r>
  <r>
    <x v="1"/>
    <x v="1"/>
    <x v="1"/>
    <s v="MON131"/>
    <s v="Chow Fan Valenciano trio"/>
    <n v="10"/>
    <n v="589000"/>
    <n v="0"/>
    <n v="188180"/>
    <n v="400820"/>
    <n v="0.68050933786078094"/>
    <n v="0"/>
    <s v="Platos mong"/>
    <s v="No Personal"/>
    <s v="Caja"/>
  </r>
  <r>
    <x v="1"/>
    <x v="1"/>
    <x v="1"/>
    <s v="MON100"/>
    <s v="Chow Fan Especial Personal"/>
    <n v="10"/>
    <n v="199000"/>
    <n v="0"/>
    <n v="67680"/>
    <n v="131320"/>
    <n v="0.65989949748743715"/>
    <n v="0"/>
    <s v="Platos mong"/>
    <s v="Personal"/>
    <s v="Caja"/>
  </r>
  <r>
    <x v="1"/>
    <x v="1"/>
    <x v="1"/>
    <s v="BEB600"/>
    <s v="Fuze te limón 1.2"/>
    <n v="9"/>
    <n v="72000"/>
    <n v="0"/>
    <n v="0"/>
    <n v="72000"/>
    <n v="1"/>
    <n v="0"/>
    <s v="Bebidas"/>
    <s v="Bebidas"/>
    <s v="Bebidas"/>
  </r>
  <r>
    <x v="1"/>
    <x v="1"/>
    <x v="1"/>
    <s v="ENT01"/>
    <s v="Deditos de Pollo"/>
    <n v="9"/>
    <n v="143100"/>
    <n v="0"/>
    <n v="90252"/>
    <n v="52848"/>
    <n v="0.36930817610062894"/>
    <n v="0"/>
    <s v="Entradas"/>
    <s v="Otro"/>
    <s v="Otro"/>
  </r>
  <r>
    <x v="1"/>
    <x v="1"/>
    <x v="1"/>
    <s v="BEB591"/>
    <s v="Jugo del valle naranja"/>
    <n v="9"/>
    <n v="44100"/>
    <n v="0"/>
    <n v="14040"/>
    <n v="30060"/>
    <n v="0.68163265306122445"/>
    <n v="0"/>
    <s v="Bebidas"/>
    <s v="Bebidas"/>
    <s v="Bebidas"/>
  </r>
  <r>
    <x v="1"/>
    <x v="1"/>
    <x v="1"/>
    <s v="BEB601"/>
    <s v="Coca Cola 400 Ml Normal CB (*Extra)"/>
    <n v="8"/>
    <n v="18400"/>
    <n v="0"/>
    <n v="17880"/>
    <n v="520"/>
    <n v="2.8260869565217391E-2"/>
    <n v="0"/>
    <s v="Bebidas"/>
    <s v="Bebidas Cambio de bebida"/>
    <s v="Bebidas"/>
  </r>
  <r>
    <x v="1"/>
    <x v="1"/>
    <x v="1"/>
    <s v="COMC06"/>
    <s v="COMBO FAMILIAR"/>
    <n v="8"/>
    <n v="775200"/>
    <n v="0"/>
    <n v="374240"/>
    <n v="400960"/>
    <n v="0.51723426212590295"/>
    <n v="0"/>
    <s v="Combos para compartir"/>
    <s v="No Personal"/>
    <s v="Combo"/>
  </r>
  <r>
    <x v="1"/>
    <x v="1"/>
    <x v="1"/>
    <s v="MON300"/>
    <s v="Chop suey especial personal"/>
    <n v="8"/>
    <n v="167200"/>
    <n v="0"/>
    <n v="54704"/>
    <n v="112496"/>
    <n v="0.67282296650717699"/>
    <n v="0"/>
    <s v="Platos mong"/>
    <s v="Personal"/>
    <s v="Caja"/>
  </r>
  <r>
    <x v="1"/>
    <x v="1"/>
    <x v="1"/>
    <s v="BEB597"/>
    <s v="Fusetea manzana"/>
    <n v="8"/>
    <n v="39200"/>
    <n v="0"/>
    <n v="12480"/>
    <n v="26720"/>
    <n v="0.68163265306122445"/>
    <n v="0"/>
    <s v="Bebidas"/>
    <s v="Bebidas"/>
    <s v="Bebidas"/>
  </r>
  <r>
    <x v="1"/>
    <x v="1"/>
    <x v="1"/>
    <s v="ADIC564"/>
    <s v="Adición Presa de pollo"/>
    <n v="8"/>
    <n v="53598"/>
    <n v="-1602"/>
    <n v="19712"/>
    <n v="33886"/>
    <n v="0.63222508302548608"/>
    <n v="2.9889174969215268E-2"/>
    <s v="Adición"/>
    <s v="Adición"/>
    <s v="Adición"/>
  </r>
  <r>
    <x v="1"/>
    <x v="1"/>
    <x v="1"/>
    <s v="BOW03"/>
    <s v="Take Bowl mini"/>
    <n v="7"/>
    <n v="125300"/>
    <n v="0"/>
    <n v="0"/>
    <n v="125300"/>
    <n v="1"/>
    <n v="0"/>
    <s v="Bowl"/>
    <s v="Personal"/>
    <s v="Bowl"/>
  </r>
  <r>
    <x v="1"/>
    <x v="1"/>
    <x v="1"/>
    <s v="MON320"/>
    <s v="Chop Suey Pollo Personal"/>
    <n v="7"/>
    <n v="132300"/>
    <n v="0"/>
    <n v="38227"/>
    <n v="94073"/>
    <n v="0.71105820105820106"/>
    <n v="0"/>
    <s v="Platos mong"/>
    <s v="Personal"/>
    <s v="Caja"/>
  </r>
  <r>
    <x v="1"/>
    <x v="1"/>
    <x v="1"/>
    <s v="COMP08"/>
    <s v="COMBO - Papas 120 grs y Coca Cola 250 ml"/>
    <n v="7"/>
    <n v="55300"/>
    <n v="0"/>
    <n v="22484"/>
    <n v="32816"/>
    <n v="0.59341772151898731"/>
    <n v="0"/>
    <s v="Armalo en combo"/>
    <s v="Personal"/>
    <s v="Combo"/>
  </r>
  <r>
    <x v="1"/>
    <x v="1"/>
    <x v="1"/>
    <s v="MON504"/>
    <s v="Arroz vegetales camarones personal"/>
    <n v="6"/>
    <n v="155400"/>
    <n v="0"/>
    <n v="56868"/>
    <n v="98532"/>
    <n v="0.63405405405405402"/>
    <n v="0"/>
    <s v="Platos mong"/>
    <s v="Personal"/>
    <s v="Caja"/>
  </r>
  <r>
    <x v="1"/>
    <x v="1"/>
    <x v="1"/>
    <s v="MON310"/>
    <s v="Chop suey camarón personal"/>
    <n v="6"/>
    <n v="143400"/>
    <n v="0"/>
    <n v="52542"/>
    <n v="90858"/>
    <n v="0.6335983263598326"/>
    <n v="0"/>
    <s v="Platos mong"/>
    <s v="Personal"/>
    <s v="Caja"/>
  </r>
  <r>
    <x v="1"/>
    <x v="1"/>
    <x v="1"/>
    <s v="PESP05"/>
    <s v="WONG- Menú infantil"/>
    <n v="6"/>
    <n v="84500"/>
    <n v="-16900"/>
    <n v="42750"/>
    <n v="41750"/>
    <n v="0.49408284023668642"/>
    <n v="0.2"/>
    <s v="Platos especiales"/>
    <s v="Personal"/>
    <s v="Platos Especiales"/>
  </r>
  <r>
    <x v="1"/>
    <x v="1"/>
    <x v="1"/>
    <s v="ADIC561"/>
    <s v="Adición Vegetales"/>
    <n v="6"/>
    <n v="41400"/>
    <n v="0"/>
    <n v="4134"/>
    <n v="37266"/>
    <n v="0.90014492753623188"/>
    <n v="0"/>
    <s v="Adición"/>
    <s v="Adición"/>
    <s v="Adición"/>
  </r>
  <r>
    <x v="1"/>
    <x v="1"/>
    <x v="1"/>
    <s v="MON121"/>
    <s v="Chow Fan Pollo trio"/>
    <n v="6"/>
    <n v="239400"/>
    <n v="0"/>
    <n v="85386"/>
    <n v="154014"/>
    <n v="0.64333333333333331"/>
    <n v="0"/>
    <s v="Platos mong"/>
    <s v="No Personal"/>
    <s v="Caja"/>
  </r>
  <r>
    <x v="1"/>
    <x v="1"/>
    <x v="1"/>
    <s v="BEB607"/>
    <s v="Agua Gas 600 Ml CB (*Extra)"/>
    <n v="6"/>
    <n v="9600"/>
    <n v="0"/>
    <n v="9660"/>
    <n v="-60"/>
    <n v="-6.2500000000000003E-3"/>
    <n v="0"/>
    <s v="Bebidas"/>
    <s v="Bebidas Cambio de bebida"/>
    <s v="Bebidas"/>
  </r>
  <r>
    <x v="1"/>
    <x v="1"/>
    <x v="1"/>
    <s v="COMC04"/>
    <s v="COMBO FAMIAMIGOS"/>
    <n v="6"/>
    <n v="497400"/>
    <n v="0"/>
    <n v="235326"/>
    <n v="262074"/>
    <n v="0.52688781664656215"/>
    <n v="0"/>
    <s v="Combos para compartir"/>
    <s v="No Personal"/>
    <s v="Combo"/>
  </r>
  <r>
    <x v="1"/>
    <x v="1"/>
    <x v="1"/>
    <s v="BEB583"/>
    <s v="Sprite 400 Ml"/>
    <n v="6"/>
    <n v="29400"/>
    <n v="0"/>
    <n v="7980"/>
    <n v="21420"/>
    <n v="0.72857142857142854"/>
    <n v="0"/>
    <s v="Bebidas"/>
    <s v="Bebidas"/>
    <s v="Bebidas"/>
  </r>
  <r>
    <x v="1"/>
    <x v="1"/>
    <x v="1"/>
    <s v="BEB617"/>
    <s v="Fusetea mango CB (*Extra)"/>
    <n v="5"/>
    <n v="8000"/>
    <n v="0"/>
    <n v="9480"/>
    <n v="-1480"/>
    <n v="-0.185"/>
    <n v="0"/>
    <s v="Bebidas"/>
    <s v="Bebidas Cambio de bebida"/>
    <s v="Bebidas"/>
  </r>
  <r>
    <x v="1"/>
    <x v="1"/>
    <x v="1"/>
    <s v="BEB590"/>
    <s v="Jugo Del Valle Mandarina"/>
    <n v="5"/>
    <n v="24500"/>
    <n v="0"/>
    <n v="7800"/>
    <n v="16700"/>
    <n v="0.68163265306122445"/>
    <n v="0"/>
    <s v="Bebidas"/>
    <s v="Bebidas"/>
    <s v="Bebidas"/>
  </r>
  <r>
    <x v="1"/>
    <x v="1"/>
    <x v="1"/>
    <s v="MON200"/>
    <s v="Chow Mein Especial Personal"/>
    <n v="4"/>
    <n v="83600"/>
    <n v="0"/>
    <n v="34084"/>
    <n v="49516"/>
    <n v="0.59229665071770332"/>
    <n v="0"/>
    <s v="Platos mong"/>
    <s v="Personal"/>
    <s v="Caja"/>
  </r>
  <r>
    <x v="1"/>
    <x v="1"/>
    <x v="1"/>
    <s v="MON220"/>
    <s v="Chow Mein Pollo Personal"/>
    <n v="4"/>
    <n v="71600"/>
    <n v="0"/>
    <n v="28564"/>
    <n v="43036"/>
    <n v="0.60106145251396648"/>
    <n v="0"/>
    <s v="Platos mong"/>
    <s v="Personal"/>
    <s v="Caja"/>
  </r>
  <r>
    <x v="1"/>
    <x v="1"/>
    <x v="1"/>
    <s v="MON330"/>
    <s v="Chop Suey Vegetariano Personal"/>
    <n v="4"/>
    <n v="71600"/>
    <n v="0"/>
    <n v="21864"/>
    <n v="49736"/>
    <n v="0.69463687150837994"/>
    <n v="0"/>
    <s v="Platos mong"/>
    <s v="Personal"/>
    <s v="Caja"/>
  </r>
  <r>
    <x v="1"/>
    <x v="1"/>
    <x v="1"/>
    <s v="BEB582"/>
    <s v="Kola Roman 400 Ml"/>
    <n v="4"/>
    <n v="19600"/>
    <n v="0"/>
    <n v="5320"/>
    <n v="14280"/>
    <n v="0.72857142857142854"/>
    <n v="0"/>
    <s v="Bebidas"/>
    <s v="Bebidas"/>
    <s v="Bebidas"/>
  </r>
  <r>
    <x v="1"/>
    <x v="1"/>
    <x v="1"/>
    <s v="MON102"/>
    <s v="Chow Fan Especial familiar"/>
    <n v="4"/>
    <n v="267600"/>
    <n v="0"/>
    <n v="129404"/>
    <n v="138196"/>
    <n v="0.51642750373692081"/>
    <n v="0"/>
    <s v="Platos mong"/>
    <s v="No Personal"/>
    <s v="Caja"/>
  </r>
  <r>
    <x v="1"/>
    <x v="1"/>
    <x v="1"/>
    <s v="MON132"/>
    <s v="Chow Fan Valenciano familiar"/>
    <n v="4"/>
    <n v="307600"/>
    <n v="0"/>
    <n v="138620"/>
    <n v="168980"/>
    <n v="0.54934980494148244"/>
    <n v="0"/>
    <s v="Platos mong"/>
    <s v="No Personal"/>
    <s v="Caja"/>
  </r>
  <r>
    <x v="1"/>
    <x v="1"/>
    <x v="1"/>
    <s v="BEB616"/>
    <s v="Agua Manzana 600 Ml CB (*Extra)"/>
    <n v="4"/>
    <n v="6400"/>
    <n v="0"/>
    <n v="8556"/>
    <n v="-2156"/>
    <n v="-0.33687499999999998"/>
    <n v="0"/>
    <s v="Bebidas"/>
    <s v="Bebidas Cambio de bebida"/>
    <s v="Bebidas"/>
  </r>
  <r>
    <x v="1"/>
    <x v="1"/>
    <x v="1"/>
    <s v="BEB615"/>
    <s v="Premio 400 Ml CB (*Extra)"/>
    <n v="3"/>
    <n v="4800"/>
    <n v="0"/>
    <n v="5685"/>
    <n v="-885"/>
    <n v="-0.18437500000000001"/>
    <n v="0"/>
    <s v="Bebidas"/>
    <s v="Bebidas Cambio de bebida"/>
    <s v="Bebidas"/>
  </r>
  <r>
    <x v="1"/>
    <x v="1"/>
    <x v="1"/>
    <s v="ADIC562"/>
    <s v="Adición Pasta"/>
    <n v="3"/>
    <n v="14700"/>
    <n v="0"/>
    <n v="9030"/>
    <n v="5670"/>
    <n v="0.38571428571428573"/>
    <n v="0"/>
    <s v="Adición"/>
    <s v="Adición"/>
    <s v="Adición"/>
  </r>
  <r>
    <x v="1"/>
    <x v="1"/>
    <x v="1"/>
    <s v="BEB610"/>
    <s v="Fusetea Durazno CB (*Extra)"/>
    <n v="3"/>
    <n v="4800"/>
    <n v="0"/>
    <n v="5622"/>
    <n v="-822"/>
    <n v="-0.17125000000000001"/>
    <n v="0"/>
    <s v="Bebidas"/>
    <s v="Bebidas Cambio de bebida"/>
    <s v="Bebidas"/>
  </r>
  <r>
    <x v="1"/>
    <x v="1"/>
    <x v="1"/>
    <s v="COMP11"/>
    <s v="COMBO - Lumpia y agua 280 ML"/>
    <n v="3"/>
    <n v="23700"/>
    <n v="0"/>
    <n v="0"/>
    <n v="23700"/>
    <n v="1"/>
    <n v="0"/>
    <s v="Armalo en combo"/>
    <s v="Personal"/>
    <s v="Combo"/>
  </r>
  <r>
    <x v="1"/>
    <x v="1"/>
    <x v="1"/>
    <s v="COMC07"/>
    <s v="COMBO ANTOJO"/>
    <n v="3"/>
    <n v="62700"/>
    <n v="0"/>
    <n v="23919"/>
    <n v="38781"/>
    <n v="0.61851674641148324"/>
    <n v="0"/>
    <s v="Combos para compartir"/>
    <s v="No Personal"/>
    <s v="Combo"/>
  </r>
  <r>
    <x v="1"/>
    <x v="1"/>
    <x v="1"/>
    <s v="BEB608"/>
    <s v="Agua Limón 600 Ml CB (*Extra)"/>
    <n v="2"/>
    <n v="3200"/>
    <n v="0"/>
    <n v="3422"/>
    <n v="-222"/>
    <n v="-6.9375000000000006E-2"/>
    <n v="0"/>
    <s v="Bebidas"/>
    <s v="Bebidas Cambio de bebida"/>
    <s v="Bebidas"/>
  </r>
  <r>
    <x v="1"/>
    <x v="1"/>
    <x v="1"/>
    <s v="BEB609"/>
    <s v="Fusetea Limon CB (*Extra)"/>
    <n v="2"/>
    <n v="3200"/>
    <n v="0"/>
    <n v="3748"/>
    <n v="-548"/>
    <n v="-0.17125000000000001"/>
    <n v="0"/>
    <s v="Bebidas"/>
    <s v="Bebidas Cambio de bebida"/>
    <s v="Bebidas"/>
  </r>
  <r>
    <x v="1"/>
    <x v="1"/>
    <x v="1"/>
    <s v="BEB613"/>
    <s v="Coca Cola 400 Ml Zero CB (*Extra)"/>
    <n v="2"/>
    <n v="4600"/>
    <n v="0"/>
    <n v="4478"/>
    <n v="122"/>
    <n v="2.6521739130434784E-2"/>
    <n v="0"/>
    <s v="Bebidas"/>
    <s v="Bebidas Cambio de bebida"/>
    <s v="Bebidas"/>
  </r>
  <r>
    <x v="1"/>
    <x v="1"/>
    <x v="1"/>
    <s v="COMP06"/>
    <s v="COMBO 6 - Chow Fan pollo personal"/>
    <n v="2"/>
    <n v="45800"/>
    <n v="0"/>
    <n v="16502"/>
    <n v="29298"/>
    <n v="0.63969432314410479"/>
    <n v="0"/>
    <s v="Combos personales"/>
    <s v="Personal"/>
    <s v="Combo"/>
  </r>
  <r>
    <x v="1"/>
    <x v="1"/>
    <x v="1"/>
    <s v="MON122"/>
    <s v="Chow Fan Pollo familiar"/>
    <n v="2"/>
    <n v="111800"/>
    <n v="0"/>
    <n v="48510"/>
    <n v="63290"/>
    <n v="0.5661001788908766"/>
    <n v="0"/>
    <s v="Platos mong"/>
    <s v="No Personal"/>
    <s v="Caja"/>
  </r>
  <r>
    <x v="1"/>
    <x v="1"/>
    <x v="1"/>
    <s v="MON301"/>
    <s v="Chop Suey Especial trio"/>
    <n v="2"/>
    <n v="93800"/>
    <n v="0"/>
    <n v="22664"/>
    <n v="71136"/>
    <n v="0.7583795309168444"/>
    <n v="0"/>
    <s v="Platos mong"/>
    <s v="No Personal"/>
    <s v="Caja"/>
  </r>
  <r>
    <x v="1"/>
    <x v="1"/>
    <x v="1"/>
    <s v="ADIC567"/>
    <s v="cerdo agridulce"/>
    <n v="2"/>
    <n v="15800"/>
    <n v="0"/>
    <n v="0"/>
    <n v="15800"/>
    <n v="1"/>
    <n v="0"/>
    <s v="Adición"/>
    <s v="Adición"/>
    <s v="Adición"/>
  </r>
  <r>
    <x v="1"/>
    <x v="1"/>
    <x v="1"/>
    <s v="MON332"/>
    <s v="Chop Suey Vegetariano familar"/>
    <n v="2"/>
    <n v="99800"/>
    <n v="0"/>
    <n v="39978"/>
    <n v="59822"/>
    <n v="0.59941883767535065"/>
    <n v="0"/>
    <s v="Platos mong"/>
    <s v="No Personal"/>
    <s v="Caja"/>
  </r>
  <r>
    <x v="1"/>
    <x v="1"/>
    <x v="1"/>
    <s v="CAM04"/>
    <s v="Lumpia cambio (*Extra)"/>
    <n v="2"/>
    <n v="0"/>
    <n v="0"/>
    <n v="4098"/>
    <n v="-4098"/>
    <n v="0"/>
    <n v="0"/>
    <s v="Adición"/>
    <s v="Otro"/>
    <s v="Otro"/>
  </r>
  <r>
    <x v="1"/>
    <x v="1"/>
    <x v="1"/>
    <s v="BOW07"/>
    <s v="Tao Bowl grande"/>
    <n v="1"/>
    <n v="21900"/>
    <n v="0"/>
    <n v="0"/>
    <n v="21900"/>
    <n v="1"/>
    <n v="0"/>
    <s v="Bowl"/>
    <s v="Personal"/>
    <s v="Bowl"/>
  </r>
  <r>
    <x v="1"/>
    <x v="1"/>
    <x v="1"/>
    <s v="MON210"/>
    <s v="Chow Mein Camaron Personal"/>
    <n v="1"/>
    <n v="24900"/>
    <n v="0"/>
    <n v="10481"/>
    <n v="14419"/>
    <n v="0.57907630522088349"/>
    <n v="0"/>
    <s v="Platos mong"/>
    <s v="Personal"/>
    <s v="Caja"/>
  </r>
  <r>
    <x v="1"/>
    <x v="1"/>
    <x v="1"/>
    <s v="BOW06"/>
    <s v="Take Bowl grande"/>
    <n v="1"/>
    <n v="21900"/>
    <n v="0"/>
    <n v="0"/>
    <n v="21900"/>
    <n v="1"/>
    <n v="0"/>
    <s v="Bowl"/>
    <s v="Personal"/>
    <s v="Bowl"/>
  </r>
  <r>
    <x v="1"/>
    <x v="1"/>
    <x v="1"/>
    <s v="BEB00"/>
    <s v="Coca Cola 250 Ml Zero CB (*Extra)"/>
    <n v="1"/>
    <n v="0"/>
    <n v="0"/>
    <n v="0"/>
    <n v="0"/>
    <n v="0"/>
    <n v="0"/>
    <s v="Bebidas"/>
    <s v="Bebidas Cambio de bebida"/>
    <s v="Bebidas"/>
  </r>
  <r>
    <x v="1"/>
    <x v="1"/>
    <x v="1"/>
    <s v="BEB604"/>
    <s v="Sprite 400 Ml CB (*Extra)"/>
    <n v="1"/>
    <n v="1600"/>
    <n v="0"/>
    <n v="1516"/>
    <n v="84"/>
    <n v="5.2499999999999998E-2"/>
    <n v="0"/>
    <s v="Bebidas"/>
    <s v="Bebidas Cambio de bebida"/>
    <s v="Bebidas"/>
  </r>
  <r>
    <x v="1"/>
    <x v="1"/>
    <x v="1"/>
    <s v="MON111"/>
    <s v="Chow Fan Camarones trio"/>
    <n v="1"/>
    <n v="56900"/>
    <n v="0"/>
    <n v="20911"/>
    <n v="35989"/>
    <n v="0.63249560632688928"/>
    <n v="0"/>
    <s v="Platos mong"/>
    <s v="No Personal"/>
    <s v="Caja"/>
  </r>
  <r>
    <x v="1"/>
    <x v="1"/>
    <x v="1"/>
    <s v="BEB606"/>
    <s v="Agua Normal 600 Ml CB (*Extra)"/>
    <n v="1"/>
    <n v="1600"/>
    <n v="0"/>
    <n v="1368"/>
    <n v="232"/>
    <n v="0.14499999999999999"/>
    <n v="0"/>
    <s v="Bebidas"/>
    <s v="Bebidas Cambio de bebida"/>
    <s v="Bebidas"/>
  </r>
  <r>
    <x v="1"/>
    <x v="1"/>
    <x v="1"/>
    <s v="MON302"/>
    <s v="Chop Suey Especial Familiar"/>
    <n v="1"/>
    <n v="77900"/>
    <n v="0"/>
    <n v="28057"/>
    <n v="49843"/>
    <n v="0.63983311938382537"/>
    <n v="0"/>
    <s v="Platos mong"/>
    <s v="No Personal"/>
    <s v="Caja"/>
  </r>
  <r>
    <x v="1"/>
    <x v="1"/>
    <x v="1"/>
    <s v="ADIC490"/>
    <s v="Adicion - Pollo en trozos"/>
    <n v="1"/>
    <n v="6900"/>
    <n v="0"/>
    <n v="2245"/>
    <n v="4655"/>
    <n v="0.67463768115942024"/>
    <n v="0"/>
    <s v="Adición"/>
    <s v="Adición"/>
    <s v="Adición"/>
  </r>
  <r>
    <x v="1"/>
    <x v="1"/>
    <x v="1"/>
    <s v="MON133"/>
    <s v="Chow fan valenciano megafamiliar"/>
    <n v="1"/>
    <n v="113900"/>
    <n v="0"/>
    <n v="48608"/>
    <n v="65292"/>
    <n v="0.57323968393327485"/>
    <n v="0"/>
    <s v="Platos mong"/>
    <s v="No Personal"/>
    <s v="Caja"/>
  </r>
  <r>
    <x v="1"/>
    <x v="2"/>
    <x v="1"/>
    <s v="COMP01"/>
    <s v="COMBO 1- Valenciano personal"/>
    <n v="247"/>
    <n v="5892666"/>
    <n v="-10634"/>
    <n v="2377869"/>
    <n v="3514797"/>
    <n v="0.59646974730962188"/>
    <n v="1.8046161109419743E-3"/>
    <s v="Combos personales"/>
    <s v="Personal"/>
    <s v="Combo"/>
  </r>
  <r>
    <x v="1"/>
    <x v="2"/>
    <x v="1"/>
    <s v="MON450"/>
    <s v="Arma tu plato"/>
    <n v="202"/>
    <n v="5015303"/>
    <n v="-14497"/>
    <n v="0"/>
    <n v="5015303"/>
    <n v="1"/>
    <n v="2.8905531729588423E-3"/>
    <s v="Arma tu plato"/>
    <s v="Personal"/>
    <s v="Caja"/>
  </r>
  <r>
    <x v="1"/>
    <x v="2"/>
    <x v="1"/>
    <s v="ATP01"/>
    <s v="Pollo a la naranja (*Extra)"/>
    <n v="127"/>
    <n v="0"/>
    <n v="0"/>
    <n v="697357"/>
    <n v="-697357"/>
    <n v="0"/>
    <n v="0"/>
    <s v="Arma tu plato"/>
    <s v="Personal"/>
    <s v="Caja"/>
  </r>
  <r>
    <x v="1"/>
    <x v="2"/>
    <x v="1"/>
    <s v="ATP10"/>
    <s v="Cerdo agridulce (*Extra)"/>
    <n v="99"/>
    <n v="0"/>
    <n v="0"/>
    <n v="541233"/>
    <n v="-541233"/>
    <n v="0"/>
    <n v="0"/>
    <s v="Arma tu plato"/>
    <s v="Personal"/>
    <s v="Caja"/>
  </r>
  <r>
    <x v="1"/>
    <x v="2"/>
    <x v="1"/>
    <s v="ENT04"/>
    <s v="LUMPIAS X 2"/>
    <n v="96"/>
    <n v="852528"/>
    <n v="-1872"/>
    <n v="301344"/>
    <n v="551184"/>
    <n v="0.64652891166037951"/>
    <n v="2.1958223073025168E-3"/>
    <s v="Entradas"/>
    <s v="Otro"/>
    <s v="Otro"/>
  </r>
  <r>
    <x v="1"/>
    <x v="2"/>
    <x v="1"/>
    <s v="COMP02"/>
    <s v="COMBO 2 - Chow fan especial personal"/>
    <n v="77"/>
    <n v="1988307"/>
    <n v="-5993"/>
    <n v="731577"/>
    <n v="1256730"/>
    <n v="0.63206034078238416"/>
    <n v="3.0141220646509818E-3"/>
    <s v="Combos personales"/>
    <s v="Personal"/>
    <s v="Combo"/>
  </r>
  <r>
    <x v="1"/>
    <x v="2"/>
    <x v="1"/>
    <s v="BEB581"/>
    <s v="Coca Cola 400 Ml Normal"/>
    <n v="74"/>
    <n v="435974"/>
    <n v="-626"/>
    <n v="125430"/>
    <n v="310544"/>
    <n v="0.71229935730112348"/>
    <n v="1.4358654415171548E-3"/>
    <s v="Bebidas"/>
    <s v="Bebidas"/>
    <s v="Bebidas"/>
  </r>
  <r>
    <x v="1"/>
    <x v="2"/>
    <x v="1"/>
    <s v="COMP03"/>
    <s v="COMBO 3 - Chop suey especial personal"/>
    <n v="73"/>
    <n v="2106900"/>
    <n v="-2800"/>
    <n v="698610"/>
    <n v="1408290"/>
    <n v="0.66841805496226681"/>
    <n v="1.3289667283686933E-3"/>
    <s v="Combos personales"/>
    <s v="Personal"/>
    <s v="Combo"/>
  </r>
  <r>
    <x v="1"/>
    <x v="2"/>
    <x v="1"/>
    <s v="COMP05"/>
    <s v="COMBO 5 - Chow Mein especial personal"/>
    <n v="73"/>
    <n v="2101731"/>
    <n v="-7969"/>
    <n v="821469"/>
    <n v="1280262"/>
    <n v="0.60914646070310619"/>
    <n v="3.7916365129505155E-3"/>
    <s v="Combos personales"/>
    <s v="Personal"/>
    <s v="Combo"/>
  </r>
  <r>
    <x v="1"/>
    <x v="2"/>
    <x v="1"/>
    <s v="ATP02"/>
    <s v="Camarones apanados 7 (*Extra)"/>
    <n v="66"/>
    <n v="131310"/>
    <n v="-690"/>
    <n v="205128"/>
    <n v="-73818"/>
    <n v="-0.56216586703221383"/>
    <n v="5.2547406899702996E-3"/>
    <s v="Arma tu plato"/>
    <s v="Personal"/>
    <s v="Caja"/>
  </r>
  <r>
    <x v="1"/>
    <x v="2"/>
    <x v="1"/>
    <s v="BEB620"/>
    <s v="Agua 280 ml CB (*Extra)"/>
    <n v="64"/>
    <n v="0"/>
    <n v="0"/>
    <n v="55552"/>
    <n v="-55552"/>
    <n v="0"/>
    <n v="0"/>
    <s v="Bebidas"/>
    <s v="Bebidas Cambio de bebida"/>
    <s v="Bebidas"/>
  </r>
  <r>
    <x v="1"/>
    <x v="2"/>
    <x v="1"/>
    <s v="BEB01"/>
    <s v="Coca Cola 250 Ml Normal CB (*Extra)"/>
    <n v="63"/>
    <n v="62709"/>
    <n v="-291"/>
    <n v="122535"/>
    <n v="-59826"/>
    <n v="-0.95402573793235423"/>
    <n v="4.6404822274314691E-3"/>
    <s v="Bebidas"/>
    <s v="Bebidas Cambio de bebida"/>
    <s v="Bebidas"/>
  </r>
  <r>
    <x v="1"/>
    <x v="2"/>
    <x v="1"/>
    <s v="PESP04"/>
    <s v="SUN KEE"/>
    <n v="61"/>
    <n v="1640900"/>
    <n v="0"/>
    <n v="831918"/>
    <n v="808982"/>
    <n v="0.4930111524163569"/>
    <n v="0"/>
    <s v="Platos especiales"/>
    <s v="Personal"/>
    <s v="Platos Especiales"/>
  </r>
  <r>
    <x v="1"/>
    <x v="2"/>
    <x v="1"/>
    <s v="ATP06"/>
    <s v="Arroz Frito ATP (*Extra)"/>
    <n v="60"/>
    <n v="0"/>
    <n v="0"/>
    <n v="76920"/>
    <n v="-76920"/>
    <n v="0"/>
    <n v="0"/>
    <s v="Arma tu plato"/>
    <s v="Personal"/>
    <s v="Caja"/>
  </r>
  <r>
    <x v="1"/>
    <x v="2"/>
    <x v="1"/>
    <s v="ATP03"/>
    <s v="Arroz vegetales (*Extra)"/>
    <n v="55"/>
    <n v="109526"/>
    <n v="-474"/>
    <n v="111925"/>
    <n v="-2399"/>
    <n v="-2.1903474973978782E-2"/>
    <n v="4.3277395321658788E-3"/>
    <s v="Arma tu plato"/>
    <s v="Personal"/>
    <s v="Caja"/>
  </r>
  <r>
    <x v="1"/>
    <x v="2"/>
    <x v="1"/>
    <s v="ATP09"/>
    <s v="Res brócoli (*Extra)"/>
    <n v="51"/>
    <n v="0"/>
    <n v="0"/>
    <n v="169422"/>
    <n v="-169422"/>
    <n v="0"/>
    <n v="0"/>
    <s v="Arma tu plato"/>
    <s v="Personal"/>
    <s v="Caja"/>
  </r>
  <r>
    <x v="1"/>
    <x v="2"/>
    <x v="1"/>
    <s v="ATP04"/>
    <s v="Chop suey (*Extra)"/>
    <n v="47"/>
    <n v="0"/>
    <n v="0"/>
    <n v="123798"/>
    <n v="-123798"/>
    <n v="0"/>
    <n v="0"/>
    <s v="Arma tu plato"/>
    <s v="Personal"/>
    <s v="Caja"/>
  </r>
  <r>
    <x v="1"/>
    <x v="2"/>
    <x v="1"/>
    <s v="BEB585"/>
    <s v="Agua Normal 600 Ml"/>
    <n v="44"/>
    <n v="215600"/>
    <n v="0"/>
    <n v="48180"/>
    <n v="167420"/>
    <n v="0.77653061224489794"/>
    <n v="0"/>
    <s v="Bebidas"/>
    <s v="Bebidas"/>
    <s v="Bebidas"/>
  </r>
  <r>
    <x v="1"/>
    <x v="2"/>
    <x v="1"/>
    <s v="BEB580"/>
    <s v="Coca Cola 250 Ml Normal"/>
    <n v="40"/>
    <n v="154667"/>
    <n v="-1333"/>
    <n v="46520"/>
    <n v="108147"/>
    <n v="0.69922478615347816"/>
    <n v="8.6185159083708874E-3"/>
    <s v="Bebidas"/>
    <s v="Bebidas"/>
    <s v="Bebidas"/>
  </r>
  <r>
    <x v="1"/>
    <x v="2"/>
    <x v="1"/>
    <s v="MONE701"/>
    <s v="Mong Express Chow fan"/>
    <n v="40"/>
    <n v="769954"/>
    <n v="-26046"/>
    <n v="0"/>
    <n v="769954"/>
    <n v="1"/>
    <n v="3.3827994919176992E-2"/>
    <s v="Mong Express"/>
    <s v="Personal"/>
    <s v="Caja"/>
  </r>
  <r>
    <x v="1"/>
    <x v="2"/>
    <x v="1"/>
    <s v="ATP05"/>
    <s v="Chow mein (*Extra)"/>
    <n v="40"/>
    <n v="0"/>
    <n v="0"/>
    <n v="123880"/>
    <n v="-123880"/>
    <n v="0"/>
    <n v="0"/>
    <s v="Arma tu plato"/>
    <s v="Personal"/>
    <s v="Caja"/>
  </r>
  <r>
    <x v="1"/>
    <x v="2"/>
    <x v="1"/>
    <s v="PESP02"/>
    <s v="MONG"/>
    <n v="31"/>
    <n v="722100"/>
    <n v="-49800"/>
    <n v="394258"/>
    <n v="327842"/>
    <n v="0.4540119097077967"/>
    <n v="6.8965517241379309E-2"/>
    <s v="Platos especiales"/>
    <s v="Personal"/>
    <s v="Platos Especiales"/>
  </r>
  <r>
    <x v="1"/>
    <x v="2"/>
    <x v="1"/>
    <s v="ATP08"/>
    <s v="Pollo Apanado ATP (*Extra)"/>
    <n v="29"/>
    <n v="0"/>
    <n v="0"/>
    <n v="152627"/>
    <n v="-152627"/>
    <n v="0"/>
    <n v="0"/>
    <s v="Arma tu plato"/>
    <s v="Personal"/>
    <s v="Caja"/>
  </r>
  <r>
    <x v="1"/>
    <x v="2"/>
    <x v="1"/>
    <s v="ADIC560"/>
    <s v="Adición Papa frita"/>
    <n v="26"/>
    <n v="148900"/>
    <n v="-4500"/>
    <n v="106548"/>
    <n v="42352"/>
    <n v="0.28443250503693757"/>
    <n v="3.0221625251846879E-2"/>
    <s v="Adición"/>
    <s v="Adición"/>
    <s v="Adición"/>
  </r>
  <r>
    <x v="1"/>
    <x v="2"/>
    <x v="1"/>
    <s v="MONE700"/>
    <s v="Mong Express Chop suey pollo"/>
    <n v="25"/>
    <n v="473600"/>
    <n v="-23900"/>
    <n v="204575"/>
    <n v="269025"/>
    <n v="0.56804265202702697"/>
    <n v="5.0464527027027029E-2"/>
    <s v="Mong Express"/>
    <s v="Personal"/>
    <s v="Caja"/>
  </r>
  <r>
    <x v="1"/>
    <x v="2"/>
    <x v="1"/>
    <s v="BEB592"/>
    <s v="Coca Cola 400 Ml Zero"/>
    <n v="24"/>
    <n v="141600"/>
    <n v="0"/>
    <n v="34752"/>
    <n v="106848"/>
    <n v="0.75457627118644066"/>
    <n v="0"/>
    <s v="Bebidas"/>
    <s v="Bebidas"/>
    <s v="Bebidas"/>
  </r>
  <r>
    <x v="1"/>
    <x v="2"/>
    <x v="1"/>
    <s v="ADIC563"/>
    <s v="Adición Arroz Frito"/>
    <n v="22"/>
    <n v="117437"/>
    <n v="-12363"/>
    <n v="28204"/>
    <n v="89233"/>
    <n v="0.7598371893014978"/>
    <n v="0.10527346577313794"/>
    <s v="Adición"/>
    <s v="Adición"/>
    <s v="Adición"/>
  </r>
  <r>
    <x v="1"/>
    <x v="2"/>
    <x v="1"/>
    <s v="MON500"/>
    <s v="Arroz vegetales especial personal"/>
    <n v="22"/>
    <n v="503800"/>
    <n v="0"/>
    <n v="165308"/>
    <n v="338492"/>
    <n v="0.67187772925764189"/>
    <n v="0"/>
    <s v="Platos mong"/>
    <s v="Personal"/>
    <s v="Caja"/>
  </r>
  <r>
    <x v="1"/>
    <x v="2"/>
    <x v="1"/>
    <s v="BEB595"/>
    <s v="Agua Manzana 600 Ml"/>
    <n v="20"/>
    <n v="97530"/>
    <n v="-470"/>
    <n v="27460"/>
    <n v="70070"/>
    <n v="0.7184456064800574"/>
    <n v="4.819030042038347E-3"/>
    <s v="Bebidas"/>
    <s v="Bebidas"/>
    <s v="Bebidas"/>
  </r>
  <r>
    <x v="1"/>
    <x v="2"/>
    <x v="1"/>
    <s v="COMP10"/>
    <s v="COMBO - Lumpia y Coca Cola 250 ml"/>
    <n v="20"/>
    <n v="158000"/>
    <n v="0"/>
    <n v="0"/>
    <n v="158000"/>
    <n v="1"/>
    <n v="0"/>
    <s v="Armalo en combo"/>
    <s v="Personal"/>
    <s v="Combo"/>
  </r>
  <r>
    <x v="1"/>
    <x v="2"/>
    <x v="1"/>
    <s v="BEB587"/>
    <s v="Agua Limón 600 Ml"/>
    <n v="19"/>
    <n v="92200"/>
    <n v="-900"/>
    <n v="26087"/>
    <n v="66113"/>
    <n v="0.71706073752711497"/>
    <n v="9.7613882863340565E-3"/>
    <s v="Bebidas"/>
    <s v="Bebidas"/>
    <s v="Bebidas"/>
  </r>
  <r>
    <x v="1"/>
    <x v="2"/>
    <x v="1"/>
    <s v="PESP03"/>
    <s v="LING"/>
    <n v="19"/>
    <n v="511100"/>
    <n v="0"/>
    <n v="257773"/>
    <n v="253327"/>
    <n v="0.49565055762081783"/>
    <n v="0"/>
    <s v="Platos especiales"/>
    <s v="Personal"/>
    <s v="Platos Especiales"/>
  </r>
  <r>
    <x v="1"/>
    <x v="2"/>
    <x v="1"/>
    <s v="COMP04"/>
    <s v="COMBO 4 - arroz vegetales especial"/>
    <n v="18"/>
    <n v="527882"/>
    <n v="-318"/>
    <n v="184446"/>
    <n v="343436"/>
    <n v="0.65059236723358627"/>
    <n v="6.0240735618945142E-4"/>
    <s v="Combos personales"/>
    <s v="Personal"/>
    <s v="Combo"/>
  </r>
  <r>
    <x v="1"/>
    <x v="2"/>
    <x v="1"/>
    <s v="BEB589"/>
    <s v="Fusetea Durazno"/>
    <n v="18"/>
    <n v="88200"/>
    <n v="0"/>
    <n v="28080"/>
    <n v="60120"/>
    <n v="0.68163265306122445"/>
    <n v="0"/>
    <s v="Bebidas"/>
    <s v="Bebidas"/>
    <s v="Bebidas"/>
  </r>
  <r>
    <x v="1"/>
    <x v="2"/>
    <x v="1"/>
    <s v="BEB598"/>
    <s v="Coca Cola 1,5 litros"/>
    <n v="18"/>
    <n v="148500"/>
    <n v="-29700"/>
    <n v="81018"/>
    <n v="67482"/>
    <n v="0.4544242424242424"/>
    <n v="0.2"/>
    <s v="Bebidas"/>
    <s v="Bebidas"/>
    <s v="Bebidas"/>
  </r>
  <r>
    <x v="1"/>
    <x v="2"/>
    <x v="1"/>
    <s v="MON120"/>
    <s v="Chow Fan Pollo Personal"/>
    <n v="17"/>
    <n v="268775"/>
    <n v="-1525"/>
    <n v="103088"/>
    <n v="165687"/>
    <n v="0.61645242303041581"/>
    <n v="5.6738908008557342E-3"/>
    <s v="Platos mong"/>
    <s v="Personal"/>
    <s v="Caja"/>
  </r>
  <r>
    <x v="1"/>
    <x v="2"/>
    <x v="1"/>
    <s v="ATP07"/>
    <s v="Pollo presa ATP (*Extra)"/>
    <n v="17"/>
    <n v="0"/>
    <n v="0"/>
    <n v="48433"/>
    <n v="-48433"/>
    <n v="0"/>
    <n v="0"/>
    <s v="Arma tu plato"/>
    <s v="Personal"/>
    <s v="Caja"/>
  </r>
  <r>
    <x v="1"/>
    <x v="2"/>
    <x v="1"/>
    <s v="ENT02"/>
    <s v="LUMPIA X 1"/>
    <n v="16"/>
    <n v="80000"/>
    <n v="0"/>
    <n v="25104"/>
    <n v="54896"/>
    <n v="0.68620000000000003"/>
    <n v="0"/>
    <s v="Entradas"/>
    <s v="Otro"/>
    <s v="Otro"/>
  </r>
  <r>
    <x v="1"/>
    <x v="2"/>
    <x v="1"/>
    <s v="MON130"/>
    <s v="Chow Fan Valenciano Personal"/>
    <n v="16"/>
    <n v="350400"/>
    <n v="0"/>
    <n v="135424"/>
    <n v="214976"/>
    <n v="0.61351598173515987"/>
    <n v="0"/>
    <s v="Platos mong"/>
    <s v="Personal"/>
    <s v="Caja"/>
  </r>
  <r>
    <x v="1"/>
    <x v="2"/>
    <x v="1"/>
    <s v="ENT03"/>
    <s v="CAMARONES APANADOS"/>
    <n v="16"/>
    <n v="270400"/>
    <n v="0"/>
    <n v="99440"/>
    <n v="170960"/>
    <n v="0.63224852071005921"/>
    <n v="0"/>
    <s v="Entradas"/>
    <s v="Otro"/>
    <s v="Otro"/>
  </r>
  <r>
    <x v="1"/>
    <x v="2"/>
    <x v="1"/>
    <s v="BEB599"/>
    <s v="Agua 280 ml"/>
    <n v="16"/>
    <n v="49000"/>
    <n v="-7000"/>
    <n v="13888"/>
    <n v="35112"/>
    <n v="0.71657142857142853"/>
    <n v="0.14285714285714285"/>
    <s v="Bebidas"/>
    <s v="Bebidas"/>
    <s v="Bebidas"/>
  </r>
  <r>
    <x v="1"/>
    <x v="2"/>
    <x v="1"/>
    <s v="MON101"/>
    <s v="Chow fan especial trio"/>
    <n v="16"/>
    <n v="750400"/>
    <n v="0"/>
    <n v="320848"/>
    <n v="429552"/>
    <n v="0.57243070362473347"/>
    <n v="0"/>
    <s v="Platos mong"/>
    <s v="No Personal"/>
    <s v="Platos Especiales"/>
  </r>
  <r>
    <x v="1"/>
    <x v="2"/>
    <x v="1"/>
    <s v="MON131"/>
    <s v="Chow Fan Valenciano trio"/>
    <n v="15"/>
    <n v="883500"/>
    <n v="0"/>
    <n v="282270"/>
    <n v="601230"/>
    <n v="0.68050933786078094"/>
    <n v="0"/>
    <s v="Platos mong"/>
    <s v="No Personal"/>
    <s v="Caja"/>
  </r>
  <r>
    <x v="1"/>
    <x v="2"/>
    <x v="1"/>
    <s v="BEB593"/>
    <s v="Coca Cola 250 Ml Zero"/>
    <n v="14"/>
    <n v="54600"/>
    <n v="0"/>
    <n v="18074"/>
    <n v="36526"/>
    <n v="0.66897435897435897"/>
    <n v="0"/>
    <s v="Bebidas"/>
    <s v="Bebidas"/>
    <s v="Bebidas"/>
  </r>
  <r>
    <x v="1"/>
    <x v="2"/>
    <x v="1"/>
    <s v="COMC04"/>
    <s v="COMBO FAMIAMIGOS"/>
    <n v="13"/>
    <n v="1077700"/>
    <n v="0"/>
    <n v="509873"/>
    <n v="567827"/>
    <n v="0.52688781664656215"/>
    <n v="0"/>
    <s v="Combos para compartir"/>
    <s v="No Personal"/>
    <s v="Combo"/>
  </r>
  <r>
    <x v="1"/>
    <x v="2"/>
    <x v="1"/>
    <s v="MON100"/>
    <s v="Chow Fan Especial Personal"/>
    <n v="13"/>
    <n v="253976"/>
    <n v="-4724"/>
    <n v="87984"/>
    <n v="165992"/>
    <n v="0.65357356600623684"/>
    <n v="1.8600182694427821E-2"/>
    <s v="Platos mong"/>
    <s v="Personal"/>
    <s v="Caja"/>
  </r>
  <r>
    <x v="1"/>
    <x v="2"/>
    <x v="1"/>
    <s v="BEB596"/>
    <s v="Fusetea mango"/>
    <n v="13"/>
    <n v="63180"/>
    <n v="-520"/>
    <n v="24648"/>
    <n v="38532"/>
    <n v="0.6098765432098765"/>
    <n v="8.23045267489712E-3"/>
    <s v="Bebidas"/>
    <s v="Bebidas"/>
    <s v="Bebidas"/>
  </r>
  <r>
    <x v="1"/>
    <x v="2"/>
    <x v="1"/>
    <s v="PESP01"/>
    <s v="MING"/>
    <n v="13"/>
    <n v="375700"/>
    <n v="0"/>
    <n v="98865"/>
    <n v="276835"/>
    <n v="0.73685121107266438"/>
    <n v="0"/>
    <s v="Platos especiales"/>
    <s v="Personal"/>
    <s v="Platos Especiales"/>
  </r>
  <r>
    <x v="1"/>
    <x v="2"/>
    <x v="1"/>
    <s v="BEB584"/>
    <s v="Quatro 400 Ml"/>
    <n v="13"/>
    <n v="63700"/>
    <n v="0"/>
    <n v="17290"/>
    <n v="46410"/>
    <n v="0.72857142857142854"/>
    <n v="0"/>
    <s v="Bebidas"/>
    <s v="Bebidas"/>
    <s v="Bebidas"/>
  </r>
  <r>
    <x v="1"/>
    <x v="2"/>
    <x v="1"/>
    <s v="ADIC564"/>
    <s v="Adición Presa de pollo"/>
    <n v="13"/>
    <n v="86424"/>
    <n v="-3276"/>
    <n v="32032"/>
    <n v="54392"/>
    <n v="0.62936221419975935"/>
    <n v="3.7906137184115521E-2"/>
    <s v="Adición"/>
    <s v="Adición"/>
    <s v="Adición"/>
  </r>
  <r>
    <x v="1"/>
    <x v="2"/>
    <x v="1"/>
    <s v="BEB586"/>
    <s v="Agua Gas 600 Ml"/>
    <n v="12"/>
    <n v="58579"/>
    <n v="-221"/>
    <n v="15456"/>
    <n v="43123"/>
    <n v="0.73615118045716044"/>
    <n v="3.7726830434114613E-3"/>
    <s v="Bebidas"/>
    <s v="Bebidas"/>
    <s v="Bebidas"/>
  </r>
  <r>
    <x v="1"/>
    <x v="2"/>
    <x v="1"/>
    <s v="COMC02"/>
    <s v="COMBO AMIGOS"/>
    <n v="12"/>
    <n v="712900"/>
    <n v="-5900"/>
    <n v="283656"/>
    <n v="429244"/>
    <n v="0.60210969280403981"/>
    <n v="8.2760555477626591E-3"/>
    <s v="Combos para compartir"/>
    <s v="No Personal"/>
    <s v="Combo"/>
  </r>
  <r>
    <x v="1"/>
    <x v="2"/>
    <x v="1"/>
    <s v="PESP05"/>
    <s v="WONG- Menú infantil"/>
    <n v="12"/>
    <n v="185900"/>
    <n v="-16900"/>
    <n v="85500"/>
    <n v="100400"/>
    <n v="0.5400753093060785"/>
    <n v="9.0909090909090912E-2"/>
    <s v="Platos especiales"/>
    <s v="Personal"/>
    <s v="Platos Especiales"/>
  </r>
  <r>
    <x v="1"/>
    <x v="2"/>
    <x v="1"/>
    <s v="MON102"/>
    <s v="Chow Fan Especial familiar"/>
    <n v="11"/>
    <n v="735900"/>
    <n v="0"/>
    <n v="355861"/>
    <n v="380039"/>
    <n v="0.51642750373692081"/>
    <n v="0"/>
    <s v="Platos mong"/>
    <s v="No Personal"/>
    <s v="Caja"/>
  </r>
  <r>
    <x v="1"/>
    <x v="2"/>
    <x v="1"/>
    <s v="MON300"/>
    <s v="Chop suey especial personal"/>
    <n v="11"/>
    <n v="229900"/>
    <n v="0"/>
    <n v="75218"/>
    <n v="154682"/>
    <n v="0.67282296650717699"/>
    <n v="0"/>
    <s v="Platos mong"/>
    <s v="Personal"/>
    <s v="Caja"/>
  </r>
  <r>
    <x v="1"/>
    <x v="2"/>
    <x v="1"/>
    <s v="BEB597"/>
    <s v="Fusetea manzana"/>
    <n v="11"/>
    <n v="53900"/>
    <n v="0"/>
    <n v="17160"/>
    <n v="36740"/>
    <n v="0.68163265306122445"/>
    <n v="0"/>
    <s v="Bebidas"/>
    <s v="Bebidas"/>
    <s v="Bebidas"/>
  </r>
  <r>
    <x v="1"/>
    <x v="2"/>
    <x v="1"/>
    <s v="MON220"/>
    <s v="Chow Mein Pollo Personal"/>
    <n v="10"/>
    <n v="179000"/>
    <n v="0"/>
    <n v="71410"/>
    <n v="107590"/>
    <n v="0.60106145251396648"/>
    <n v="0"/>
    <s v="Platos mong"/>
    <s v="Personal"/>
    <s v="Caja"/>
  </r>
  <r>
    <x v="1"/>
    <x v="2"/>
    <x v="1"/>
    <s v="MON110"/>
    <s v="Chow Fan Camarones Personal"/>
    <n v="10"/>
    <n v="229000"/>
    <n v="0"/>
    <n v="94040"/>
    <n v="134960"/>
    <n v="0.58934497816593889"/>
    <n v="0"/>
    <s v="Platos mong"/>
    <s v="Personal"/>
    <s v="Caja"/>
  </r>
  <r>
    <x v="1"/>
    <x v="2"/>
    <x v="1"/>
    <s v="BEB583"/>
    <s v="Sprite 400 Ml"/>
    <n v="10"/>
    <n v="49000"/>
    <n v="0"/>
    <n v="13300"/>
    <n v="35700"/>
    <n v="0.72857142857142854"/>
    <n v="0"/>
    <s v="Bebidas"/>
    <s v="Bebidas"/>
    <s v="Bebidas"/>
  </r>
  <r>
    <x v="1"/>
    <x v="2"/>
    <x v="1"/>
    <s v="BEB594"/>
    <s v="Premio 400 Ml"/>
    <n v="10"/>
    <n v="49000"/>
    <n v="0"/>
    <n v="13300"/>
    <n v="35700"/>
    <n v="0.72857142857142854"/>
    <n v="0"/>
    <s v="Bebidas"/>
    <s v="Bebidas"/>
    <s v="Bebidas"/>
  </r>
  <r>
    <x v="1"/>
    <x v="2"/>
    <x v="1"/>
    <s v="ADIC566"/>
    <s v="Pollo a la naranja"/>
    <n v="10"/>
    <n v="79000"/>
    <n v="0"/>
    <n v="0"/>
    <n v="79000"/>
    <n v="1"/>
    <n v="0"/>
    <s v="Adición"/>
    <s v="Adición"/>
    <s v="Adición"/>
  </r>
  <r>
    <x v="1"/>
    <x v="2"/>
    <x v="1"/>
    <s v="BEB588"/>
    <s v="Fusetea Limon"/>
    <n v="10"/>
    <n v="49000"/>
    <n v="0"/>
    <n v="15600"/>
    <n v="33400"/>
    <n v="0.68163265306122445"/>
    <n v="0"/>
    <s v="Bebidas"/>
    <s v="Bebidas"/>
    <s v="Bebidas"/>
  </r>
  <r>
    <x v="1"/>
    <x v="2"/>
    <x v="1"/>
    <s v="COMP08"/>
    <s v="COMBO - Papas 120 grs y Coca Cola 250 ml"/>
    <n v="10"/>
    <n v="79000"/>
    <n v="0"/>
    <n v="32120"/>
    <n v="46880"/>
    <n v="0.59341772151898731"/>
    <n v="0"/>
    <s v="Armalo en combo"/>
    <s v="Personal"/>
    <s v="Combo"/>
  </r>
  <r>
    <x v="1"/>
    <x v="2"/>
    <x v="1"/>
    <s v="BOW01"/>
    <s v="Tao Bowl mini"/>
    <n v="9"/>
    <n v="161100"/>
    <n v="0"/>
    <n v="0"/>
    <n v="161100"/>
    <n v="1"/>
    <n v="0"/>
    <s v="Bowl"/>
    <s v="Personal"/>
    <s v="Bowl"/>
  </r>
  <r>
    <x v="1"/>
    <x v="2"/>
    <x v="1"/>
    <s v="ADIC565"/>
    <s v="Adición Camaron"/>
    <n v="9"/>
    <n v="61777"/>
    <n v="-323"/>
    <n v="27972"/>
    <n v="33805"/>
    <n v="0.54721012674620007"/>
    <n v="5.2284830924130337E-3"/>
    <s v="Adición"/>
    <s v="Adición"/>
    <s v="Adición"/>
  </r>
  <r>
    <x v="1"/>
    <x v="2"/>
    <x v="1"/>
    <s v="MON310"/>
    <s v="Chop suey camarón personal"/>
    <n v="9"/>
    <n v="215100"/>
    <n v="0"/>
    <n v="78813"/>
    <n v="136287"/>
    <n v="0.6335983263598326"/>
    <n v="0"/>
    <s v="Platos mong"/>
    <s v="Personal"/>
    <s v="Caja"/>
  </r>
  <r>
    <x v="1"/>
    <x v="2"/>
    <x v="1"/>
    <s v="MON504"/>
    <s v="Arroz vegetales camarones personal"/>
    <n v="8"/>
    <n v="209200"/>
    <n v="0"/>
    <n v="75824"/>
    <n v="133376"/>
    <n v="0.63755258126195025"/>
    <n v="0"/>
    <s v="Platos mong"/>
    <s v="Personal"/>
    <s v="Caja"/>
  </r>
  <r>
    <x v="1"/>
    <x v="2"/>
    <x v="1"/>
    <s v="COMC07"/>
    <s v="COMBO ANTOJO"/>
    <n v="8"/>
    <n v="167200"/>
    <n v="0"/>
    <n v="63784"/>
    <n v="103416"/>
    <n v="0.61851674641148324"/>
    <n v="0"/>
    <s v="Combos para compartir"/>
    <s v="No Personal"/>
    <s v="Combo"/>
  </r>
  <r>
    <x v="1"/>
    <x v="2"/>
    <x v="1"/>
    <s v="MON121"/>
    <s v="Chow Fan Pollo trio"/>
    <n v="7"/>
    <n v="279300"/>
    <n v="0"/>
    <n v="99617"/>
    <n v="179683"/>
    <n v="0.64333333333333331"/>
    <n v="0"/>
    <s v="Platos mong"/>
    <s v="No Personal"/>
    <s v="Caja"/>
  </r>
  <r>
    <x v="1"/>
    <x v="2"/>
    <x v="1"/>
    <s v="BEB600"/>
    <s v="Fuze te limón 1.2"/>
    <n v="7"/>
    <n v="56000"/>
    <n v="0"/>
    <n v="0"/>
    <n v="56000"/>
    <n v="1"/>
    <n v="0"/>
    <s v="Bebidas"/>
    <s v="Bebidas"/>
    <s v="Bebidas"/>
  </r>
  <r>
    <x v="1"/>
    <x v="2"/>
    <x v="1"/>
    <s v="BEB582"/>
    <s v="Kola Roman 400 Ml"/>
    <n v="6"/>
    <n v="29400"/>
    <n v="0"/>
    <n v="7980"/>
    <n v="21420"/>
    <n v="0.72857142857142854"/>
    <n v="0"/>
    <s v="Bebidas"/>
    <s v="Bebidas"/>
    <s v="Bebidas"/>
  </r>
  <r>
    <x v="1"/>
    <x v="2"/>
    <x v="1"/>
    <s v="MON200"/>
    <s v="Chow Mein Especial Personal"/>
    <n v="6"/>
    <n v="125400"/>
    <n v="0"/>
    <n v="51126"/>
    <n v="74274"/>
    <n v="0.59229665071770332"/>
    <n v="0"/>
    <s v="Platos mong"/>
    <s v="Personal"/>
    <s v="Caja"/>
  </r>
  <r>
    <x v="1"/>
    <x v="2"/>
    <x v="1"/>
    <s v="MON505"/>
    <s v="Arroz vegetales pollo personal"/>
    <n v="5"/>
    <n v="99500"/>
    <n v="0"/>
    <n v="30690"/>
    <n v="68810"/>
    <n v="0.69155778894472364"/>
    <n v="0"/>
    <s v="Platos mong"/>
    <s v="Personal"/>
    <s v="Caja"/>
  </r>
  <r>
    <x v="1"/>
    <x v="2"/>
    <x v="1"/>
    <s v="ENT01"/>
    <s v="Deditos de Pollo"/>
    <n v="5"/>
    <n v="63600"/>
    <n v="-15900"/>
    <n v="50140"/>
    <n v="13460"/>
    <n v="0.21163522012578617"/>
    <n v="0.25"/>
    <s v="Entradas"/>
    <s v="Otro"/>
    <s v="Otro"/>
  </r>
  <r>
    <x v="1"/>
    <x v="2"/>
    <x v="1"/>
    <s v="BOW04"/>
    <s v="Kumo Bowl mini"/>
    <n v="4"/>
    <n v="75600"/>
    <n v="0"/>
    <n v="0"/>
    <n v="75600"/>
    <n v="1"/>
    <n v="0"/>
    <s v="Bowl"/>
    <s v="Personal"/>
    <s v="Bowl"/>
  </r>
  <r>
    <x v="1"/>
    <x v="2"/>
    <x v="1"/>
    <s v="MON132"/>
    <s v="Chow Fan Valenciano familiar"/>
    <n v="4"/>
    <n v="307600"/>
    <n v="0"/>
    <n v="138620"/>
    <n v="168980"/>
    <n v="0.54934980494148244"/>
    <n v="0"/>
    <s v="Platos mong"/>
    <s v="No Personal"/>
    <s v="Caja"/>
  </r>
  <r>
    <x v="1"/>
    <x v="2"/>
    <x v="1"/>
    <s v="BEB610"/>
    <s v="Fusetea Durazno CB (*Extra)"/>
    <n v="4"/>
    <n v="6400"/>
    <n v="0"/>
    <n v="7496"/>
    <n v="-1096"/>
    <n v="-0.17125000000000001"/>
    <n v="0"/>
    <s v="Bebidas"/>
    <s v="Bebidas Cambio de bebida"/>
    <s v="Bebidas"/>
  </r>
  <r>
    <x v="1"/>
    <x v="2"/>
    <x v="1"/>
    <s v="BEB608"/>
    <s v="Agua Limón 600 Ml CB (*Extra)"/>
    <n v="4"/>
    <n v="6400"/>
    <n v="0"/>
    <n v="6844"/>
    <n v="-444"/>
    <n v="-6.9375000000000006E-2"/>
    <n v="0"/>
    <s v="Bebidas"/>
    <s v="Bebidas Cambio de bebida"/>
    <s v="Bebidas"/>
  </r>
  <r>
    <x v="1"/>
    <x v="2"/>
    <x v="1"/>
    <s v="BEB590"/>
    <s v="Jugo Del Valle Mandarina"/>
    <n v="4"/>
    <n v="19600"/>
    <n v="0"/>
    <n v="6240"/>
    <n v="13360"/>
    <n v="0.68163265306122445"/>
    <n v="0"/>
    <s v="Bebidas"/>
    <s v="Bebidas"/>
    <s v="Bebidas"/>
  </r>
  <r>
    <x v="1"/>
    <x v="2"/>
    <x v="1"/>
    <s v="COMC06"/>
    <s v="COMBO FAMILIAR"/>
    <n v="4"/>
    <n v="387600"/>
    <n v="0"/>
    <n v="187120"/>
    <n v="200480"/>
    <n v="0.51723426212590295"/>
    <n v="0"/>
    <s v="Combos para compartir"/>
    <s v="No Personal"/>
    <s v="Combo"/>
  </r>
  <r>
    <x v="1"/>
    <x v="2"/>
    <x v="1"/>
    <s v="BEB601"/>
    <s v="Coca Cola 400 Ml Normal CB (*Extra)"/>
    <n v="3"/>
    <n v="6900"/>
    <n v="0"/>
    <n v="6705"/>
    <n v="195"/>
    <n v="2.8260869565217391E-2"/>
    <n v="0"/>
    <s v="Bebidas"/>
    <s v="Bebidas Cambio de bebida"/>
    <s v="Bebidas"/>
  </r>
  <r>
    <x v="1"/>
    <x v="2"/>
    <x v="1"/>
    <s v="BEB613"/>
    <s v="Coca Cola 400 Ml Zero CB (*Extra)"/>
    <n v="3"/>
    <n v="6900"/>
    <n v="0"/>
    <n v="6717"/>
    <n v="183"/>
    <n v="2.6521739130434784E-2"/>
    <n v="0"/>
    <s v="Bebidas"/>
    <s v="Bebidas Cambio de bebida"/>
    <s v="Bebidas"/>
  </r>
  <r>
    <x v="1"/>
    <x v="2"/>
    <x v="1"/>
    <s v="BEB605"/>
    <s v="Quatro 400 Ml CB (*Extra)"/>
    <n v="3"/>
    <n v="4800"/>
    <n v="0"/>
    <n v="3990"/>
    <n v="810"/>
    <n v="0.16875000000000001"/>
    <n v="0"/>
    <s v="Bebidas"/>
    <s v="Bebidas Cambio de bebida"/>
    <s v="Bebidas"/>
  </r>
  <r>
    <x v="1"/>
    <x v="2"/>
    <x v="1"/>
    <s v="ADIC561"/>
    <s v="Adición Vegetales"/>
    <n v="3"/>
    <n v="20700"/>
    <n v="0"/>
    <n v="2067"/>
    <n v="18633"/>
    <n v="0.90014492753623188"/>
    <n v="0"/>
    <s v="Adición"/>
    <s v="Adición"/>
    <s v="Adición"/>
  </r>
  <r>
    <x v="1"/>
    <x v="2"/>
    <x v="1"/>
    <s v="MON321"/>
    <s v="Chop Suey Pollo trio"/>
    <n v="3"/>
    <n v="125700"/>
    <n v="0"/>
    <n v="33651"/>
    <n v="92049"/>
    <n v="0.73229116945107398"/>
    <n v="0"/>
    <s v="Platos mong"/>
    <s v="No Personal"/>
    <s v="Caja"/>
  </r>
  <r>
    <x v="1"/>
    <x v="2"/>
    <x v="1"/>
    <s v="BEB591"/>
    <s v="Jugo del valle naranja"/>
    <n v="3"/>
    <n v="14700"/>
    <n v="0"/>
    <n v="4680"/>
    <n v="10020"/>
    <n v="0.68163265306122445"/>
    <n v="0"/>
    <s v="Bebidas"/>
    <s v="Bebidas"/>
    <s v="Bebidas"/>
  </r>
  <r>
    <x v="1"/>
    <x v="2"/>
    <x v="1"/>
    <s v="COMP11"/>
    <s v="COMBO - Lumpia y agua 280 ML"/>
    <n v="3"/>
    <n v="23700"/>
    <n v="0"/>
    <n v="0"/>
    <n v="23700"/>
    <n v="1"/>
    <n v="0"/>
    <s v="Armalo en combo"/>
    <s v="Personal"/>
    <s v="Combo"/>
  </r>
  <r>
    <x v="1"/>
    <x v="2"/>
    <x v="1"/>
    <s v="BOW03"/>
    <s v="Take Bowl mini"/>
    <n v="2"/>
    <n v="35800"/>
    <n v="0"/>
    <n v="0"/>
    <n v="35800"/>
    <n v="1"/>
    <n v="0"/>
    <s v="Bowl"/>
    <s v="Personal"/>
    <s v="Bowl"/>
  </r>
  <r>
    <x v="1"/>
    <x v="2"/>
    <x v="1"/>
    <s v="MON320"/>
    <s v="Chop Suey Pollo Personal"/>
    <n v="2"/>
    <n v="37800"/>
    <n v="0"/>
    <n v="10922"/>
    <n v="26878"/>
    <n v="0.71105820105820106"/>
    <n v="0"/>
    <s v="Platos mong"/>
    <s v="Personal"/>
    <s v="Caja"/>
  </r>
  <r>
    <x v="1"/>
    <x v="2"/>
    <x v="1"/>
    <s v="BEB609"/>
    <s v="Fusetea Limon CB (*Extra)"/>
    <n v="2"/>
    <n v="3200"/>
    <n v="0"/>
    <n v="3748"/>
    <n v="-548"/>
    <n v="-0.17125000000000001"/>
    <n v="0"/>
    <s v="Bebidas"/>
    <s v="Bebidas Cambio de bebida"/>
    <s v="Bebidas"/>
  </r>
  <r>
    <x v="1"/>
    <x v="2"/>
    <x v="1"/>
    <s v="BEB607"/>
    <s v="Agua Gas 600 Ml CB (*Extra)"/>
    <n v="2"/>
    <n v="3200"/>
    <n v="0"/>
    <n v="3220"/>
    <n v="-20"/>
    <n v="-6.2500000000000003E-3"/>
    <n v="0"/>
    <s v="Bebidas"/>
    <s v="Bebidas Cambio de bebida"/>
    <s v="Bebidas"/>
  </r>
  <r>
    <x v="1"/>
    <x v="2"/>
    <x v="1"/>
    <s v="BEB615"/>
    <s v="Premio 400 Ml CB (*Extra)"/>
    <n v="2"/>
    <n v="3200"/>
    <n v="0"/>
    <n v="3790"/>
    <n v="-590"/>
    <n v="-0.18437500000000001"/>
    <n v="0"/>
    <s v="Bebidas"/>
    <s v="Bebidas Cambio de bebida"/>
    <s v="Bebidas"/>
  </r>
  <r>
    <x v="1"/>
    <x v="2"/>
    <x v="1"/>
    <s v="BEB616"/>
    <s v="Agua Manzana 600 Ml CB (*Extra)"/>
    <n v="2"/>
    <n v="3200"/>
    <n v="0"/>
    <n v="4278"/>
    <n v="-1078"/>
    <n v="-0.33687499999999998"/>
    <n v="0"/>
    <s v="Bebidas"/>
    <s v="Bebidas Cambio de bebida"/>
    <s v="Bebidas"/>
  </r>
  <r>
    <x v="1"/>
    <x v="2"/>
    <x v="1"/>
    <s v="MON111"/>
    <s v="Chow Fan Camarones trio"/>
    <n v="2"/>
    <n v="113800"/>
    <n v="0"/>
    <n v="41822"/>
    <n v="71978"/>
    <n v="0.63249560632688928"/>
    <n v="0"/>
    <s v="Platos mong"/>
    <s v="No Personal"/>
    <s v="Caja"/>
  </r>
  <r>
    <x v="1"/>
    <x v="2"/>
    <x v="1"/>
    <s v="MON103"/>
    <s v="Chow Fan Especial megafamiliar"/>
    <n v="2"/>
    <n v="189800"/>
    <n v="0"/>
    <n v="85408"/>
    <n v="104392"/>
    <n v="0.55001053740779771"/>
    <n v="0"/>
    <s v="Platos mong"/>
    <s v="No Personal"/>
    <s v="Caja"/>
  </r>
  <r>
    <x v="1"/>
    <x v="2"/>
    <x v="1"/>
    <s v="MONFIT"/>
    <s v="Mong fit"/>
    <n v="2"/>
    <n v="0"/>
    <n v="-23800"/>
    <n v="0"/>
    <n v="0"/>
    <n v="0"/>
    <n v="0"/>
    <s v="Platos especiales"/>
    <s v="Personal"/>
    <s v="Platos Especiales"/>
  </r>
  <r>
    <x v="1"/>
    <x v="2"/>
    <x v="1"/>
    <s v="CAM03"/>
    <s v="Cambio Papas a la francesa 150 grs (*Extra)"/>
    <n v="2"/>
    <n v="982"/>
    <n v="-18"/>
    <n v="3138"/>
    <n v="-2156"/>
    <n v="-2.1955193482688391"/>
    <n v="1.8329938900203666E-2"/>
    <s v="Adición"/>
    <s v="Otro"/>
    <s v="Otro"/>
  </r>
  <r>
    <x v="1"/>
    <x v="2"/>
    <x v="1"/>
    <s v="BEB612"/>
    <s v="Jugo del valle naranja CB (*Extra)"/>
    <n v="2"/>
    <n v="3200"/>
    <n v="0"/>
    <n v="1900"/>
    <n v="1300"/>
    <n v="0.40625"/>
    <n v="0"/>
    <s v="Bebidas"/>
    <s v="Bebidas Cambio de bebida"/>
    <s v="Bebidas"/>
  </r>
  <r>
    <x v="1"/>
    <x v="2"/>
    <x v="1"/>
    <s v="COMP09"/>
    <s v="COMBO - Papas 120 grs y agua 280 Ml"/>
    <n v="2"/>
    <n v="15800"/>
    <n v="0"/>
    <n v="5834"/>
    <n v="9966"/>
    <n v="0.63075949367088613"/>
    <n v="0"/>
    <s v="Armalo en combo"/>
    <s v="Personal"/>
    <s v="Combo"/>
  </r>
  <r>
    <x v="1"/>
    <x v="2"/>
    <x v="1"/>
    <s v="BEB611"/>
    <s v="Jugo Del Valle Mandarina CB (*Extra)"/>
    <n v="2"/>
    <n v="3183"/>
    <n v="-17"/>
    <n v="1900"/>
    <n v="1283"/>
    <n v="0.40307885642475649"/>
    <n v="5.3408733898837575E-3"/>
    <s v="Bebidas"/>
    <s v="Bebidas Cambio de bebida"/>
    <s v="Bebidas"/>
  </r>
  <r>
    <x v="1"/>
    <x v="2"/>
    <x v="1"/>
    <s v="MON301"/>
    <s v="Chop Suey Especial trio"/>
    <n v="2"/>
    <n v="93800"/>
    <n v="0"/>
    <n v="22664"/>
    <n v="71136"/>
    <n v="0.7583795309168444"/>
    <n v="0"/>
    <s v="Platos mong"/>
    <s v="No Personal"/>
    <s v="Caja"/>
  </r>
  <r>
    <x v="1"/>
    <x v="2"/>
    <x v="1"/>
    <s v="BOW02"/>
    <s v="Kong Bowl mini"/>
    <n v="1"/>
    <n v="0"/>
    <n v="-17900"/>
    <n v="0"/>
    <n v="0"/>
    <n v="0"/>
    <n v="0"/>
    <s v="Bowl"/>
    <s v="Personal"/>
    <s v="Bowl"/>
  </r>
  <r>
    <x v="1"/>
    <x v="2"/>
    <x v="1"/>
    <s v="BEB602"/>
    <s v="Kola Roman 400 Ml CB (*Extra)"/>
    <n v="1"/>
    <n v="1600"/>
    <n v="0"/>
    <n v="2235"/>
    <n v="-635"/>
    <n v="-0.39687499999999998"/>
    <n v="0"/>
    <s v="Bebidas"/>
    <s v="Bebidas Cambio de bebida"/>
    <s v="Bebidas"/>
  </r>
  <r>
    <x v="1"/>
    <x v="2"/>
    <x v="1"/>
    <s v="MON330"/>
    <s v="Chop Suey Vegetariano Personal"/>
    <n v="1"/>
    <n v="17900"/>
    <n v="0"/>
    <n v="5466"/>
    <n v="12434"/>
    <n v="0.69463687150837994"/>
    <n v="0"/>
    <s v="Platos mong"/>
    <s v="Personal"/>
    <s v="Caja"/>
  </r>
  <r>
    <x v="1"/>
    <x v="2"/>
    <x v="1"/>
    <s v="mon001"/>
    <s v="fondo promocional"/>
    <n v="1"/>
    <n v="2023000"/>
    <n v="0"/>
    <n v="0"/>
    <n v="2023000"/>
    <n v="1"/>
    <n v="0"/>
    <s v="Otro"/>
    <s v="Otro"/>
    <s v="Otro"/>
  </r>
  <r>
    <x v="1"/>
    <x v="2"/>
    <x v="1"/>
    <s v="MON122"/>
    <s v="Chow Fan Pollo familiar"/>
    <n v="1"/>
    <n v="55900"/>
    <n v="0"/>
    <n v="24255"/>
    <n v="31645"/>
    <n v="0.5661001788908766"/>
    <n v="0"/>
    <s v="Platos mong"/>
    <s v="No Personal"/>
    <s v="Caja"/>
  </r>
  <r>
    <x v="1"/>
    <x v="2"/>
    <x v="1"/>
    <s v="BEB618"/>
    <s v="Fusetea manzana CB (*Extra)"/>
    <n v="1"/>
    <n v="1600"/>
    <n v="0"/>
    <n v="1896"/>
    <n v="-296"/>
    <n v="-0.185"/>
    <n v="0"/>
    <s v="Bebidas"/>
    <s v="Bebidas Cambio de bebida"/>
    <s v="Bebidas"/>
  </r>
  <r>
    <x v="1"/>
    <x v="2"/>
    <x v="1"/>
    <s v="MON210"/>
    <s v="Chow Mein Camaron Personal"/>
    <n v="1"/>
    <n v="24900"/>
    <n v="0"/>
    <n v="10481"/>
    <n v="14419"/>
    <n v="0.57907630522088349"/>
    <n v="0"/>
    <s v="Platos mong"/>
    <s v="Personal"/>
    <s v="Caja"/>
  </r>
  <r>
    <x v="1"/>
    <x v="2"/>
    <x v="1"/>
    <s v="MON123"/>
    <s v="Chow Fan Pollo megafamiliar"/>
    <n v="1"/>
    <n v="85900"/>
    <n v="0"/>
    <n v="32179"/>
    <n v="53721"/>
    <n v="0.62538998835855641"/>
    <n v="0"/>
    <s v="Platos mong"/>
    <s v="No Personal"/>
    <s v="Caja"/>
  </r>
  <r>
    <x v="1"/>
    <x v="2"/>
    <x v="1"/>
    <s v="BEB617"/>
    <s v="Fusetea mango CB (*Extra)"/>
    <n v="1"/>
    <n v="1600"/>
    <n v="0"/>
    <n v="1896"/>
    <n v="-296"/>
    <n v="-0.185"/>
    <n v="0"/>
    <s v="Bebidas"/>
    <s v="Bebidas Cambio de bebida"/>
    <s v="Bebidas"/>
  </r>
  <r>
    <x v="1"/>
    <x v="2"/>
    <x v="1"/>
    <s v="MON133"/>
    <s v="Chow fan valenciano megafamiliar"/>
    <n v="1"/>
    <n v="113900"/>
    <n v="0"/>
    <n v="48608"/>
    <n v="65292"/>
    <n v="0.57323968393327485"/>
    <n v="0"/>
    <s v="Platos mong"/>
    <s v="No Personal"/>
    <s v="Caja"/>
  </r>
  <r>
    <x v="1"/>
    <x v="2"/>
    <x v="1"/>
    <s v="BEB00"/>
    <s v="Coca Cola 250 Ml Zero CB (*Extra)"/>
    <n v="1"/>
    <n v="0"/>
    <n v="0"/>
    <n v="0"/>
    <n v="0"/>
    <n v="0"/>
    <n v="0"/>
    <s v="Bebidas"/>
    <s v="Bebidas Cambio de bebida"/>
    <s v="Bebidas"/>
  </r>
  <r>
    <x v="1"/>
    <x v="2"/>
    <x v="1"/>
    <s v="MON332"/>
    <s v="Chop Suey Vegetariano familar"/>
    <n v="1"/>
    <n v="49900"/>
    <n v="0"/>
    <n v="19989"/>
    <n v="29911"/>
    <n v="0.59941883767535065"/>
    <n v="0"/>
    <s v="Platos mong"/>
    <s v="No Personal"/>
    <s v="Caja"/>
  </r>
  <r>
    <x v="1"/>
    <x v="2"/>
    <x v="1"/>
    <s v="ADIC562"/>
    <s v="Adición Pasta"/>
    <n v="1"/>
    <n v="4900"/>
    <n v="0"/>
    <n v="3010"/>
    <n v="1890"/>
    <n v="0.38571428571428573"/>
    <n v="0"/>
    <s v="Adición"/>
    <s v="Adición"/>
    <s v="Adición"/>
  </r>
  <r>
    <x v="1"/>
    <x v="2"/>
    <x v="1"/>
    <s v="ADIC567"/>
    <s v="cerdo agridulce"/>
    <n v="1"/>
    <n v="7900"/>
    <n v="0"/>
    <n v="0"/>
    <n v="7900"/>
    <n v="1"/>
    <n v="0"/>
    <s v="Adición"/>
    <s v="Adición"/>
    <s v="Adición"/>
  </r>
  <r>
    <x v="0"/>
    <x v="0"/>
    <x v="2"/>
    <s v="COMP01"/>
    <s v="COMBO 1- Valenciano personal"/>
    <n v="111"/>
    <n v="2758800"/>
    <n v="-782100"/>
    <n v="1068597"/>
    <n v="1690203"/>
    <n v="0.61265876468029579"/>
    <n v="0.28349282296650719"/>
    <s v="Combos personales"/>
    <s v="Personal"/>
    <s v="Combo"/>
  </r>
  <r>
    <x v="0"/>
    <x v="0"/>
    <x v="2"/>
    <s v="BEB00"/>
    <s v="Coca Cola 250 Ml Zero CB (*Extra)"/>
    <n v="107"/>
    <n v="0"/>
    <n v="0"/>
    <n v="0"/>
    <n v="0"/>
    <n v="0"/>
    <n v="0"/>
    <s v="Bebidas"/>
    <s v="Bebidas Cambio de bebida"/>
    <s v="Bebidas"/>
  </r>
  <r>
    <x v="0"/>
    <x v="0"/>
    <x v="2"/>
    <s v="COMP02"/>
    <s v="COMBO 2 - Chow fan especial personal"/>
    <n v="47"/>
    <n v="1255350"/>
    <n v="-384950"/>
    <n v="446547"/>
    <n v="808803"/>
    <n v="0.64428486079579406"/>
    <n v="0.30664754849245229"/>
    <s v="Combos personales"/>
    <s v="Personal"/>
    <s v="Combo"/>
  </r>
  <r>
    <x v="0"/>
    <x v="0"/>
    <x v="2"/>
    <s v="ADIC09"/>
    <s v="No deseo (*Extra)"/>
    <n v="43"/>
    <n v="0"/>
    <n v="0"/>
    <n v="0"/>
    <n v="0"/>
    <n v="0"/>
    <n v="0"/>
    <s v="Adición"/>
    <s v="Adición"/>
    <s v="Adición"/>
  </r>
  <r>
    <x v="0"/>
    <x v="0"/>
    <x v="2"/>
    <s v="RAPP01"/>
    <s v="El trio del sabor -Chow fan trio"/>
    <n v="29"/>
    <n v="1404850"/>
    <n v="-430850"/>
    <n v="0"/>
    <n v="1404850"/>
    <n v="1"/>
    <n v="0.30668754671317222"/>
    <s v="Combos para compartir"/>
    <s v="No Personal"/>
    <s v="Combo"/>
  </r>
  <r>
    <x v="0"/>
    <x v="0"/>
    <x v="2"/>
    <s v="CAM04"/>
    <s v="Lumpia cambio (*Extra)"/>
    <n v="27"/>
    <n v="0"/>
    <n v="0"/>
    <n v="55323"/>
    <n v="-55323"/>
    <n v="0"/>
    <n v="0"/>
    <s v="Adición"/>
    <s v="Otro"/>
    <s v="Otro"/>
  </r>
  <r>
    <x v="0"/>
    <x v="0"/>
    <x v="2"/>
    <s v="COMP03"/>
    <s v="COMBO 3 - Chop suey especial personal"/>
    <n v="21"/>
    <n v="631700"/>
    <n v="-185200"/>
    <n v="200970"/>
    <n v="430730"/>
    <n v="0.68185847712521763"/>
    <n v="0.29317714104796583"/>
    <s v="Combos personales"/>
    <s v="Personal"/>
    <s v="Combo"/>
  </r>
  <r>
    <x v="0"/>
    <x v="0"/>
    <x v="2"/>
    <s v="ADIC08"/>
    <s v="Salsa agridulce Roja (*Extra)"/>
    <n v="18"/>
    <n v="18000"/>
    <n v="0"/>
    <n v="1062"/>
    <n v="16938"/>
    <n v="0.94099999999999995"/>
    <n v="0"/>
    <s v="Adición"/>
    <s v="Adición"/>
    <s v="Adición"/>
  </r>
  <r>
    <x v="0"/>
    <x v="0"/>
    <x v="2"/>
    <s v="BEB620"/>
    <s v="Agua 280 ml CB (*Extra)"/>
    <n v="17"/>
    <n v="0"/>
    <n v="0"/>
    <n v="14756"/>
    <n v="-14756"/>
    <n v="0"/>
    <n v="0"/>
    <s v="Bebidas"/>
    <s v="Bebidas Cambio de bebida"/>
    <s v="Bebidas"/>
  </r>
  <r>
    <x v="0"/>
    <x v="0"/>
    <x v="2"/>
    <s v="BEB01"/>
    <s v="Coca Cola 250 Ml Normal CB (*Extra)"/>
    <n v="15"/>
    <n v="15000"/>
    <n v="0"/>
    <n v="29175"/>
    <n v="-14175"/>
    <n v="-0.94499999999999995"/>
    <n v="0"/>
    <s v="Bebidas"/>
    <s v="Bebidas Cambio de bebida"/>
    <s v="Bebidas"/>
  </r>
  <r>
    <x v="0"/>
    <x v="0"/>
    <x v="2"/>
    <s v="ADIC03"/>
    <s v="Camarones (*Extra)"/>
    <n v="13"/>
    <n v="98800"/>
    <n v="0"/>
    <n v="40404"/>
    <n v="58396"/>
    <n v="0.59105263157894739"/>
    <n v="0"/>
    <s v="Adición"/>
    <s v="Adición"/>
    <s v="Adición"/>
  </r>
  <r>
    <x v="0"/>
    <x v="0"/>
    <x v="2"/>
    <s v="RAPP03"/>
    <s v="La caja Poderosa -chow fan familiar"/>
    <n v="13"/>
    <n v="868700"/>
    <n v="-261000"/>
    <n v="0"/>
    <n v="868700"/>
    <n v="1"/>
    <n v="0.30044894670196848"/>
    <s v="Platos mong"/>
    <s v="No Personal"/>
    <s v="Caja"/>
  </r>
  <r>
    <x v="0"/>
    <x v="0"/>
    <x v="2"/>
    <s v="ADIC12"/>
    <s v="Salsa Soya (*Extra)"/>
    <n v="13"/>
    <n v="13000"/>
    <n v="0"/>
    <n v="0"/>
    <n v="13000"/>
    <n v="1"/>
    <n v="0"/>
    <s v="Adición"/>
    <s v="Adición"/>
    <s v="Adición"/>
  </r>
  <r>
    <x v="0"/>
    <x v="0"/>
    <x v="2"/>
    <s v="RAPP02"/>
    <s v="Combo solo para mi - Chow Fan pollo"/>
    <n v="12"/>
    <n v="282450"/>
    <n v="-88350"/>
    <n v="0"/>
    <n v="282450"/>
    <n v="1"/>
    <n v="0.31279872543813064"/>
    <s v="Combos personales"/>
    <s v="Personal"/>
    <s v="Combo"/>
  </r>
  <r>
    <x v="0"/>
    <x v="0"/>
    <x v="2"/>
    <s v="ENT04"/>
    <s v="LUMPIAS X 2"/>
    <n v="11"/>
    <n v="141900"/>
    <n v="0"/>
    <n v="34529"/>
    <n v="107371"/>
    <n v="0.75666666666666671"/>
    <n v="0"/>
    <s v="Entradas"/>
    <s v="Otro"/>
    <s v="Otro"/>
  </r>
  <r>
    <x v="0"/>
    <x v="0"/>
    <x v="2"/>
    <s v="COMP13"/>
    <s v="COMBO ARMA TU PLATO"/>
    <n v="8"/>
    <n v="244900"/>
    <n v="-66300"/>
    <n v="0"/>
    <n v="244900"/>
    <n v="1"/>
    <n v="0.27072274397713353"/>
    <s v="Combos personales"/>
    <s v="Personal"/>
    <s v="Combo"/>
  </r>
  <r>
    <x v="0"/>
    <x v="0"/>
    <x v="2"/>
    <s v="CAM03"/>
    <s v="Cambio Papas a la francesa 150 grs (*Extra)"/>
    <n v="8"/>
    <n v="7200"/>
    <n v="0"/>
    <n v="12552"/>
    <n v="-5352"/>
    <n v="-0.74333333333333329"/>
    <n v="0"/>
    <s v="Adición"/>
    <s v="Otro"/>
    <s v="Otro"/>
  </r>
  <r>
    <x v="0"/>
    <x v="0"/>
    <x v="2"/>
    <s v="COMP04"/>
    <s v="COMBO 4 - arroz vegetales especial"/>
    <n v="5"/>
    <n v="145800"/>
    <n v="-48700"/>
    <n v="51235"/>
    <n v="94565"/>
    <n v="0.64859396433470506"/>
    <n v="0.33401920438957478"/>
    <s v="Combos personales"/>
    <s v="Personal"/>
    <s v="Combo"/>
  </r>
  <r>
    <x v="0"/>
    <x v="0"/>
    <x v="2"/>
    <s v="ADIC02"/>
    <s v="Pollo presa ADIC (*Extra)"/>
    <n v="5"/>
    <n v="38000"/>
    <n v="0"/>
    <n v="14245"/>
    <n v="23755"/>
    <n v="0.62513157894736837"/>
    <n v="0"/>
    <s v="Adición"/>
    <s v="Adición"/>
    <s v="Adición"/>
  </r>
  <r>
    <x v="0"/>
    <x v="0"/>
    <x v="2"/>
    <s v="ADIC06"/>
    <s v="Arroz Frito ADIC (*Extra)"/>
    <n v="5"/>
    <n v="24000"/>
    <n v="0"/>
    <n v="6410"/>
    <n v="17590"/>
    <n v="0.73291666666666666"/>
    <n v="0"/>
    <s v="Adición"/>
    <s v="Adición"/>
    <s v="Adición"/>
  </r>
  <r>
    <x v="0"/>
    <x v="0"/>
    <x v="2"/>
    <s v="ATP04"/>
    <s v="Chop suey (*Extra)"/>
    <n v="5"/>
    <n v="0"/>
    <n v="0"/>
    <n v="13170"/>
    <n v="-13170"/>
    <n v="0"/>
    <n v="0"/>
    <s v="Arma tu plato"/>
    <s v="Personal"/>
    <s v="Caja"/>
  </r>
  <r>
    <x v="0"/>
    <x v="0"/>
    <x v="2"/>
    <s v="ADIC11"/>
    <s v="Salsa Teriyaki (*Extra)"/>
    <n v="5"/>
    <n v="5000"/>
    <n v="0"/>
    <n v="0"/>
    <n v="5000"/>
    <n v="1"/>
    <n v="0"/>
    <s v="Adición"/>
    <s v="Adición"/>
    <s v="Adición"/>
  </r>
  <r>
    <x v="0"/>
    <x v="0"/>
    <x v="2"/>
    <s v="BEB605"/>
    <s v="Quatro 400 Ml CB (*Extra)"/>
    <n v="5"/>
    <n v="10000"/>
    <n v="0"/>
    <n v="6650"/>
    <n v="3350"/>
    <n v="0.33500000000000002"/>
    <n v="0"/>
    <s v="Bebidas"/>
    <s v="Bebidas Cambio de bebida"/>
    <s v="Bebidas"/>
  </r>
  <r>
    <x v="0"/>
    <x v="0"/>
    <x v="2"/>
    <s v="ADIC04"/>
    <s v="Pollo picado (*Extra)"/>
    <n v="4"/>
    <n v="32000"/>
    <n v="0"/>
    <n v="6988"/>
    <n v="25012"/>
    <n v="0.78162500000000001"/>
    <n v="0"/>
    <s v="Adición"/>
    <s v="Adición"/>
    <s v="Adición"/>
  </r>
  <r>
    <x v="0"/>
    <x v="0"/>
    <x v="2"/>
    <s v="COMP14"/>
    <s v="COMBO ESTUDIANTIL- Chow fan 250 grs"/>
    <n v="3"/>
    <n v="80700"/>
    <n v="0"/>
    <n v="0"/>
    <n v="80700"/>
    <n v="1"/>
    <n v="0"/>
    <s v="Combos personales"/>
    <s v="Personal"/>
    <s v="Caja"/>
  </r>
  <r>
    <x v="0"/>
    <x v="0"/>
    <x v="2"/>
    <s v="BEB607"/>
    <s v="Agua Gas 600 Ml CB (*Extra)"/>
    <n v="3"/>
    <n v="6000"/>
    <n v="0"/>
    <n v="4830"/>
    <n v="1170"/>
    <n v="0.19500000000000001"/>
    <n v="0"/>
    <s v="Bebidas"/>
    <s v="Bebidas Cambio de bebida"/>
    <s v="Bebidas"/>
  </r>
  <r>
    <x v="0"/>
    <x v="0"/>
    <x v="2"/>
    <s v="ATP01"/>
    <s v="Pollo a la naranja (*Extra)"/>
    <n v="3"/>
    <n v="0"/>
    <n v="0"/>
    <n v="16473"/>
    <n v="-16473"/>
    <n v="0"/>
    <n v="0"/>
    <s v="Arma tu plato"/>
    <s v="Personal"/>
    <s v="Caja"/>
  </r>
  <r>
    <x v="0"/>
    <x v="0"/>
    <x v="2"/>
    <s v="ADIC560"/>
    <s v="Adición Papa frita"/>
    <n v="3"/>
    <n v="23700"/>
    <n v="0"/>
    <n v="12294"/>
    <n v="11406"/>
    <n v="0.48126582278481012"/>
    <n v="0"/>
    <s v="Adición"/>
    <s v="Adición"/>
    <s v="Adición"/>
  </r>
  <r>
    <x v="0"/>
    <x v="0"/>
    <x v="2"/>
    <s v="BEB591"/>
    <s v="Jugo del valle naranja"/>
    <n v="2"/>
    <n v="11800"/>
    <n v="0"/>
    <n v="3120"/>
    <n v="8680"/>
    <n v="0.735593220338983"/>
    <n v="0"/>
    <s v="Bebidas"/>
    <s v="Bebidas"/>
    <s v="Bebidas"/>
  </r>
  <r>
    <x v="0"/>
    <x v="0"/>
    <x v="2"/>
    <s v="ADIC561"/>
    <s v="Adición Vegetales"/>
    <n v="2"/>
    <n v="17800"/>
    <n v="0"/>
    <n v="1378"/>
    <n v="16422"/>
    <n v="0.9225842696629214"/>
    <n v="0"/>
    <s v="Adición"/>
    <s v="Adición"/>
    <s v="Adición"/>
  </r>
  <r>
    <x v="0"/>
    <x v="0"/>
    <x v="2"/>
    <s v="ATP10"/>
    <s v="Cerdo agridulce (*Extra)"/>
    <n v="2"/>
    <n v="0"/>
    <n v="0"/>
    <n v="10934"/>
    <n v="-10934"/>
    <n v="0"/>
    <n v="0"/>
    <s v="Arma tu plato"/>
    <s v="Personal"/>
    <s v="Caja"/>
  </r>
  <r>
    <x v="0"/>
    <x v="0"/>
    <x v="2"/>
    <s v="BEB604"/>
    <s v="Sprite 400 Ml CB (*Extra)"/>
    <n v="2"/>
    <n v="4000"/>
    <n v="0"/>
    <n v="3032"/>
    <n v="968"/>
    <n v="0.24199999999999999"/>
    <n v="0"/>
    <s v="Bebidas"/>
    <s v="Bebidas Cambio de bebida"/>
    <s v="Bebidas"/>
  </r>
  <r>
    <x v="0"/>
    <x v="0"/>
    <x v="2"/>
    <s v="ATP09"/>
    <s v="Res brócoli (*Extra)"/>
    <n v="2"/>
    <n v="0"/>
    <n v="0"/>
    <n v="6644"/>
    <n v="-6644"/>
    <n v="0"/>
    <n v="0"/>
    <s v="Arma tu plato"/>
    <s v="Personal"/>
    <s v="Caja"/>
  </r>
  <r>
    <x v="0"/>
    <x v="0"/>
    <x v="2"/>
    <s v="BEB598"/>
    <s v="Coca Cola 1,5 litros"/>
    <n v="2"/>
    <n v="23800"/>
    <n v="0"/>
    <n v="9002"/>
    <n v="14798"/>
    <n v="0.62176470588235289"/>
    <n v="0"/>
    <s v="Bebidas"/>
    <s v="Bebidas"/>
    <s v="Bebidas"/>
  </r>
  <r>
    <x v="0"/>
    <x v="0"/>
    <x v="2"/>
    <s v="ATP05"/>
    <s v="Chow mein (*Extra)"/>
    <n v="2"/>
    <n v="0"/>
    <n v="0"/>
    <n v="6194"/>
    <n v="-6194"/>
    <n v="0"/>
    <n v="0"/>
    <s v="Arma tu plato"/>
    <s v="Personal"/>
    <s v="Caja"/>
  </r>
  <r>
    <x v="0"/>
    <x v="0"/>
    <x v="2"/>
    <s v="BEB614"/>
    <s v="Coca Cola 400 Ml Normal AB (*Extra)"/>
    <n v="2"/>
    <n v="11800"/>
    <n v="0"/>
    <n v="3390"/>
    <n v="8410"/>
    <n v="0.71271186440677969"/>
    <n v="0"/>
    <s v="Bebidas"/>
    <s v="Bebidas Adiciona tu bebida"/>
    <s v="Bebidas"/>
  </r>
  <r>
    <x v="0"/>
    <x v="0"/>
    <x v="2"/>
    <s v="BEB606"/>
    <s v="Agua Normal 600 Ml CB (*Extra)"/>
    <n v="2"/>
    <n v="4000"/>
    <n v="0"/>
    <n v="2736"/>
    <n v="1264"/>
    <n v="0.316"/>
    <n v="0"/>
    <s v="Bebidas"/>
    <s v="Bebidas Cambio de bebida"/>
    <s v="Bebidas"/>
  </r>
  <r>
    <x v="0"/>
    <x v="0"/>
    <x v="2"/>
    <s v="BEB608"/>
    <s v="Agua Limón 600 Ml CB (*Extra)"/>
    <n v="2"/>
    <n v="4000"/>
    <n v="0"/>
    <n v="3422"/>
    <n v="578"/>
    <n v="0.14449999999999999"/>
    <n v="0"/>
    <s v="Bebidas"/>
    <s v="Bebidas Cambio de bebida"/>
    <s v="Bebidas"/>
  </r>
  <r>
    <x v="0"/>
    <x v="0"/>
    <x v="2"/>
    <s v="ADIC10"/>
    <s v="Cubiertos + servilletas (*Extra)"/>
    <n v="1"/>
    <n v="800"/>
    <n v="0"/>
    <n v="321"/>
    <n v="479"/>
    <n v="0.59875"/>
    <n v="0"/>
    <s v="Adición"/>
    <s v="Adición"/>
    <s v="Adición"/>
  </r>
  <r>
    <x v="0"/>
    <x v="0"/>
    <x v="2"/>
    <s v="BEB585"/>
    <s v="Agua Normal 600 Ml"/>
    <n v="1"/>
    <n v="5900"/>
    <n v="0"/>
    <n v="1095"/>
    <n v="4805"/>
    <n v="0.81440677966101693"/>
    <n v="0"/>
    <s v="Bebidas"/>
    <s v="Bebidas"/>
    <s v="Bebidas"/>
  </r>
  <r>
    <x v="0"/>
    <x v="0"/>
    <x v="2"/>
    <s v="BEB581"/>
    <s v="Coca Cola 400 Ml Normal"/>
    <n v="1"/>
    <n v="6500"/>
    <n v="0"/>
    <n v="1695"/>
    <n v="4805"/>
    <n v="0.73923076923076925"/>
    <n v="0"/>
    <s v="Bebidas"/>
    <s v="Bebidas"/>
    <s v="Bebidas"/>
  </r>
  <r>
    <x v="0"/>
    <x v="0"/>
    <x v="2"/>
    <s v="ATP03"/>
    <s v="Arroz vegetales (*Extra)"/>
    <n v="1"/>
    <n v="2000"/>
    <n v="0"/>
    <n v="2035"/>
    <n v="-35"/>
    <n v="-1.7500000000000002E-2"/>
    <n v="0"/>
    <s v="Arma tu plato"/>
    <s v="Personal"/>
    <s v="Caja"/>
  </r>
  <r>
    <x v="0"/>
    <x v="0"/>
    <x v="2"/>
    <s v="ATP07"/>
    <s v="Pollo presa ATP (*Extra)"/>
    <n v="1"/>
    <n v="0"/>
    <n v="0"/>
    <n v="2849"/>
    <n v="-2849"/>
    <n v="0"/>
    <n v="0"/>
    <s v="Arma tu plato"/>
    <s v="Personal"/>
    <s v="Caja"/>
  </r>
  <r>
    <x v="0"/>
    <x v="0"/>
    <x v="2"/>
    <s v="COMP05"/>
    <s v="COMBO 5 - Chow Mein especial personal"/>
    <n v="1"/>
    <n v="38900"/>
    <n v="0"/>
    <n v="11253"/>
    <n v="27647"/>
    <n v="0.71071979434447297"/>
    <n v="0"/>
    <s v="Combos personales"/>
    <s v="Personal"/>
    <s v="Combo"/>
  </r>
  <r>
    <x v="0"/>
    <x v="0"/>
    <x v="2"/>
    <s v="BEB613"/>
    <s v="Coca Cola 400 Ml Zero CB (*Extra)"/>
    <n v="1"/>
    <n v="2600"/>
    <n v="0"/>
    <n v="2239"/>
    <n v="361"/>
    <n v="0.13884615384615384"/>
    <n v="0"/>
    <s v="Bebidas"/>
    <s v="Bebidas Cambio de bebida"/>
    <s v="Bebidas"/>
  </r>
  <r>
    <x v="0"/>
    <x v="0"/>
    <x v="2"/>
    <s v="BEB609"/>
    <s v="Fusetea Limon CB (*Extra)"/>
    <n v="1"/>
    <n v="2000"/>
    <n v="0"/>
    <n v="1874"/>
    <n v="126"/>
    <n v="6.3E-2"/>
    <n v="0"/>
    <s v="Bebidas"/>
    <s v="Bebidas Cambio de bebida"/>
    <s v="Bebidas"/>
  </r>
  <r>
    <x v="0"/>
    <x v="0"/>
    <x v="2"/>
    <s v="BEB622"/>
    <s v="Kola Roman 400 Ml AB (*Extra)"/>
    <n v="1"/>
    <n v="4900"/>
    <n v="0"/>
    <n v="1330"/>
    <n v="3570"/>
    <n v="0.72857142857142854"/>
    <n v="0"/>
    <s v="Bebidas"/>
    <s v="Bebidas Adiciona tu bebida"/>
    <s v="Bebidas"/>
  </r>
  <r>
    <x v="0"/>
    <x v="0"/>
    <x v="2"/>
    <s v="RAPP04"/>
    <s v="Ling - Cerdo agridulce"/>
    <n v="1"/>
    <n v="27200"/>
    <n v="-9100"/>
    <n v="0"/>
    <n v="27200"/>
    <n v="1"/>
    <n v="0.33455882352941174"/>
    <s v="Arma tu plato"/>
    <s v="Personal"/>
    <s v="Caja"/>
  </r>
  <r>
    <x v="0"/>
    <x v="0"/>
    <x v="2"/>
    <s v="BEB592"/>
    <s v="Coca Cola 400 Ml Zero"/>
    <n v="1"/>
    <n v="6500"/>
    <n v="0"/>
    <n v="1448"/>
    <n v="5052"/>
    <n v="0.77723076923076928"/>
    <n v="0"/>
    <s v="Bebidas"/>
    <s v="Bebidas"/>
    <s v="Bebidas"/>
  </r>
  <r>
    <x v="0"/>
    <x v="0"/>
    <x v="2"/>
    <s v="BEB601"/>
    <s v="Coca Cola 400 Ml Normal CB (*Extra)"/>
    <n v="1"/>
    <n v="2600"/>
    <n v="0"/>
    <n v="2235"/>
    <n v="365"/>
    <n v="0.14038461538461539"/>
    <n v="0"/>
    <s v="Bebidas"/>
    <s v="Bebidas Cambio de bebida"/>
    <s v="Bebidas"/>
  </r>
  <r>
    <x v="0"/>
    <x v="0"/>
    <x v="2"/>
    <s v="ATP02"/>
    <s v="Camarones apanados 7 (*Extra)"/>
    <n v="1"/>
    <n v="2000"/>
    <n v="0"/>
    <n v="3108"/>
    <n v="-1108"/>
    <n v="-0.55400000000000005"/>
    <n v="0"/>
    <s v="Arma tu plato"/>
    <s v="Personal"/>
    <s v="Caja"/>
  </r>
  <r>
    <x v="0"/>
    <x v="0"/>
    <x v="2"/>
    <s v="BEB628"/>
    <s v="Fusetea Limon AB (*Extra)"/>
    <n v="1"/>
    <n v="4900"/>
    <n v="0"/>
    <n v="1560"/>
    <n v="3340"/>
    <n v="0.68163265306122445"/>
    <n v="0"/>
    <s v="Bebidas"/>
    <s v="Bebidas Adiciona tu bebida"/>
    <s v="Bebidas"/>
  </r>
  <r>
    <x v="1"/>
    <x v="1"/>
    <x v="2"/>
    <s v="COMP01"/>
    <s v="COMBO 1- Valenciano personal"/>
    <n v="102"/>
    <n v="2521350"/>
    <n v="-732450"/>
    <n v="981954"/>
    <n v="1539396"/>
    <n v="0.61054435124040696"/>
    <n v="0.29049913736688676"/>
    <s v="Combos personales"/>
    <s v="Personal"/>
    <s v="Combo"/>
  </r>
  <r>
    <x v="1"/>
    <x v="1"/>
    <x v="2"/>
    <s v="BEB00"/>
    <s v="Coca Cola 250 Ml Zero CB (*Extra)"/>
    <n v="99"/>
    <n v="0"/>
    <n v="0"/>
    <n v="0"/>
    <n v="0"/>
    <n v="0"/>
    <n v="0"/>
    <s v="Bebidas"/>
    <s v="Bebidas Cambio de bebida"/>
    <s v="Bebidas"/>
  </r>
  <r>
    <x v="1"/>
    <x v="1"/>
    <x v="2"/>
    <s v="ADIC09"/>
    <s v="No deseo (*Extra)"/>
    <n v="49"/>
    <n v="0"/>
    <n v="0"/>
    <n v="0"/>
    <n v="0"/>
    <n v="0"/>
    <n v="0"/>
    <s v="Adición"/>
    <s v="Adición"/>
    <s v="Adición"/>
  </r>
  <r>
    <x v="1"/>
    <x v="1"/>
    <x v="2"/>
    <s v="COMP02"/>
    <s v="COMBO 2 - Chow fan especial personal"/>
    <n v="46"/>
    <n v="1236200"/>
    <n v="-369200"/>
    <n v="437046"/>
    <n v="799154"/>
    <n v="0.6464601197217279"/>
    <n v="0.29865717521436663"/>
    <s v="Combos personales"/>
    <s v="Personal"/>
    <s v="Combo"/>
  </r>
  <r>
    <x v="1"/>
    <x v="1"/>
    <x v="2"/>
    <s v="RAPP01"/>
    <s v="El trio del sabor -Chow fan trio"/>
    <n v="28"/>
    <n v="1354200"/>
    <n v="-418200"/>
    <n v="0"/>
    <n v="1354200"/>
    <n v="1"/>
    <n v="0.3088170137350465"/>
    <s v="Combos para compartir"/>
    <s v="No Personal"/>
    <s v="Combo"/>
  </r>
  <r>
    <x v="1"/>
    <x v="1"/>
    <x v="2"/>
    <s v="COMP03"/>
    <s v="COMBO 3 - Chop suey especial personal"/>
    <n v="25"/>
    <n v="752150"/>
    <n v="-220350"/>
    <n v="239250"/>
    <n v="512900"/>
    <n v="0.68191185268895826"/>
    <n v="0.29296018081499703"/>
    <s v="Combos personales"/>
    <s v="Personal"/>
    <s v="Combo"/>
  </r>
  <r>
    <x v="1"/>
    <x v="1"/>
    <x v="2"/>
    <s v="CAM04"/>
    <s v="Lumpia cambio (*Extra)"/>
    <n v="17"/>
    <n v="0"/>
    <n v="0"/>
    <n v="34833"/>
    <n v="-34833"/>
    <n v="0"/>
    <n v="0"/>
    <s v="Adición"/>
    <s v="Otro"/>
    <s v="Otro"/>
  </r>
  <r>
    <x v="1"/>
    <x v="1"/>
    <x v="2"/>
    <s v="ENT04"/>
    <s v="LUMPIAS X 2"/>
    <n v="17"/>
    <n v="219300"/>
    <n v="0"/>
    <n v="53363"/>
    <n v="165937"/>
    <n v="0.75666666666666671"/>
    <n v="0"/>
    <s v="Entradas"/>
    <s v="Otro"/>
    <s v="Otro"/>
  </r>
  <r>
    <x v="1"/>
    <x v="1"/>
    <x v="2"/>
    <s v="RAPP02"/>
    <s v="Combo solo para mi - Chow Fan pollo"/>
    <n v="16"/>
    <n v="384400"/>
    <n v="-110000"/>
    <n v="0"/>
    <n v="384400"/>
    <n v="1"/>
    <n v="0.28616024973985432"/>
    <s v="Combos personales"/>
    <s v="Personal"/>
    <s v="Combo"/>
  </r>
  <r>
    <x v="1"/>
    <x v="1"/>
    <x v="2"/>
    <s v="BEB620"/>
    <s v="Agua 280 ml CB (*Extra)"/>
    <n v="13"/>
    <n v="0"/>
    <n v="0"/>
    <n v="11284"/>
    <n v="-11284"/>
    <n v="0"/>
    <n v="0"/>
    <s v="Bebidas"/>
    <s v="Bebidas Cambio de bebida"/>
    <s v="Bebidas"/>
  </r>
  <r>
    <x v="1"/>
    <x v="1"/>
    <x v="2"/>
    <s v="ADIC08"/>
    <s v="Salsa agridulce Roja (*Extra)"/>
    <n v="13"/>
    <n v="13000"/>
    <n v="0"/>
    <n v="767"/>
    <n v="12233"/>
    <n v="0.94099999999999995"/>
    <n v="0"/>
    <s v="Adición"/>
    <s v="Adición"/>
    <s v="Adición"/>
  </r>
  <r>
    <x v="1"/>
    <x v="1"/>
    <x v="2"/>
    <s v="COMP04"/>
    <s v="COMBO 4 - arroz vegetales especial"/>
    <n v="12"/>
    <n v="357700"/>
    <n v="-109100"/>
    <n v="122964"/>
    <n v="234736"/>
    <n v="0.65623707017053401"/>
    <n v="0.30500419345820518"/>
    <s v="Combos personales"/>
    <s v="Personal"/>
    <s v="Combo"/>
  </r>
  <r>
    <x v="1"/>
    <x v="1"/>
    <x v="2"/>
    <s v="RAPP03"/>
    <s v="La caja Poderosa -chow fan familiar"/>
    <n v="12"/>
    <n v="799200"/>
    <n v="-243600"/>
    <n v="0"/>
    <n v="799200"/>
    <n v="1"/>
    <n v="0.30480480480480482"/>
    <s v="Platos mong"/>
    <s v="No Personal"/>
    <s v="Caja"/>
  </r>
  <r>
    <x v="1"/>
    <x v="1"/>
    <x v="2"/>
    <s v="ADIC03"/>
    <s v="Camarones (*Extra)"/>
    <n v="11"/>
    <n v="83600"/>
    <n v="0"/>
    <n v="34188"/>
    <n v="49412"/>
    <n v="0.59105263157894739"/>
    <n v="0"/>
    <s v="Adición"/>
    <s v="Adición"/>
    <s v="Adición"/>
  </r>
  <r>
    <x v="1"/>
    <x v="1"/>
    <x v="2"/>
    <s v="CAM03"/>
    <s v="Cambio Papas a la francesa 150 grs (*Extra)"/>
    <n v="11"/>
    <n v="9900"/>
    <n v="0"/>
    <n v="17259"/>
    <n v="-7359"/>
    <n v="-0.74333333333333329"/>
    <n v="0"/>
    <s v="Adición"/>
    <s v="Otro"/>
    <s v="Otro"/>
  </r>
  <r>
    <x v="1"/>
    <x v="1"/>
    <x v="2"/>
    <s v="BEB01"/>
    <s v="Coca Cola 250 Ml Normal CB (*Extra)"/>
    <n v="9"/>
    <n v="9000"/>
    <n v="0"/>
    <n v="17505"/>
    <n v="-8505"/>
    <n v="-0.94499999999999995"/>
    <n v="0"/>
    <s v="Bebidas"/>
    <s v="Bebidas Cambio de bebida"/>
    <s v="Bebidas"/>
  </r>
  <r>
    <x v="1"/>
    <x v="1"/>
    <x v="2"/>
    <s v="ADIC02"/>
    <s v="Pollo presa ADIC (*Extra)"/>
    <n v="7"/>
    <n v="53200"/>
    <n v="0"/>
    <n v="19943"/>
    <n v="33257"/>
    <n v="0.62513157894736837"/>
    <n v="0"/>
    <s v="Adición"/>
    <s v="Adición"/>
    <s v="Adición"/>
  </r>
  <r>
    <x v="1"/>
    <x v="1"/>
    <x v="2"/>
    <s v="ADIC06"/>
    <s v="Arroz Frito ADIC (*Extra)"/>
    <n v="6"/>
    <n v="28800"/>
    <n v="0"/>
    <n v="7692"/>
    <n v="21108"/>
    <n v="0.73291666666666666"/>
    <n v="0"/>
    <s v="Adición"/>
    <s v="Adición"/>
    <s v="Adición"/>
  </r>
  <r>
    <x v="1"/>
    <x v="1"/>
    <x v="2"/>
    <s v="BEB601"/>
    <s v="Coca Cola 400 Ml Normal CB (*Extra)"/>
    <n v="6"/>
    <n v="15600"/>
    <n v="0"/>
    <n v="13410"/>
    <n v="2190"/>
    <n v="0.14038461538461539"/>
    <n v="0"/>
    <s v="Bebidas"/>
    <s v="Bebidas Cambio de bebida"/>
    <s v="Bebidas"/>
  </r>
  <r>
    <x v="1"/>
    <x v="1"/>
    <x v="2"/>
    <s v="ADIC04"/>
    <s v="Pollo picado (*Extra)"/>
    <n v="5"/>
    <n v="40000"/>
    <n v="0"/>
    <n v="8735"/>
    <n v="31265"/>
    <n v="0.78162500000000001"/>
    <n v="0"/>
    <s v="Adición"/>
    <s v="Adición"/>
    <s v="Adición"/>
  </r>
  <r>
    <x v="1"/>
    <x v="1"/>
    <x v="2"/>
    <s v="ADIC12"/>
    <s v="Salsa Soya (*Extra)"/>
    <n v="5"/>
    <n v="5000"/>
    <n v="0"/>
    <n v="0"/>
    <n v="5000"/>
    <n v="1"/>
    <n v="0"/>
    <s v="Adición"/>
    <s v="Adición"/>
    <s v="Adición"/>
  </r>
  <r>
    <x v="1"/>
    <x v="1"/>
    <x v="2"/>
    <s v="ADIC10"/>
    <s v="Cubiertos + servilletas (*Extra)"/>
    <n v="4"/>
    <n v="3200"/>
    <n v="0"/>
    <n v="1284"/>
    <n v="1916"/>
    <n v="0.59875"/>
    <n v="0"/>
    <s v="Adición"/>
    <s v="Adición"/>
    <s v="Adición"/>
  </r>
  <r>
    <x v="1"/>
    <x v="1"/>
    <x v="2"/>
    <s v="COMP05"/>
    <s v="COMBO 5 - Chow Mein especial personal"/>
    <n v="3"/>
    <n v="116700"/>
    <n v="0"/>
    <n v="33759"/>
    <n v="82941"/>
    <n v="0.71071979434447297"/>
    <n v="0"/>
    <s v="Combos personales"/>
    <s v="Personal"/>
    <s v="Combo"/>
  </r>
  <r>
    <x v="1"/>
    <x v="1"/>
    <x v="2"/>
    <s v="BEB604"/>
    <s v="Sprite 400 Ml CB (*Extra)"/>
    <n v="3"/>
    <n v="6000"/>
    <n v="0"/>
    <n v="4548"/>
    <n v="1452"/>
    <n v="0.24199999999999999"/>
    <n v="0"/>
    <s v="Bebidas"/>
    <s v="Bebidas Cambio de bebida"/>
    <s v="Bebidas"/>
  </r>
  <r>
    <x v="1"/>
    <x v="1"/>
    <x v="2"/>
    <s v="ADIC565"/>
    <s v="Adición Camaron"/>
    <n v="3"/>
    <n v="26700"/>
    <n v="0"/>
    <n v="9324"/>
    <n v="17376"/>
    <n v="0.65078651685393263"/>
    <n v="0"/>
    <s v="Adición"/>
    <s v="Adición"/>
    <s v="Adición"/>
  </r>
  <r>
    <x v="1"/>
    <x v="1"/>
    <x v="2"/>
    <s v="BEB598"/>
    <s v="Coca Cola 1,5 litros"/>
    <n v="3"/>
    <n v="35700"/>
    <n v="0"/>
    <n v="13503"/>
    <n v="22197"/>
    <n v="0.62176470588235289"/>
    <n v="0"/>
    <s v="Bebidas"/>
    <s v="Bebidas"/>
    <s v="Bebidas"/>
  </r>
  <r>
    <x v="1"/>
    <x v="1"/>
    <x v="2"/>
    <s v="ADIC560"/>
    <s v="Adición Papa frita"/>
    <n v="3"/>
    <n v="23700"/>
    <n v="0"/>
    <n v="12294"/>
    <n v="11406"/>
    <n v="0.48126582278481012"/>
    <n v="0"/>
    <s v="Adición"/>
    <s v="Adición"/>
    <s v="Adición"/>
  </r>
  <r>
    <x v="1"/>
    <x v="1"/>
    <x v="2"/>
    <s v="BEB602"/>
    <s v="Kola Roman 400 Ml CB (*Extra)"/>
    <n v="3"/>
    <n v="6000"/>
    <n v="0"/>
    <n v="6705"/>
    <n v="-705"/>
    <n v="-0.11749999999999999"/>
    <n v="0"/>
    <s v="Bebidas"/>
    <s v="Bebidas Cambio de bebida"/>
    <s v="Bebidas"/>
  </r>
  <r>
    <x v="1"/>
    <x v="1"/>
    <x v="2"/>
    <s v="COMC02"/>
    <s v="COMBO AMIGOS"/>
    <n v="2"/>
    <n v="161800"/>
    <n v="0"/>
    <n v="47276"/>
    <n v="114524"/>
    <n v="0.70781211372064279"/>
    <n v="0"/>
    <s v="Combos para compartir"/>
    <s v="No Personal"/>
    <s v="Combo"/>
  </r>
  <r>
    <x v="1"/>
    <x v="1"/>
    <x v="2"/>
    <s v="BEB584"/>
    <s v="Quatro 400 Ml"/>
    <n v="2"/>
    <n v="11800"/>
    <n v="0"/>
    <n v="2660"/>
    <n v="9140"/>
    <n v="0.77457627118644068"/>
    <n v="0"/>
    <s v="Bebidas"/>
    <s v="Bebidas"/>
    <s v="Bebidas"/>
  </r>
  <r>
    <x v="1"/>
    <x v="1"/>
    <x v="2"/>
    <s v="BEB627"/>
    <s v="Agua Limón 600 Ml AB (*Extra)"/>
    <n v="2"/>
    <n v="9800"/>
    <n v="0"/>
    <n v="2746"/>
    <n v="7054"/>
    <n v="0.71979591836734691"/>
    <n v="0"/>
    <s v="Bebidas"/>
    <s v="Bebidas Adiciona tu bebida"/>
    <s v="Bebidas"/>
  </r>
  <r>
    <x v="1"/>
    <x v="1"/>
    <x v="2"/>
    <s v="COMP13"/>
    <s v="COMBO ARMA TU PLATO"/>
    <n v="2"/>
    <n v="62200"/>
    <n v="-15600"/>
    <n v="0"/>
    <n v="62200"/>
    <n v="1"/>
    <n v="0.25080385852090031"/>
    <s v="Combos personales"/>
    <s v="Personal"/>
    <s v="Combo"/>
  </r>
  <r>
    <x v="1"/>
    <x v="1"/>
    <x v="2"/>
    <s v="ATP03"/>
    <s v="Arroz vegetales (*Extra)"/>
    <n v="2"/>
    <n v="4000"/>
    <n v="0"/>
    <n v="4070"/>
    <n v="-70"/>
    <n v="-1.7500000000000002E-2"/>
    <n v="0"/>
    <s v="Arma tu plato"/>
    <s v="Personal"/>
    <s v="Caja"/>
  </r>
  <r>
    <x v="1"/>
    <x v="1"/>
    <x v="2"/>
    <s v="ATP01"/>
    <s v="Pollo a la naranja (*Extra)"/>
    <n v="2"/>
    <n v="0"/>
    <n v="0"/>
    <n v="10982"/>
    <n v="-10982"/>
    <n v="0"/>
    <n v="0"/>
    <s v="Arma tu plato"/>
    <s v="Personal"/>
    <s v="Caja"/>
  </r>
  <r>
    <x v="1"/>
    <x v="1"/>
    <x v="2"/>
    <s v="ATP02"/>
    <s v="Camarones apanados 7 (*Extra)"/>
    <n v="2"/>
    <n v="4000"/>
    <n v="0"/>
    <n v="6216"/>
    <n v="-2216"/>
    <n v="-0.55400000000000005"/>
    <n v="0"/>
    <s v="Arma tu plato"/>
    <s v="Personal"/>
    <s v="Caja"/>
  </r>
  <r>
    <x v="1"/>
    <x v="1"/>
    <x v="2"/>
    <s v="ADIC564"/>
    <s v="Adición Presa de pollo"/>
    <n v="2"/>
    <n v="17800"/>
    <n v="0"/>
    <n v="4928"/>
    <n v="12872"/>
    <n v="0.72314606741573029"/>
    <n v="0"/>
    <s v="Adición"/>
    <s v="Adición"/>
    <s v="Adición"/>
  </r>
  <r>
    <x v="1"/>
    <x v="1"/>
    <x v="2"/>
    <s v="BEB605"/>
    <s v="Quatro 400 Ml CB (*Extra)"/>
    <n v="2"/>
    <n v="4000"/>
    <n v="0"/>
    <n v="2660"/>
    <n v="1340"/>
    <n v="0.33500000000000002"/>
    <n v="0"/>
    <s v="Bebidas"/>
    <s v="Bebidas Cambio de bebida"/>
    <s v="Bebidas"/>
  </r>
  <r>
    <x v="1"/>
    <x v="1"/>
    <x v="2"/>
    <s v="ADIC11"/>
    <s v="Salsa Teriyaki (*Extra)"/>
    <n v="2"/>
    <n v="2000"/>
    <n v="0"/>
    <n v="0"/>
    <n v="2000"/>
    <n v="1"/>
    <n v="0"/>
    <s v="Adición"/>
    <s v="Adición"/>
    <s v="Adición"/>
  </r>
  <r>
    <x v="1"/>
    <x v="1"/>
    <x v="2"/>
    <s v="ADIC561"/>
    <s v="Adición Vegetales"/>
    <n v="1"/>
    <n v="8900"/>
    <n v="0"/>
    <n v="689"/>
    <n v="8211"/>
    <n v="0.9225842696629214"/>
    <n v="0"/>
    <s v="Adición"/>
    <s v="Adición"/>
    <s v="Adición"/>
  </r>
  <r>
    <x v="1"/>
    <x v="1"/>
    <x v="2"/>
    <s v="COMP14"/>
    <s v="COMBO ESTUDIANTIL- Chow fan 250 grs"/>
    <n v="1"/>
    <n v="26900"/>
    <n v="0"/>
    <n v="0"/>
    <n v="26900"/>
    <n v="1"/>
    <n v="0"/>
    <s v="Combos personales"/>
    <s v="Personal"/>
    <s v="Caja"/>
  </r>
  <r>
    <x v="1"/>
    <x v="1"/>
    <x v="2"/>
    <s v="ENT03"/>
    <s v="CAMARONES APANADOS"/>
    <n v="1"/>
    <n v="22900"/>
    <n v="0"/>
    <n v="6215"/>
    <n v="16685"/>
    <n v="0.72860262008733623"/>
    <n v="0"/>
    <s v="Entradas"/>
    <s v="Otro"/>
    <s v="Otro"/>
  </r>
  <r>
    <x v="1"/>
    <x v="1"/>
    <x v="2"/>
    <s v="PESP05"/>
    <s v="WONG- Menú infantil"/>
    <n v="1"/>
    <n v="19900"/>
    <n v="0"/>
    <n v="7125"/>
    <n v="12775"/>
    <n v="0.64195979899497491"/>
    <n v="0"/>
    <s v="Platos especiales"/>
    <s v="Personal"/>
    <s v="Platos Especiales"/>
  </r>
  <r>
    <x v="1"/>
    <x v="1"/>
    <x v="2"/>
    <s v="ADIC566"/>
    <s v="Pollo a la naranja"/>
    <n v="1"/>
    <n v="9900"/>
    <n v="0"/>
    <n v="0"/>
    <n v="9900"/>
    <n v="1"/>
    <n v="0"/>
    <s v="Adición"/>
    <s v="Adición"/>
    <s v="Adición"/>
  </r>
  <r>
    <x v="1"/>
    <x v="1"/>
    <x v="2"/>
    <s v="BEB632"/>
    <s v="Coca Cola 400 Ml Zero AB (*Extra)"/>
    <n v="1"/>
    <n v="5900"/>
    <n v="0"/>
    <n v="1448"/>
    <n v="4452"/>
    <n v="0.75457627118644066"/>
    <n v="0"/>
    <s v="Bebidas"/>
    <s v="Bebidas Adiciona tu bebida"/>
    <s v="Bebidas"/>
  </r>
  <r>
    <x v="1"/>
    <x v="1"/>
    <x v="2"/>
    <s v="BEB582"/>
    <s v="Kola Roman 400 Ml"/>
    <n v="1"/>
    <n v="5900"/>
    <n v="0"/>
    <n v="1330"/>
    <n v="4570"/>
    <n v="0.77457627118644068"/>
    <n v="0"/>
    <s v="Bebidas"/>
    <s v="Bebidas"/>
    <s v="Bebidas"/>
  </r>
  <r>
    <x v="1"/>
    <x v="1"/>
    <x v="2"/>
    <s v="BEB628"/>
    <s v="Fusetea Limon AB (*Extra)"/>
    <n v="1"/>
    <n v="4900"/>
    <n v="0"/>
    <n v="1560"/>
    <n v="3340"/>
    <n v="0.68163265306122445"/>
    <n v="0"/>
    <s v="Bebidas"/>
    <s v="Bebidas Adiciona tu bebida"/>
    <s v="Bebidas"/>
  </r>
  <r>
    <x v="1"/>
    <x v="1"/>
    <x v="2"/>
    <s v="COMP12"/>
    <s v="Combo Sunkee"/>
    <n v="1"/>
    <n v="39900"/>
    <n v="0"/>
    <n v="32801"/>
    <n v="7099"/>
    <n v="0.17791979949874687"/>
    <n v="0"/>
    <s v="Combos personales"/>
    <s v="Personal"/>
    <s v="Combo"/>
  </r>
  <r>
    <x v="1"/>
    <x v="1"/>
    <x v="2"/>
    <s v="MONE700"/>
    <s v="Mong Express Chop suey pollo"/>
    <n v="1"/>
    <n v="26900"/>
    <n v="0"/>
    <n v="8183"/>
    <n v="18717"/>
    <n v="0.69579925650557617"/>
    <n v="0"/>
    <s v="Mong Express"/>
    <s v="Personal"/>
    <s v="Caja"/>
  </r>
  <r>
    <x v="1"/>
    <x v="1"/>
    <x v="2"/>
    <s v="BEB607"/>
    <s v="Agua Gas 600 Ml CB (*Extra)"/>
    <n v="1"/>
    <n v="2000"/>
    <n v="0"/>
    <n v="1610"/>
    <n v="390"/>
    <n v="0.19500000000000001"/>
    <n v="0"/>
    <s v="Bebidas"/>
    <s v="Bebidas Cambio de bebida"/>
    <s v="Bebidas"/>
  </r>
  <r>
    <x v="1"/>
    <x v="1"/>
    <x v="2"/>
    <s v="ADIC05"/>
    <s v="Vegetales salteados (*Extra)"/>
    <n v="1"/>
    <n v="6700"/>
    <n v="0"/>
    <n v="7"/>
    <n v="6693"/>
    <n v="0.99895522388059699"/>
    <n v="0"/>
    <s v="Adición"/>
    <s v="Adición"/>
    <s v="Adición"/>
  </r>
  <r>
    <x v="1"/>
    <x v="1"/>
    <x v="2"/>
    <s v="RAPP04"/>
    <s v="Ling - Cerdo agridulce"/>
    <n v="1"/>
    <n v="29050"/>
    <n v="-7250"/>
    <n v="0"/>
    <n v="29050"/>
    <n v="1"/>
    <n v="0.24956970740103271"/>
    <s v="Arma tu plato"/>
    <s v="Personal"/>
    <s v="Caja"/>
  </r>
  <r>
    <x v="1"/>
    <x v="1"/>
    <x v="2"/>
    <s v="BEB603"/>
    <s v="Coca Cola 250 Ml Normal AB (*Extra)"/>
    <n v="1"/>
    <n v="3500"/>
    <n v="0"/>
    <n v="1163"/>
    <n v="2337"/>
    <n v="0.6677142857142857"/>
    <n v="0"/>
    <s v="Bebidas"/>
    <s v="Bebidas Cambio de bebida"/>
    <s v="Bebidas"/>
  </r>
  <r>
    <x v="1"/>
    <x v="2"/>
    <x v="2"/>
    <s v="BEB00"/>
    <s v="Coca Cola 250 Ml Zero CB (*Extra)"/>
    <n v="56"/>
    <n v="0"/>
    <n v="0"/>
    <n v="0"/>
    <n v="0"/>
    <n v="0"/>
    <n v="0"/>
    <s v="Bebidas"/>
    <s v="Bebidas Cambio de bebida"/>
    <s v="Bebidas"/>
  </r>
  <r>
    <x v="1"/>
    <x v="2"/>
    <x v="2"/>
    <s v="ADIC09"/>
    <s v="No deseo (*Extra)"/>
    <n v="45"/>
    <n v="0"/>
    <n v="0"/>
    <n v="0"/>
    <n v="0"/>
    <n v="0"/>
    <n v="0"/>
    <s v="Adición"/>
    <s v="Adición"/>
    <s v="Adición"/>
  </r>
  <r>
    <x v="1"/>
    <x v="2"/>
    <x v="2"/>
    <s v="COMP01"/>
    <s v="COMBO 1- Valenciano personal"/>
    <n v="41"/>
    <n v="1016150"/>
    <n v="-291750"/>
    <n v="394707"/>
    <n v="621443"/>
    <n v="0.61156620577670617"/>
    <n v="0.28711312306254"/>
    <s v="Combos personales"/>
    <s v="Personal"/>
    <s v="Combo"/>
  </r>
  <r>
    <x v="1"/>
    <x v="2"/>
    <x v="2"/>
    <s v="RAPP01"/>
    <s v="El trio del sabor -Chow fan trio"/>
    <n v="32"/>
    <n v="1569200"/>
    <n v="-456400"/>
    <n v="0"/>
    <n v="1569200"/>
    <n v="1"/>
    <n v="0.29084884017333673"/>
    <s v="Combos para compartir"/>
    <s v="No Personal"/>
    <s v="Combo"/>
  </r>
  <r>
    <x v="1"/>
    <x v="2"/>
    <x v="2"/>
    <s v="COMP02"/>
    <s v="COMBO 2 - Chow fan especial personal"/>
    <n v="24"/>
    <n v="650100"/>
    <n v="-187500"/>
    <n v="228024"/>
    <n v="422076"/>
    <n v="0.64924780802953397"/>
    <n v="0.28841716658975541"/>
    <s v="Combos personales"/>
    <s v="Personal"/>
    <s v="Combo"/>
  </r>
  <r>
    <x v="1"/>
    <x v="2"/>
    <x v="2"/>
    <s v="RAPP02"/>
    <s v="Combo solo para mi - Chow Fan pollo"/>
    <n v="18"/>
    <n v="436750"/>
    <n v="-119450"/>
    <n v="0"/>
    <n v="436750"/>
    <n v="1"/>
    <n v="0.2734974241556955"/>
    <s v="Combos personales"/>
    <s v="Personal"/>
    <s v="Combo"/>
  </r>
  <r>
    <x v="1"/>
    <x v="2"/>
    <x v="2"/>
    <s v="RAPP03"/>
    <s v="La caja Poderosa -chow fan familiar"/>
    <n v="17"/>
    <n v="1152850"/>
    <n v="-324450"/>
    <n v="0"/>
    <n v="1152850"/>
    <n v="1"/>
    <n v="0.281432970464501"/>
    <s v="Platos mong"/>
    <s v="No Personal"/>
    <s v="Caja"/>
  </r>
  <r>
    <x v="1"/>
    <x v="2"/>
    <x v="2"/>
    <s v="ENT04"/>
    <s v="LUMPIAS X 2"/>
    <n v="14"/>
    <n v="180600"/>
    <n v="0"/>
    <n v="43946"/>
    <n v="136654"/>
    <n v="0.75666666666666671"/>
    <n v="0"/>
    <s v="Entradas"/>
    <s v="Otro"/>
    <s v="Otro"/>
  </r>
  <r>
    <x v="1"/>
    <x v="2"/>
    <x v="2"/>
    <s v="CAM04"/>
    <s v="Lumpia cambio (*Extra)"/>
    <n v="11"/>
    <n v="0"/>
    <n v="0"/>
    <n v="22539"/>
    <n v="-22539"/>
    <n v="0"/>
    <n v="0"/>
    <s v="Adición"/>
    <s v="Otro"/>
    <s v="Otro"/>
  </r>
  <r>
    <x v="1"/>
    <x v="2"/>
    <x v="2"/>
    <s v="BEB620"/>
    <s v="Agua 280 ml CB (*Extra)"/>
    <n v="10"/>
    <n v="0"/>
    <n v="0"/>
    <n v="8680"/>
    <n v="-8680"/>
    <n v="0"/>
    <n v="0"/>
    <s v="Bebidas"/>
    <s v="Bebidas Cambio de bebida"/>
    <s v="Bebidas"/>
  </r>
  <r>
    <x v="1"/>
    <x v="2"/>
    <x v="2"/>
    <s v="COMP03"/>
    <s v="COMBO 3 - Chop suey especial personal"/>
    <n v="10"/>
    <n v="300100"/>
    <n v="-88900"/>
    <n v="95700"/>
    <n v="204400"/>
    <n v="0.68110629790069976"/>
    <n v="0.29623458847050982"/>
    <s v="Combos personales"/>
    <s v="Personal"/>
    <s v="Combo"/>
  </r>
  <r>
    <x v="1"/>
    <x v="2"/>
    <x v="2"/>
    <s v="COMP14"/>
    <s v="COMBO ESTUDIANTIL- Chow fan 250 grs"/>
    <n v="9"/>
    <n v="188700"/>
    <n v="-53400"/>
    <n v="0"/>
    <n v="188700"/>
    <n v="1"/>
    <n v="0.28298887122416533"/>
    <s v="Combos personales"/>
    <s v="Personal"/>
    <s v="Caja"/>
  </r>
  <r>
    <x v="1"/>
    <x v="2"/>
    <x v="2"/>
    <s v="COMP05"/>
    <s v="COMBO 5 - Chow Mein especial personal"/>
    <n v="8"/>
    <n v="276550"/>
    <n v="-34650"/>
    <n v="90024"/>
    <n v="186526"/>
    <n v="0.67447477852106308"/>
    <n v="0.12529379858976677"/>
    <s v="Combos personales"/>
    <s v="Personal"/>
    <s v="Combo"/>
  </r>
  <r>
    <x v="1"/>
    <x v="2"/>
    <x v="2"/>
    <s v="ADIC12"/>
    <s v="Salsa Soya (*Extra)"/>
    <n v="7"/>
    <n v="7000"/>
    <n v="0"/>
    <n v="0"/>
    <n v="7000"/>
    <n v="1"/>
    <n v="0"/>
    <s v="Adición"/>
    <s v="Adición"/>
    <s v="Adición"/>
  </r>
  <r>
    <x v="1"/>
    <x v="2"/>
    <x v="2"/>
    <s v="ENT03"/>
    <s v="CAMARONES APANADOS"/>
    <n v="6"/>
    <n v="137400"/>
    <n v="0"/>
    <n v="37290"/>
    <n v="100110"/>
    <n v="0.72860262008733623"/>
    <n v="0"/>
    <s v="Entradas"/>
    <s v="Otro"/>
    <s v="Otro"/>
  </r>
  <r>
    <x v="1"/>
    <x v="2"/>
    <x v="2"/>
    <s v="COMP13"/>
    <s v="COMBO ARMA TU PLATO"/>
    <n v="6"/>
    <n v="185450"/>
    <n v="-47950"/>
    <n v="0"/>
    <n v="185450"/>
    <n v="1"/>
    <n v="0.25856025882987327"/>
    <s v="Combos personales"/>
    <s v="Personal"/>
    <s v="Combo"/>
  </r>
  <r>
    <x v="1"/>
    <x v="2"/>
    <x v="2"/>
    <s v="ADIC08"/>
    <s v="Salsa agridulce Roja (*Extra)"/>
    <n v="6"/>
    <n v="6000"/>
    <n v="0"/>
    <n v="354"/>
    <n v="5646"/>
    <n v="0.94099999999999995"/>
    <n v="0"/>
    <s v="Adición"/>
    <s v="Adición"/>
    <s v="Adición"/>
  </r>
  <r>
    <x v="1"/>
    <x v="2"/>
    <x v="2"/>
    <s v="BEB598"/>
    <s v="Coca Cola 1,5 litros"/>
    <n v="6"/>
    <n v="71400"/>
    <n v="0"/>
    <n v="27006"/>
    <n v="44394"/>
    <n v="0.62176470588235289"/>
    <n v="0"/>
    <s v="Bebidas"/>
    <s v="Bebidas"/>
    <s v="Bebidas"/>
  </r>
  <r>
    <x v="1"/>
    <x v="2"/>
    <x v="2"/>
    <s v="BEB601"/>
    <s v="Coca Cola 400 Ml Normal CB (*Extra)"/>
    <n v="5"/>
    <n v="13000"/>
    <n v="0"/>
    <n v="11175"/>
    <n v="1825"/>
    <n v="0.14038461538461539"/>
    <n v="0"/>
    <s v="Bebidas"/>
    <s v="Bebidas Cambio de bebida"/>
    <s v="Bebidas"/>
  </r>
  <r>
    <x v="1"/>
    <x v="2"/>
    <x v="2"/>
    <s v="ADIC10"/>
    <s v="Cubiertos + servilletas (*Extra)"/>
    <n v="5"/>
    <n v="4000"/>
    <n v="0"/>
    <n v="1605"/>
    <n v="2395"/>
    <n v="0.59875"/>
    <n v="0"/>
    <s v="Adición"/>
    <s v="Adición"/>
    <s v="Adición"/>
  </r>
  <r>
    <x v="1"/>
    <x v="2"/>
    <x v="2"/>
    <s v="ATP05"/>
    <s v="Chow mein (*Extra)"/>
    <n v="4"/>
    <n v="0"/>
    <n v="0"/>
    <n v="12388"/>
    <n v="-12388"/>
    <n v="0"/>
    <n v="0"/>
    <s v="Arma tu plato"/>
    <s v="Personal"/>
    <s v="Caja"/>
  </r>
  <r>
    <x v="1"/>
    <x v="2"/>
    <x v="2"/>
    <s v="ADIC03"/>
    <s v="Camarones (*Extra)"/>
    <n v="4"/>
    <n v="30400"/>
    <n v="0"/>
    <n v="12432"/>
    <n v="17968"/>
    <n v="0.59105263157894739"/>
    <n v="0"/>
    <s v="Adición"/>
    <s v="Adición"/>
    <s v="Adición"/>
  </r>
  <r>
    <x v="1"/>
    <x v="2"/>
    <x v="2"/>
    <s v="ADIC06"/>
    <s v="Arroz Frito ADIC (*Extra)"/>
    <n v="4"/>
    <n v="19200"/>
    <n v="0"/>
    <n v="5128"/>
    <n v="14072"/>
    <n v="0.73291666666666666"/>
    <n v="0"/>
    <s v="Adición"/>
    <s v="Adición"/>
    <s v="Adición"/>
  </r>
  <r>
    <x v="1"/>
    <x v="2"/>
    <x v="2"/>
    <s v="PESP05"/>
    <s v="WONG- Menú infantil"/>
    <n v="4"/>
    <n v="71000"/>
    <n v="-8600"/>
    <n v="28500"/>
    <n v="42500"/>
    <n v="0.59859154929577463"/>
    <n v="0.12112676056338029"/>
    <s v="Platos especiales"/>
    <s v="Personal"/>
    <s v="Platos Especiales"/>
  </r>
  <r>
    <x v="1"/>
    <x v="2"/>
    <x v="2"/>
    <s v="ADIC02"/>
    <s v="Pollo presa ADIC (*Extra)"/>
    <n v="3"/>
    <n v="22800"/>
    <n v="0"/>
    <n v="8547"/>
    <n v="14253"/>
    <n v="0.62513157894736837"/>
    <n v="0"/>
    <s v="Adición"/>
    <s v="Adición"/>
    <s v="Adición"/>
  </r>
  <r>
    <x v="1"/>
    <x v="2"/>
    <x v="2"/>
    <s v="COMP12"/>
    <s v="Combo Sunkee"/>
    <n v="3"/>
    <n v="103700"/>
    <n v="-16000"/>
    <n v="98403"/>
    <n v="5297"/>
    <n v="5.1080038572806172E-2"/>
    <n v="0.15429122468659595"/>
    <s v="Combos personales"/>
    <s v="Personal"/>
    <s v="Combo"/>
  </r>
  <r>
    <x v="1"/>
    <x v="2"/>
    <x v="2"/>
    <s v="ATP01"/>
    <s v="Pollo a la naranja (*Extra)"/>
    <n v="3"/>
    <n v="0"/>
    <n v="0"/>
    <n v="16473"/>
    <n v="-16473"/>
    <n v="0"/>
    <n v="0"/>
    <s v="Arma tu plato"/>
    <s v="Personal"/>
    <s v="Caja"/>
  </r>
  <r>
    <x v="1"/>
    <x v="2"/>
    <x v="2"/>
    <s v="ATP10"/>
    <s v="Cerdo agridulce (*Extra)"/>
    <n v="3"/>
    <n v="0"/>
    <n v="0"/>
    <n v="16401"/>
    <n v="-16401"/>
    <n v="0"/>
    <n v="0"/>
    <s v="Arma tu plato"/>
    <s v="Personal"/>
    <s v="Caja"/>
  </r>
  <r>
    <x v="1"/>
    <x v="2"/>
    <x v="2"/>
    <s v="BEB603"/>
    <s v="Coca Cola 250 Ml Normal AB (*Extra)"/>
    <n v="3"/>
    <n v="10500"/>
    <n v="0"/>
    <n v="3489"/>
    <n v="7011"/>
    <n v="0.6677142857142857"/>
    <n v="0"/>
    <s v="Bebidas"/>
    <s v="Bebidas Cambio de bebida"/>
    <s v="Bebidas"/>
  </r>
  <r>
    <x v="1"/>
    <x v="2"/>
    <x v="2"/>
    <s v="CAM03"/>
    <s v="Cambio Papas a la francesa 150 grs (*Extra)"/>
    <n v="3"/>
    <n v="2700"/>
    <n v="0"/>
    <n v="4707"/>
    <n v="-2007"/>
    <n v="-0.74333333333333329"/>
    <n v="0"/>
    <s v="Adición"/>
    <s v="Otro"/>
    <s v="Otro"/>
  </r>
  <r>
    <x v="1"/>
    <x v="2"/>
    <x v="2"/>
    <s v="ADIC04"/>
    <s v="Pollo picado (*Extra)"/>
    <n v="3"/>
    <n v="24000"/>
    <n v="0"/>
    <n v="5241"/>
    <n v="18759"/>
    <n v="0.78162500000000001"/>
    <n v="0"/>
    <s v="Adición"/>
    <s v="Adición"/>
    <s v="Adición"/>
  </r>
  <r>
    <x v="1"/>
    <x v="2"/>
    <x v="2"/>
    <s v="BEB596"/>
    <s v="Fusetea mango"/>
    <n v="2"/>
    <n v="11800"/>
    <n v="0"/>
    <n v="3792"/>
    <n v="8008"/>
    <n v="0.67864406779661013"/>
    <n v="0"/>
    <s v="Bebidas"/>
    <s v="Bebidas"/>
    <s v="Bebidas"/>
  </r>
  <r>
    <x v="1"/>
    <x v="2"/>
    <x v="2"/>
    <s v="ATP02"/>
    <s v="Camarones apanados 7 (*Extra)"/>
    <n v="2"/>
    <n v="4000"/>
    <n v="0"/>
    <n v="6216"/>
    <n v="-2216"/>
    <n v="-0.55400000000000005"/>
    <n v="0"/>
    <s v="Arma tu plato"/>
    <s v="Personal"/>
    <s v="Caja"/>
  </r>
  <r>
    <x v="1"/>
    <x v="2"/>
    <x v="2"/>
    <s v="ADIC560"/>
    <s v="Adición Papa frita"/>
    <n v="2"/>
    <n v="15800"/>
    <n v="0"/>
    <n v="8196"/>
    <n v="7604"/>
    <n v="0.48126582278481012"/>
    <n v="0"/>
    <s v="Adición"/>
    <s v="Adición"/>
    <s v="Adición"/>
  </r>
  <r>
    <x v="1"/>
    <x v="2"/>
    <x v="2"/>
    <s v="COMP04"/>
    <s v="COMBO 4 - arroz vegetales especial"/>
    <n v="2"/>
    <n v="61050"/>
    <n v="-16750"/>
    <n v="20494"/>
    <n v="40556"/>
    <n v="0.66430794430794426"/>
    <n v="0.27436527436527436"/>
    <s v="Combos personales"/>
    <s v="Personal"/>
    <s v="Combo"/>
  </r>
  <r>
    <x v="1"/>
    <x v="2"/>
    <x v="2"/>
    <s v="BEB01"/>
    <s v="Coca Cola 250 Ml Normal CB (*Extra)"/>
    <n v="2"/>
    <n v="2000"/>
    <n v="0"/>
    <n v="3890"/>
    <n v="-1890"/>
    <n v="-0.94499999999999995"/>
    <n v="0"/>
    <s v="Bebidas"/>
    <s v="Bebidas Cambio de bebida"/>
    <s v="Bebidas"/>
  </r>
  <r>
    <x v="1"/>
    <x v="2"/>
    <x v="2"/>
    <s v="ADIC11"/>
    <s v="Salsa Teriyaki (*Extra)"/>
    <n v="2"/>
    <n v="2000"/>
    <n v="0"/>
    <n v="0"/>
    <n v="2000"/>
    <n v="1"/>
    <n v="0"/>
    <s v="Adición"/>
    <s v="Adición"/>
    <s v="Adición"/>
  </r>
  <r>
    <x v="1"/>
    <x v="2"/>
    <x v="2"/>
    <s v="COMC04"/>
    <s v="COMBO FAMIAMIGOS"/>
    <n v="2"/>
    <n v="175650"/>
    <n v="-48150"/>
    <n v="78442"/>
    <n v="97208"/>
    <n v="0.55341873042983203"/>
    <n v="0.27412467976088811"/>
    <s v="Combos para compartir"/>
    <s v="No Personal"/>
    <s v="Combo"/>
  </r>
  <r>
    <x v="1"/>
    <x v="2"/>
    <x v="2"/>
    <s v="ATP04"/>
    <s v="Chop suey (*Extra)"/>
    <n v="2"/>
    <n v="0"/>
    <n v="0"/>
    <n v="5268"/>
    <n v="-5268"/>
    <n v="0"/>
    <n v="0"/>
    <s v="Arma tu plato"/>
    <s v="Personal"/>
    <s v="Caja"/>
  </r>
  <r>
    <x v="1"/>
    <x v="2"/>
    <x v="2"/>
    <s v="ATP08"/>
    <s v="Pollo Apanado ATP (*Extra)"/>
    <n v="2"/>
    <n v="0"/>
    <n v="0"/>
    <n v="10526"/>
    <n v="-10526"/>
    <n v="0"/>
    <n v="0"/>
    <s v="Arma tu plato"/>
    <s v="Personal"/>
    <s v="Caja"/>
  </r>
  <r>
    <x v="1"/>
    <x v="2"/>
    <x v="2"/>
    <s v="ADIC05"/>
    <s v="Vegetales salteados (*Extra)"/>
    <n v="2"/>
    <n v="13400"/>
    <n v="0"/>
    <n v="14"/>
    <n v="13386"/>
    <n v="0.99895522388059699"/>
    <n v="0"/>
    <s v="Adición"/>
    <s v="Adición"/>
    <s v="Adición"/>
  </r>
  <r>
    <x v="1"/>
    <x v="2"/>
    <x v="2"/>
    <s v="BEB602"/>
    <s v="Kola Roman 400 Ml CB (*Extra)"/>
    <n v="1"/>
    <n v="2000"/>
    <n v="0"/>
    <n v="2235"/>
    <n v="-235"/>
    <n v="-0.11749999999999999"/>
    <n v="0"/>
    <s v="Bebidas"/>
    <s v="Bebidas Cambio de bebida"/>
    <s v="Bebidas"/>
  </r>
  <r>
    <x v="1"/>
    <x v="2"/>
    <x v="2"/>
    <s v="ATP09"/>
    <s v="Res brócoli (*Extra)"/>
    <n v="1"/>
    <n v="0"/>
    <n v="0"/>
    <n v="3322"/>
    <n v="-3322"/>
    <n v="0"/>
    <n v="0"/>
    <s v="Arma tu plato"/>
    <s v="Personal"/>
    <s v="Caja"/>
  </r>
  <r>
    <x v="1"/>
    <x v="2"/>
    <x v="2"/>
    <s v="ADIC565"/>
    <s v="Adición Camaron"/>
    <n v="1"/>
    <n v="8900"/>
    <n v="0"/>
    <n v="3108"/>
    <n v="5792"/>
    <n v="0.65078651685393263"/>
    <n v="0"/>
    <s v="Adición"/>
    <s v="Adición"/>
    <s v="Adición"/>
  </r>
  <r>
    <x v="1"/>
    <x v="2"/>
    <x v="2"/>
    <s v="COMC07"/>
    <s v="COMBO ANTOJO"/>
    <n v="1"/>
    <n v="23000"/>
    <n v="-6900"/>
    <n v="7973"/>
    <n v="15027"/>
    <n v="0.65334782608695652"/>
    <n v="0.3"/>
    <s v="Combos para compartir"/>
    <s v="No Personal"/>
    <s v="Combo"/>
  </r>
  <r>
    <x v="1"/>
    <x v="2"/>
    <x v="2"/>
    <s v="ADIC566"/>
    <s v="Pollo a la naranja"/>
    <n v="1"/>
    <n v="9900"/>
    <n v="0"/>
    <n v="0"/>
    <n v="9900"/>
    <n v="1"/>
    <n v="0"/>
    <s v="Adición"/>
    <s v="Adición"/>
    <s v="Adición"/>
  </r>
  <r>
    <x v="1"/>
    <x v="2"/>
    <x v="2"/>
    <s v="BEB624"/>
    <s v="Quatro 400 Ml AB (*Extra)"/>
    <n v="1"/>
    <n v="4900"/>
    <n v="0"/>
    <n v="1330"/>
    <n v="3570"/>
    <n v="0.72857142857142854"/>
    <n v="0"/>
    <s v="Bebidas"/>
    <s v="Bebidas Adiciona tu bebida"/>
    <s v="Bebidas"/>
  </r>
  <r>
    <x v="1"/>
    <x v="2"/>
    <x v="2"/>
    <s v="BEB555"/>
    <s v="Coca Cola 1,5 litros CB COMBOSCOM (*Extra)"/>
    <n v="1"/>
    <n v="2000"/>
    <n v="0"/>
    <n v="0"/>
    <n v="2000"/>
    <n v="1"/>
    <n v="0"/>
    <s v="Bebidas"/>
    <s v="Bebidas Cambio de bebida"/>
    <s v="Bebidas"/>
  </r>
  <r>
    <x v="1"/>
    <x v="2"/>
    <x v="2"/>
    <s v="BEB583"/>
    <s v="Sprite 400 Ml"/>
    <n v="1"/>
    <n v="5900"/>
    <n v="0"/>
    <n v="1330"/>
    <n v="4570"/>
    <n v="0.77457627118644068"/>
    <n v="0"/>
    <s v="Bebidas"/>
    <s v="Bebidas"/>
    <s v="Bebidas"/>
  </r>
  <r>
    <x v="1"/>
    <x v="2"/>
    <x v="2"/>
    <s v="BEB628"/>
    <s v="Fusetea Limon AB (*Extra)"/>
    <n v="1"/>
    <n v="4900"/>
    <n v="0"/>
    <n v="1560"/>
    <n v="3340"/>
    <n v="0.68163265306122445"/>
    <n v="0"/>
    <s v="Bebidas"/>
    <s v="Bebidas Adiciona tu bebida"/>
    <s v="Bebidas"/>
  </r>
  <r>
    <x v="1"/>
    <x v="2"/>
    <x v="2"/>
    <s v="BEB592"/>
    <s v="Coca Cola 400 Ml Zero"/>
    <n v="1"/>
    <n v="6500"/>
    <n v="0"/>
    <n v="1448"/>
    <n v="5052"/>
    <n v="0.77723076923076928"/>
    <n v="0"/>
    <s v="Bebidas"/>
    <s v="Bebidas"/>
    <s v="Bebidas"/>
  </r>
  <r>
    <x v="1"/>
    <x v="2"/>
    <x v="2"/>
    <s v="BEB588"/>
    <s v="Fusetea Limon"/>
    <n v="1"/>
    <n v="5900"/>
    <n v="0"/>
    <n v="1560"/>
    <n v="4340"/>
    <n v="0.735593220338983"/>
    <n v="0"/>
    <s v="Bebidas"/>
    <s v="Bebidas"/>
    <s v="Bebidas"/>
  </r>
  <r>
    <x v="1"/>
    <x v="3"/>
    <x v="1"/>
    <s v="COMP01"/>
    <s v="COMBO 1- Valenciano personal"/>
    <n v="229"/>
    <n v="5472110"/>
    <n v="-990"/>
    <n v="2204583"/>
    <n v="3267527"/>
    <n v="0.59712377857901244"/>
    <n v="1.8091741576832336E-4"/>
    <s v="Combos personales"/>
    <s v="Personal"/>
    <s v="Combo"/>
  </r>
  <r>
    <x v="1"/>
    <x v="3"/>
    <x v="1"/>
    <s v="MON450"/>
    <s v="Arma tu plato"/>
    <n v="183"/>
    <n v="4444733"/>
    <n v="-111967"/>
    <n v="0"/>
    <n v="4444733"/>
    <n v="1"/>
    <n v="2.5190939478254373E-2"/>
    <s v="Arma tu plato"/>
    <s v="Personal"/>
    <s v="Caja"/>
  </r>
  <r>
    <x v="1"/>
    <x v="3"/>
    <x v="1"/>
    <s v="ATP01"/>
    <s v="Pollo a la naranja (*Extra)"/>
    <n v="108"/>
    <n v="0"/>
    <n v="0"/>
    <n v="593028"/>
    <n v="-593028"/>
    <n v="0"/>
    <n v="0"/>
    <s v="Arma tu plato"/>
    <s v="Personal"/>
    <s v="Caja"/>
  </r>
  <r>
    <x v="1"/>
    <x v="3"/>
    <x v="1"/>
    <s v="ATP10"/>
    <s v="Cerdo agridulce (*Extra)"/>
    <n v="91"/>
    <n v="0"/>
    <n v="0"/>
    <n v="497497"/>
    <n v="-497497"/>
    <n v="0"/>
    <n v="0"/>
    <s v="Arma tu plato"/>
    <s v="Personal"/>
    <s v="Caja"/>
  </r>
  <r>
    <x v="1"/>
    <x v="3"/>
    <x v="1"/>
    <s v="ENT04"/>
    <s v="LUMPIAS X 2"/>
    <n v="84"/>
    <n v="746577"/>
    <n v="-1023"/>
    <n v="263676"/>
    <n v="482901"/>
    <n v="0.64682008687650439"/>
    <n v="1.3702538385190006E-3"/>
    <s v="Entradas"/>
    <s v="Otro"/>
    <s v="Otro"/>
  </r>
  <r>
    <x v="1"/>
    <x v="3"/>
    <x v="1"/>
    <s v="COMP03"/>
    <s v="COMBO 3 - Chop suey especial personal"/>
    <n v="80"/>
    <n v="2283100"/>
    <n v="-28900"/>
    <n v="765600"/>
    <n v="1517500"/>
    <n v="0.66466646226621695"/>
    <n v="1.2658227848101266E-2"/>
    <s v="Combos personales"/>
    <s v="Personal"/>
    <s v="Combo"/>
  </r>
  <r>
    <x v="1"/>
    <x v="3"/>
    <x v="1"/>
    <s v="COMP02"/>
    <s v="COMBO 2 - Chow fan especial personal"/>
    <n v="77"/>
    <n v="1982781"/>
    <n v="-11519"/>
    <n v="731577"/>
    <n v="1251204"/>
    <n v="0.63103489492788156"/>
    <n v="5.809517036929444E-3"/>
    <s v="Combos personales"/>
    <s v="Personal"/>
    <s v="Combo"/>
  </r>
  <r>
    <x v="1"/>
    <x v="3"/>
    <x v="1"/>
    <s v="COMP05"/>
    <s v="COMBO 5 - Chow Mein especial personal"/>
    <n v="71"/>
    <n v="2050933"/>
    <n v="-967"/>
    <n v="798963"/>
    <n v="1251970"/>
    <n v="0.61043924886868561"/>
    <n v="4.7149273038173356E-4"/>
    <s v="Combos personales"/>
    <s v="Personal"/>
    <s v="Combo"/>
  </r>
  <r>
    <x v="1"/>
    <x v="3"/>
    <x v="1"/>
    <s v="ATP02"/>
    <s v="Camarones apanados 7 (*Extra)"/>
    <n v="62"/>
    <n v="121799"/>
    <n v="-2201"/>
    <n v="192696"/>
    <n v="-70897"/>
    <n v="-0.58208195469585133"/>
    <n v="1.807075591753627E-2"/>
    <s v="Arma tu plato"/>
    <s v="Personal"/>
    <s v="Caja"/>
  </r>
  <r>
    <x v="1"/>
    <x v="3"/>
    <x v="1"/>
    <s v="BEB620"/>
    <s v="Agua 280 ml CB (*Extra)"/>
    <n v="61"/>
    <n v="0"/>
    <n v="0"/>
    <n v="52948"/>
    <n v="-52948"/>
    <n v="0"/>
    <n v="0"/>
    <s v="Bebidas"/>
    <s v="Bebidas Cambio de bebida"/>
    <s v="Bebidas"/>
  </r>
  <r>
    <x v="1"/>
    <x v="3"/>
    <x v="1"/>
    <s v="ATP09"/>
    <s v="Res brócoli (*Extra)"/>
    <n v="61"/>
    <n v="0"/>
    <n v="0"/>
    <n v="202642"/>
    <n v="-202642"/>
    <n v="0"/>
    <n v="0"/>
    <s v="Arma tu plato"/>
    <s v="Personal"/>
    <s v="Caja"/>
  </r>
  <r>
    <x v="1"/>
    <x v="3"/>
    <x v="1"/>
    <s v="BEB581"/>
    <s v="Coca Cola 400 Ml Normal"/>
    <n v="58"/>
    <n v="342200"/>
    <n v="0"/>
    <n v="98310"/>
    <n v="243890"/>
    <n v="0.71271186440677969"/>
    <n v="0"/>
    <s v="Bebidas"/>
    <s v="Bebidas"/>
    <s v="Bebidas"/>
  </r>
  <r>
    <x v="1"/>
    <x v="3"/>
    <x v="1"/>
    <s v="ATP06"/>
    <s v="Arroz Frito ATP (*Extra)"/>
    <n v="56"/>
    <n v="0"/>
    <n v="0"/>
    <n v="71792"/>
    <n v="-71792"/>
    <n v="0"/>
    <n v="0"/>
    <s v="Arma tu plato"/>
    <s v="Personal"/>
    <s v="Caja"/>
  </r>
  <r>
    <x v="1"/>
    <x v="3"/>
    <x v="1"/>
    <s v="BEB01"/>
    <s v="Coca Cola 250 Ml Normal CB (*Extra)"/>
    <n v="54"/>
    <n v="53518"/>
    <n v="-482"/>
    <n v="105030"/>
    <n v="-51512"/>
    <n v="-0.96251728390448077"/>
    <n v="9.0063156321237708E-3"/>
    <s v="Bebidas"/>
    <s v="Bebidas Cambio de bebida"/>
    <s v="Bebidas"/>
  </r>
  <r>
    <x v="1"/>
    <x v="3"/>
    <x v="1"/>
    <s v="BEB585"/>
    <s v="Agua Normal 600 Ml"/>
    <n v="54"/>
    <n v="264600"/>
    <n v="0"/>
    <n v="59130"/>
    <n v="205470"/>
    <n v="0.77653061224489794"/>
    <n v="0"/>
    <s v="Bebidas"/>
    <s v="Bebidas"/>
    <s v="Bebidas"/>
  </r>
  <r>
    <x v="1"/>
    <x v="3"/>
    <x v="1"/>
    <s v="ATP03"/>
    <s v="Arroz vegetales (*Extra)"/>
    <n v="50"/>
    <n v="98000"/>
    <n v="-2000"/>
    <n v="101750"/>
    <n v="-3750"/>
    <n v="-3.826530612244898E-2"/>
    <n v="2.0408163265306121E-2"/>
    <s v="Arma tu plato"/>
    <s v="Personal"/>
    <s v="Caja"/>
  </r>
  <r>
    <x v="1"/>
    <x v="3"/>
    <x v="1"/>
    <s v="MONE701"/>
    <s v="Mong Express Chow fan"/>
    <n v="43"/>
    <n v="846183"/>
    <n v="-9517"/>
    <n v="0"/>
    <n v="846183"/>
    <n v="1"/>
    <n v="1.1246976126913446E-2"/>
    <s v="Mong Express"/>
    <s v="Personal"/>
    <s v="Caja"/>
  </r>
  <r>
    <x v="1"/>
    <x v="3"/>
    <x v="1"/>
    <s v="PESP04"/>
    <s v="SUN KEE"/>
    <n v="41"/>
    <n v="1102900"/>
    <n v="0"/>
    <n v="559158"/>
    <n v="543742"/>
    <n v="0.4930111524163569"/>
    <n v="0"/>
    <s v="Platos especiales"/>
    <s v="Personal"/>
    <s v="Platos Especiales"/>
  </r>
  <r>
    <x v="1"/>
    <x v="3"/>
    <x v="1"/>
    <s v="ATP04"/>
    <s v="Chop suey (*Extra)"/>
    <n v="41"/>
    <n v="0"/>
    <n v="0"/>
    <n v="107994"/>
    <n v="-107994"/>
    <n v="0"/>
    <n v="0"/>
    <s v="Arma tu plato"/>
    <s v="Personal"/>
    <s v="Caja"/>
  </r>
  <r>
    <x v="1"/>
    <x v="3"/>
    <x v="1"/>
    <s v="ATP05"/>
    <s v="Chow mein (*Extra)"/>
    <n v="36"/>
    <n v="0"/>
    <n v="0"/>
    <n v="111492"/>
    <n v="-111492"/>
    <n v="0"/>
    <n v="0"/>
    <s v="Arma tu plato"/>
    <s v="Personal"/>
    <s v="Caja"/>
  </r>
  <r>
    <x v="1"/>
    <x v="3"/>
    <x v="1"/>
    <s v="PESP03"/>
    <s v="LING"/>
    <n v="30"/>
    <n v="807000"/>
    <n v="0"/>
    <n v="407010"/>
    <n v="399990"/>
    <n v="0.49565055762081783"/>
    <n v="0"/>
    <s v="Platos especiales"/>
    <s v="Personal"/>
    <s v="Platos Especiales"/>
  </r>
  <r>
    <x v="1"/>
    <x v="3"/>
    <x v="1"/>
    <s v="MON500"/>
    <s v="Arroz vegetales especial personal"/>
    <n v="29"/>
    <n v="658300"/>
    <n v="-5800"/>
    <n v="217906"/>
    <n v="440394"/>
    <n v="0.66898678414096913"/>
    <n v="8.8105726872246704E-3"/>
    <s v="Platos mong"/>
    <s v="Personal"/>
    <s v="Caja"/>
  </r>
  <r>
    <x v="1"/>
    <x v="3"/>
    <x v="1"/>
    <s v="ENT02"/>
    <s v="LUMPIA X 1"/>
    <n v="25"/>
    <n v="124164"/>
    <n v="-836"/>
    <n v="39225"/>
    <n v="84939"/>
    <n v="0.68408717502657779"/>
    <n v="6.7330305080377569E-3"/>
    <s v="Entradas"/>
    <s v="Otro"/>
    <s v="Otro"/>
  </r>
  <r>
    <x v="1"/>
    <x v="3"/>
    <x v="1"/>
    <s v="MONE700"/>
    <s v="Mong Express Chop suey pollo"/>
    <n v="24"/>
    <n v="473600"/>
    <n v="-4000"/>
    <n v="196392"/>
    <n v="277208"/>
    <n v="0.58532094594594597"/>
    <n v="8.4459459459459464E-3"/>
    <s v="Mong Express"/>
    <s v="Personal"/>
    <s v="Caja"/>
  </r>
  <r>
    <x v="1"/>
    <x v="3"/>
    <x v="1"/>
    <s v="BEB580"/>
    <s v="Coca Cola 250 Ml Normal"/>
    <n v="23"/>
    <n v="89700"/>
    <n v="0"/>
    <n v="26749"/>
    <n v="62951"/>
    <n v="0.70179487179487177"/>
    <n v="0"/>
    <s v="Bebidas"/>
    <s v="Bebidas"/>
    <s v="Bebidas"/>
  </r>
  <r>
    <x v="1"/>
    <x v="3"/>
    <x v="1"/>
    <s v="ADIC560"/>
    <s v="Adición Papa frita"/>
    <n v="23"/>
    <n v="135700"/>
    <n v="0"/>
    <n v="94254"/>
    <n v="41446"/>
    <n v="0.30542372881355934"/>
    <n v="0"/>
    <s v="Adición"/>
    <s v="Adición"/>
    <s v="Adición"/>
  </r>
  <r>
    <x v="1"/>
    <x v="3"/>
    <x v="1"/>
    <s v="ATP08"/>
    <s v="Pollo Apanado ATP (*Extra)"/>
    <n v="22"/>
    <n v="0"/>
    <n v="0"/>
    <n v="115786"/>
    <n v="-115786"/>
    <n v="0"/>
    <n v="0"/>
    <s v="Arma tu plato"/>
    <s v="Personal"/>
    <s v="Caja"/>
  </r>
  <r>
    <x v="1"/>
    <x v="3"/>
    <x v="1"/>
    <s v="MON100"/>
    <s v="Chow Fan Especial Personal"/>
    <n v="19"/>
    <n v="370200"/>
    <n v="-7900"/>
    <n v="128592"/>
    <n v="241608"/>
    <n v="0.65264181523500808"/>
    <n v="2.1339816315505133E-2"/>
    <s v="Platos mong"/>
    <s v="Personal"/>
    <s v="Caja"/>
  </r>
  <r>
    <x v="1"/>
    <x v="3"/>
    <x v="1"/>
    <s v="MON101"/>
    <s v="Chow fan especial trio"/>
    <n v="18"/>
    <n v="834963"/>
    <n v="-9237"/>
    <n v="360954"/>
    <n v="474009"/>
    <n v="0.56770060469745365"/>
    <n v="1.1062765655484134E-2"/>
    <s v="Platos mong"/>
    <s v="No Personal"/>
    <s v="Platos Especiales"/>
  </r>
  <r>
    <x v="1"/>
    <x v="3"/>
    <x v="1"/>
    <s v="BEB589"/>
    <s v="Fusetea Durazno"/>
    <n v="18"/>
    <n v="88200"/>
    <n v="0"/>
    <n v="28080"/>
    <n v="60120"/>
    <n v="0.68163265306122445"/>
    <n v="0"/>
    <s v="Bebidas"/>
    <s v="Bebidas"/>
    <s v="Bebidas"/>
  </r>
  <r>
    <x v="1"/>
    <x v="3"/>
    <x v="1"/>
    <s v="BEB595"/>
    <s v="Agua Manzana 600 Ml"/>
    <n v="18"/>
    <n v="86300"/>
    <n v="-1900"/>
    <n v="24714"/>
    <n v="61586"/>
    <n v="0.71362688296639631"/>
    <n v="2.20162224797219E-2"/>
    <s v="Bebidas"/>
    <s v="Bebidas"/>
    <s v="Bebidas"/>
  </r>
  <r>
    <x v="1"/>
    <x v="3"/>
    <x v="1"/>
    <s v="COMP04"/>
    <s v="COMBO 4 - arroz vegetales especial"/>
    <n v="18"/>
    <n v="520200"/>
    <n v="0"/>
    <n v="184446"/>
    <n v="335754"/>
    <n v="0.64543252595155709"/>
    <n v="0"/>
    <s v="Combos personales"/>
    <s v="Personal"/>
    <s v="Combo"/>
  </r>
  <r>
    <x v="1"/>
    <x v="3"/>
    <x v="1"/>
    <s v="COMP10"/>
    <s v="COMBO - Lumpia y Coca Cola 250 ml"/>
    <n v="17"/>
    <n v="134300"/>
    <n v="0"/>
    <n v="0"/>
    <n v="134300"/>
    <n v="1"/>
    <n v="0"/>
    <s v="Armalo en combo"/>
    <s v="Personal"/>
    <s v="Combo"/>
  </r>
  <r>
    <x v="1"/>
    <x v="3"/>
    <x v="1"/>
    <s v="BEB596"/>
    <s v="Fusetea mango"/>
    <n v="17"/>
    <n v="83300"/>
    <n v="0"/>
    <n v="32232"/>
    <n v="51068"/>
    <n v="0.61306122448979594"/>
    <n v="0"/>
    <s v="Bebidas"/>
    <s v="Bebidas"/>
    <s v="Bebidas"/>
  </r>
  <r>
    <x v="1"/>
    <x v="3"/>
    <x v="1"/>
    <s v="COMC02"/>
    <s v="COMBO AMIGOS"/>
    <n v="17"/>
    <n v="1018300"/>
    <n v="0"/>
    <n v="401846"/>
    <n v="616454"/>
    <n v="0.60537562604340567"/>
    <n v="0"/>
    <s v="Combos para compartir"/>
    <s v="No Personal"/>
    <s v="Combo"/>
  </r>
  <r>
    <x v="1"/>
    <x v="3"/>
    <x v="1"/>
    <s v="ENT03"/>
    <s v="CAMARONES APANADOS"/>
    <n v="16"/>
    <n v="268500"/>
    <n v="-1900"/>
    <n v="99440"/>
    <n v="169060"/>
    <n v="0.62964618249534454"/>
    <n v="7.07635009310987E-3"/>
    <s v="Entradas"/>
    <s v="Otro"/>
    <s v="Otro"/>
  </r>
  <r>
    <x v="1"/>
    <x v="3"/>
    <x v="1"/>
    <s v="BEB599"/>
    <s v="Agua 280 ml"/>
    <n v="16"/>
    <n v="56000"/>
    <n v="0"/>
    <n v="13888"/>
    <n v="42112"/>
    <n v="0.752"/>
    <n v="0"/>
    <s v="Bebidas"/>
    <s v="Bebidas"/>
    <s v="Bebidas"/>
  </r>
  <r>
    <x v="1"/>
    <x v="3"/>
    <x v="1"/>
    <s v="ATP07"/>
    <s v="Pollo presa ATP (*Extra)"/>
    <n v="16"/>
    <n v="0"/>
    <n v="0"/>
    <n v="45584"/>
    <n v="-45584"/>
    <n v="0"/>
    <n v="0"/>
    <s v="Arma tu plato"/>
    <s v="Personal"/>
    <s v="Caja"/>
  </r>
  <r>
    <x v="1"/>
    <x v="3"/>
    <x v="1"/>
    <s v="ADIC564"/>
    <s v="Adición Presa de pollo"/>
    <n v="15"/>
    <n v="103283"/>
    <n v="-217"/>
    <n v="36960"/>
    <n v="66323"/>
    <n v="0.64214827222292148"/>
    <n v="2.1010234017214838E-3"/>
    <s v="Adición"/>
    <s v="Adición"/>
    <s v="Adición"/>
  </r>
  <r>
    <x v="1"/>
    <x v="3"/>
    <x v="1"/>
    <s v="BEB592"/>
    <s v="Coca Cola 400 Ml Zero"/>
    <n v="15"/>
    <n v="88500"/>
    <n v="0"/>
    <n v="21720"/>
    <n v="66780"/>
    <n v="0.75457627118644066"/>
    <n v="0"/>
    <s v="Bebidas"/>
    <s v="Bebidas"/>
    <s v="Bebidas"/>
  </r>
  <r>
    <x v="1"/>
    <x v="3"/>
    <x v="1"/>
    <s v="PESP01"/>
    <s v="MING"/>
    <n v="15"/>
    <n v="433500"/>
    <n v="0"/>
    <n v="114075"/>
    <n v="319425"/>
    <n v="0.73685121107266438"/>
    <n v="0"/>
    <s v="Platos especiales"/>
    <s v="Personal"/>
    <s v="Platos Especiales"/>
  </r>
  <r>
    <x v="1"/>
    <x v="3"/>
    <x v="1"/>
    <s v="PESP05"/>
    <s v="WONG- Menú infantil"/>
    <n v="14"/>
    <n v="202800"/>
    <n v="-33800"/>
    <n v="99750"/>
    <n v="103050"/>
    <n v="0.50813609467455623"/>
    <n v="0.16666666666666666"/>
    <s v="Platos especiales"/>
    <s v="Personal"/>
    <s v="Platos Especiales"/>
  </r>
  <r>
    <x v="1"/>
    <x v="3"/>
    <x v="1"/>
    <s v="ADIC566"/>
    <s v="Pollo a la naranja"/>
    <n v="14"/>
    <n v="110600"/>
    <n v="0"/>
    <n v="0"/>
    <n v="110600"/>
    <n v="1"/>
    <n v="0"/>
    <s v="Adición"/>
    <s v="Adición"/>
    <s v="Adición"/>
  </r>
  <r>
    <x v="1"/>
    <x v="3"/>
    <x v="1"/>
    <s v="ADIC563"/>
    <s v="Adición Arroz Frito"/>
    <n v="13"/>
    <n v="70400"/>
    <n v="-6300"/>
    <n v="16666"/>
    <n v="53734"/>
    <n v="0.76326704545454549"/>
    <n v="8.9488636363636367E-2"/>
    <s v="Adición"/>
    <s v="Adición"/>
    <s v="Adición"/>
  </r>
  <r>
    <x v="1"/>
    <x v="3"/>
    <x v="1"/>
    <s v="PESP02"/>
    <s v="MONG"/>
    <n v="13"/>
    <n v="323700"/>
    <n v="0"/>
    <n v="165334"/>
    <n v="158366"/>
    <n v="0.48923694779116467"/>
    <n v="0"/>
    <s v="Platos especiales"/>
    <s v="Personal"/>
    <s v="Platos Especiales"/>
  </r>
  <r>
    <x v="1"/>
    <x v="3"/>
    <x v="1"/>
    <s v="BEB594"/>
    <s v="Premio 400 Ml"/>
    <n v="12"/>
    <n v="58800"/>
    <n v="0"/>
    <n v="15960"/>
    <n v="42840"/>
    <n v="0.72857142857142854"/>
    <n v="0"/>
    <s v="Bebidas"/>
    <s v="Bebidas"/>
    <s v="Bebidas"/>
  </r>
  <r>
    <x v="1"/>
    <x v="3"/>
    <x v="1"/>
    <s v="COMC04"/>
    <s v="COMBO FAMIAMIGOS"/>
    <n v="12"/>
    <n v="986600"/>
    <n v="-8200"/>
    <n v="470652"/>
    <n v="515948"/>
    <n v="0.52295560510845329"/>
    <n v="8.3113723900263524E-3"/>
    <s v="Combos para compartir"/>
    <s v="No Personal"/>
    <s v="Combo"/>
  </r>
  <r>
    <x v="1"/>
    <x v="3"/>
    <x v="1"/>
    <s v="MON131"/>
    <s v="Chow Fan Valenciano trio"/>
    <n v="12"/>
    <n v="706800"/>
    <n v="0"/>
    <n v="225816"/>
    <n v="480984"/>
    <n v="0.68050933786078094"/>
    <n v="0"/>
    <s v="Platos mong"/>
    <s v="No Personal"/>
    <s v="Caja"/>
  </r>
  <r>
    <x v="1"/>
    <x v="3"/>
    <x v="1"/>
    <s v="MON320"/>
    <s v="Chop Suey Pollo Personal"/>
    <n v="11"/>
    <n v="207900"/>
    <n v="0"/>
    <n v="60071"/>
    <n v="147829"/>
    <n v="0.71105820105820106"/>
    <n v="0"/>
    <s v="Platos mong"/>
    <s v="Personal"/>
    <s v="Caja"/>
  </r>
  <r>
    <x v="1"/>
    <x v="3"/>
    <x v="1"/>
    <s v="BEB584"/>
    <s v="Quatro 400 Ml"/>
    <n v="11"/>
    <n v="53900"/>
    <n v="0"/>
    <n v="14630"/>
    <n v="39270"/>
    <n v="0.72857142857142854"/>
    <n v="0"/>
    <s v="Bebidas"/>
    <s v="Bebidas"/>
    <s v="Bebidas"/>
  </r>
  <r>
    <x v="1"/>
    <x v="3"/>
    <x v="1"/>
    <s v="MON130"/>
    <s v="Chow Fan Valenciano Personal"/>
    <n v="11"/>
    <n v="195100"/>
    <n v="-45800"/>
    <n v="93104"/>
    <n v="101996"/>
    <n v="0.52278831368528955"/>
    <n v="0.23475140953357251"/>
    <s v="Platos mong"/>
    <s v="Personal"/>
    <s v="Caja"/>
  </r>
  <r>
    <x v="1"/>
    <x v="3"/>
    <x v="1"/>
    <s v="MON110"/>
    <s v="Chow Fan Camarones Personal"/>
    <n v="11"/>
    <n v="251900"/>
    <n v="0"/>
    <n v="103444"/>
    <n v="148456"/>
    <n v="0.58934497816593889"/>
    <n v="0"/>
    <s v="Platos mong"/>
    <s v="Personal"/>
    <s v="Caja"/>
  </r>
  <r>
    <x v="1"/>
    <x v="3"/>
    <x v="1"/>
    <s v="ADIC565"/>
    <s v="Adición Camaron"/>
    <n v="11"/>
    <n v="75900"/>
    <n v="0"/>
    <n v="34188"/>
    <n v="41712"/>
    <n v="0.54956521739130437"/>
    <n v="0"/>
    <s v="Adición"/>
    <s v="Adición"/>
    <s v="Adición"/>
  </r>
  <r>
    <x v="1"/>
    <x v="3"/>
    <x v="1"/>
    <s v="BEB588"/>
    <s v="Fusetea Limon"/>
    <n v="11"/>
    <n v="53900"/>
    <n v="0"/>
    <n v="17160"/>
    <n v="36740"/>
    <n v="0.68163265306122445"/>
    <n v="0"/>
    <s v="Bebidas"/>
    <s v="Bebidas"/>
    <s v="Bebidas"/>
  </r>
  <r>
    <x v="1"/>
    <x v="3"/>
    <x v="1"/>
    <s v="MON120"/>
    <s v="Chow Fan Pollo Personal"/>
    <n v="10"/>
    <n v="142200"/>
    <n v="-16800"/>
    <n v="60640"/>
    <n v="81560"/>
    <n v="0.57355836849507735"/>
    <n v="0.11814345991561181"/>
    <s v="Platos mong"/>
    <s v="Personal"/>
    <s v="Caja"/>
  </r>
  <r>
    <x v="1"/>
    <x v="3"/>
    <x v="1"/>
    <s v="MON200"/>
    <s v="Chow Mein Especial Personal"/>
    <n v="10"/>
    <n v="187523"/>
    <n v="-21477"/>
    <n v="85210"/>
    <n v="102313"/>
    <n v="0.54560240610485111"/>
    <n v="0.11452995099267824"/>
    <s v="Platos mong"/>
    <s v="Personal"/>
    <s v="Caja"/>
  </r>
  <r>
    <x v="1"/>
    <x v="3"/>
    <x v="1"/>
    <s v="BEB587"/>
    <s v="Agua Limón 600 Ml"/>
    <n v="10"/>
    <n v="48507"/>
    <n v="-493"/>
    <n v="13730"/>
    <n v="34777"/>
    <n v="0.71694806935081534"/>
    <n v="1.0163481559362567E-2"/>
    <s v="Bebidas"/>
    <s v="Bebidas"/>
    <s v="Bebidas"/>
  </r>
  <r>
    <x v="1"/>
    <x v="3"/>
    <x v="1"/>
    <s v="BEB593"/>
    <s v="Coca Cola 250 Ml Zero"/>
    <n v="10"/>
    <n v="39000"/>
    <n v="0"/>
    <n v="12910"/>
    <n v="26090"/>
    <n v="0.66897435897435897"/>
    <n v="0"/>
    <s v="Bebidas"/>
    <s v="Bebidas"/>
    <s v="Bebidas"/>
  </r>
  <r>
    <x v="1"/>
    <x v="3"/>
    <x v="1"/>
    <s v="BEB586"/>
    <s v="Agua Gas 600 Ml"/>
    <n v="10"/>
    <n v="48516"/>
    <n v="-484"/>
    <n v="12880"/>
    <n v="35636"/>
    <n v="0.73452057053343223"/>
    <n v="9.9760903619424517E-3"/>
    <s v="Bebidas"/>
    <s v="Bebidas"/>
    <s v="Bebidas"/>
  </r>
  <r>
    <x v="1"/>
    <x v="3"/>
    <x v="1"/>
    <s v="COMC07"/>
    <s v="COMBO ANTOJO"/>
    <n v="10"/>
    <n v="209000"/>
    <n v="0"/>
    <n v="79730"/>
    <n v="129270"/>
    <n v="0.61851674641148324"/>
    <n v="0"/>
    <s v="Combos para compartir"/>
    <s v="No Personal"/>
    <s v="Combo"/>
  </r>
  <r>
    <x v="1"/>
    <x v="3"/>
    <x v="1"/>
    <s v="COMP11"/>
    <s v="COMBO - Lumpia y agua 280 ML"/>
    <n v="9"/>
    <n v="71100"/>
    <n v="0"/>
    <n v="0"/>
    <n v="71100"/>
    <n v="1"/>
    <n v="0"/>
    <s v="Armalo en combo"/>
    <s v="Personal"/>
    <s v="Combo"/>
  </r>
  <r>
    <x v="1"/>
    <x v="3"/>
    <x v="1"/>
    <s v="MON310"/>
    <s v="Chop suey camarón personal"/>
    <n v="8"/>
    <n v="191200"/>
    <n v="0"/>
    <n v="70056"/>
    <n v="121144"/>
    <n v="0.6335983263598326"/>
    <n v="0"/>
    <s v="Platos mong"/>
    <s v="Personal"/>
    <s v="Caja"/>
  </r>
  <r>
    <x v="1"/>
    <x v="3"/>
    <x v="1"/>
    <s v="BEB590"/>
    <s v="Jugo Del Valle Mandarina"/>
    <n v="7"/>
    <n v="34300"/>
    <n v="0"/>
    <n v="10920"/>
    <n v="23380"/>
    <n v="0.68163265306122445"/>
    <n v="0"/>
    <s v="Bebidas"/>
    <s v="Bebidas"/>
    <s v="Bebidas"/>
  </r>
  <r>
    <x v="1"/>
    <x v="3"/>
    <x v="1"/>
    <s v="COMP08"/>
    <s v="COMBO - Papas 120 grs y Coca Cola 250 ml"/>
    <n v="7"/>
    <n v="55300"/>
    <n v="0"/>
    <n v="22484"/>
    <n v="32816"/>
    <n v="0.59341772151898731"/>
    <n v="0"/>
    <s v="Armalo en combo"/>
    <s v="Personal"/>
    <s v="Combo"/>
  </r>
  <r>
    <x v="1"/>
    <x v="3"/>
    <x v="1"/>
    <s v="BEB583"/>
    <s v="Sprite 400 Ml"/>
    <n v="7"/>
    <n v="34300"/>
    <n v="0"/>
    <n v="9310"/>
    <n v="24990"/>
    <n v="0.72857142857142854"/>
    <n v="0"/>
    <s v="Bebidas"/>
    <s v="Bebidas"/>
    <s v="Bebidas"/>
  </r>
  <r>
    <x v="1"/>
    <x v="3"/>
    <x v="1"/>
    <s v="BEB598"/>
    <s v="Coca Cola 1,5 litros"/>
    <n v="7"/>
    <n v="68321"/>
    <n v="-979"/>
    <n v="31507"/>
    <n v="36814"/>
    <n v="0.53883871723189058"/>
    <n v="1.4329415553051039E-2"/>
    <s v="Bebidas"/>
    <s v="Bebidas"/>
    <s v="Bebidas"/>
  </r>
  <r>
    <x v="1"/>
    <x v="3"/>
    <x v="1"/>
    <s v="CAM04"/>
    <s v="Lumpia cambio (*Extra)"/>
    <n v="7"/>
    <n v="0"/>
    <n v="0"/>
    <n v="14343"/>
    <n v="-14343"/>
    <n v="0"/>
    <n v="0"/>
    <s v="Adición"/>
    <s v="Otro"/>
    <s v="Otro"/>
  </r>
  <r>
    <x v="1"/>
    <x v="3"/>
    <x v="1"/>
    <s v="BEB609"/>
    <s v="Fusetea Limon CB (*Extra)"/>
    <n v="6"/>
    <n v="9600"/>
    <n v="0"/>
    <n v="11244"/>
    <n v="-1644"/>
    <n v="-0.17125000000000001"/>
    <n v="0"/>
    <s v="Bebidas"/>
    <s v="Bebidas Cambio de bebida"/>
    <s v="Bebidas"/>
  </r>
  <r>
    <x v="1"/>
    <x v="3"/>
    <x v="1"/>
    <s v="MON300"/>
    <s v="Chop suey especial personal"/>
    <n v="6"/>
    <n v="125400"/>
    <n v="0"/>
    <n v="41028"/>
    <n v="84372"/>
    <n v="0.67282296650717699"/>
    <n v="0"/>
    <s v="Platos mong"/>
    <s v="Personal"/>
    <s v="Caja"/>
  </r>
  <r>
    <x v="1"/>
    <x v="3"/>
    <x v="1"/>
    <s v="COMC06"/>
    <s v="COMBO FAMILIAR"/>
    <n v="6"/>
    <n v="581400"/>
    <n v="0"/>
    <n v="280680"/>
    <n v="300720"/>
    <n v="0.51723426212590295"/>
    <n v="0"/>
    <s v="Combos para compartir"/>
    <s v="No Personal"/>
    <s v="Combo"/>
  </r>
  <r>
    <x v="1"/>
    <x v="3"/>
    <x v="1"/>
    <s v="ENT01"/>
    <s v="Deditos de Pollo"/>
    <n v="5"/>
    <n v="79500"/>
    <n v="0"/>
    <n v="50140"/>
    <n v="29360"/>
    <n v="0.36930817610062894"/>
    <n v="0"/>
    <s v="Entradas"/>
    <s v="Otro"/>
    <s v="Otro"/>
  </r>
  <r>
    <x v="1"/>
    <x v="3"/>
    <x v="1"/>
    <s v="BEB582"/>
    <s v="Kola Roman 400 Ml"/>
    <n v="5"/>
    <n v="24500"/>
    <n v="0"/>
    <n v="6650"/>
    <n v="17850"/>
    <n v="0.72857142857142854"/>
    <n v="0"/>
    <s v="Bebidas"/>
    <s v="Bebidas"/>
    <s v="Bebidas"/>
  </r>
  <r>
    <x v="1"/>
    <x v="3"/>
    <x v="1"/>
    <s v="BEB591"/>
    <s v="Jugo del valle naranja"/>
    <n v="5"/>
    <n v="22600"/>
    <n v="-1900"/>
    <n v="7800"/>
    <n v="14800"/>
    <n v="0.65486725663716816"/>
    <n v="8.4070796460176997E-2"/>
    <s v="Bebidas"/>
    <s v="Bebidas"/>
    <s v="Bebidas"/>
  </r>
  <r>
    <x v="1"/>
    <x v="3"/>
    <x v="1"/>
    <s v="MON330"/>
    <s v="Chop Suey Vegetariano Personal"/>
    <n v="5"/>
    <n v="89500"/>
    <n v="0"/>
    <n v="27330"/>
    <n v="62170"/>
    <n v="0.69463687150837994"/>
    <n v="0"/>
    <s v="Platos mong"/>
    <s v="Personal"/>
    <s v="Caja"/>
  </r>
  <r>
    <x v="1"/>
    <x v="3"/>
    <x v="1"/>
    <s v="CAM03"/>
    <s v="Cambio Papas a la francesa 150 grs (*Extra)"/>
    <n v="5"/>
    <n v="2446"/>
    <n v="-54"/>
    <n v="7845"/>
    <n v="-5399"/>
    <n v="-2.2072771872444807"/>
    <n v="2.2076860179885527E-2"/>
    <s v="Adición"/>
    <s v="Otro"/>
    <s v="Otro"/>
  </r>
  <r>
    <x v="1"/>
    <x v="3"/>
    <x v="1"/>
    <s v="MON220"/>
    <s v="Chow Mein Pollo Personal"/>
    <n v="5"/>
    <n v="89500"/>
    <n v="0"/>
    <n v="35705"/>
    <n v="53795"/>
    <n v="0.60106145251396648"/>
    <n v="0"/>
    <s v="Platos mong"/>
    <s v="Personal"/>
    <s v="Caja"/>
  </r>
  <r>
    <x v="1"/>
    <x v="3"/>
    <x v="1"/>
    <s v="BEB601"/>
    <s v="Coca Cola 400 Ml Normal CB (*Extra)"/>
    <n v="4"/>
    <n v="6900"/>
    <n v="-2300"/>
    <n v="8940"/>
    <n v="-2040"/>
    <n v="-0.29565217391304349"/>
    <n v="0.33333333333333331"/>
    <s v="Bebidas"/>
    <s v="Bebidas Cambio de bebida"/>
    <s v="Bebidas"/>
  </r>
  <r>
    <x v="1"/>
    <x v="3"/>
    <x v="1"/>
    <s v="MONFIT"/>
    <s v="Mong fit"/>
    <n v="4"/>
    <n v="35700"/>
    <n v="-11900"/>
    <n v="0"/>
    <n v="35700"/>
    <n v="1"/>
    <n v="0.33333333333333331"/>
    <s v="Platos especiales"/>
    <s v="Personal"/>
    <s v="Platos Especiales"/>
  </r>
  <r>
    <x v="1"/>
    <x v="3"/>
    <x v="1"/>
    <s v="ADIC567"/>
    <s v="cerdo agridulce"/>
    <n v="4"/>
    <n v="31600"/>
    <n v="0"/>
    <n v="0"/>
    <n v="31600"/>
    <n v="1"/>
    <n v="0"/>
    <s v="Adición"/>
    <s v="Adición"/>
    <s v="Adición"/>
  </r>
  <r>
    <x v="1"/>
    <x v="3"/>
    <x v="1"/>
    <s v="BEB555"/>
    <s v="Coca Cola 1,5 litros CB COMBOSCOM (*Extra)"/>
    <n v="4"/>
    <n v="8000"/>
    <n v="0"/>
    <n v="0"/>
    <n v="8000"/>
    <n v="1"/>
    <n v="0"/>
    <s v="Bebidas"/>
    <s v="Bebidas Cambio de bebida"/>
    <s v="Bebidas"/>
  </r>
  <r>
    <x v="1"/>
    <x v="3"/>
    <x v="1"/>
    <s v="MON102"/>
    <s v="Chow Fan Especial familiar"/>
    <n v="4"/>
    <n v="267600"/>
    <n v="0"/>
    <n v="129404"/>
    <n v="138196"/>
    <n v="0.51642750373692081"/>
    <n v="0"/>
    <s v="Platos mong"/>
    <s v="No Personal"/>
    <s v="Caja"/>
  </r>
  <r>
    <x v="1"/>
    <x v="3"/>
    <x v="1"/>
    <s v="ADIC490"/>
    <s v="Adicion - Pollo en trozos"/>
    <n v="3"/>
    <n v="20700"/>
    <n v="0"/>
    <n v="6735"/>
    <n v="13965"/>
    <n v="0.67463768115942024"/>
    <n v="0"/>
    <s v="Adición"/>
    <s v="Adición"/>
    <s v="Adición"/>
  </r>
  <r>
    <x v="1"/>
    <x v="3"/>
    <x v="1"/>
    <s v="BEB613"/>
    <s v="Coca Cola 400 Ml Zero CB (*Extra)"/>
    <n v="3"/>
    <n v="6900"/>
    <n v="0"/>
    <n v="6717"/>
    <n v="183"/>
    <n v="2.6521739130434784E-2"/>
    <n v="0"/>
    <s v="Bebidas"/>
    <s v="Bebidas Cambio de bebida"/>
    <s v="Bebidas"/>
  </r>
  <r>
    <x v="1"/>
    <x v="3"/>
    <x v="1"/>
    <s v="BEB610"/>
    <s v="Fusetea Durazno CB (*Extra)"/>
    <n v="3"/>
    <n v="4800"/>
    <n v="0"/>
    <n v="5622"/>
    <n v="-822"/>
    <n v="-0.17125000000000001"/>
    <n v="0"/>
    <s v="Bebidas"/>
    <s v="Bebidas Cambio de bebida"/>
    <s v="Bebidas"/>
  </r>
  <r>
    <x v="1"/>
    <x v="3"/>
    <x v="1"/>
    <s v="ADIC562"/>
    <s v="Adición Pasta"/>
    <n v="3"/>
    <n v="14700"/>
    <n v="0"/>
    <n v="9030"/>
    <n v="5670"/>
    <n v="0.38571428571428573"/>
    <n v="0"/>
    <s v="Adición"/>
    <s v="Adición"/>
    <s v="Adición"/>
  </r>
  <r>
    <x v="1"/>
    <x v="3"/>
    <x v="1"/>
    <s v="BEB605"/>
    <s v="Quatro 400 Ml CB (*Extra)"/>
    <n v="3"/>
    <n v="4643"/>
    <n v="-157"/>
    <n v="3990"/>
    <n v="653"/>
    <n v="0.14064182640534137"/>
    <n v="3.3814344174025415E-2"/>
    <s v="Bebidas"/>
    <s v="Bebidas Cambio de bebida"/>
    <s v="Bebidas"/>
  </r>
  <r>
    <x v="1"/>
    <x v="3"/>
    <x v="1"/>
    <s v="MON505"/>
    <s v="Arroz vegetales pollo personal"/>
    <n v="2"/>
    <n v="39800"/>
    <n v="0"/>
    <n v="12276"/>
    <n v="27524"/>
    <n v="0.69155778894472364"/>
    <n v="0"/>
    <s v="Platos mong"/>
    <s v="Personal"/>
    <s v="Caja"/>
  </r>
  <r>
    <x v="1"/>
    <x v="3"/>
    <x v="1"/>
    <s v="BEB608"/>
    <s v="Agua Limón 600 Ml CB (*Extra)"/>
    <n v="2"/>
    <n v="3200"/>
    <n v="0"/>
    <n v="3422"/>
    <n v="-222"/>
    <n v="-6.9375000000000006E-2"/>
    <n v="0"/>
    <s v="Bebidas"/>
    <s v="Bebidas Cambio de bebida"/>
    <s v="Bebidas"/>
  </r>
  <r>
    <x v="1"/>
    <x v="3"/>
    <x v="1"/>
    <s v="MON201"/>
    <s v="Chow Mein Especial trio"/>
    <n v="2"/>
    <n v="91800"/>
    <n v="0"/>
    <n v="38882"/>
    <n v="52918"/>
    <n v="0.57644880174291935"/>
    <n v="0"/>
    <s v="Platos mong"/>
    <s v="No Personal"/>
    <s v="Caja"/>
  </r>
  <r>
    <x v="1"/>
    <x v="3"/>
    <x v="1"/>
    <s v="BEB611"/>
    <s v="Jugo Del Valle Mandarina CB (*Extra)"/>
    <n v="2"/>
    <n v="3200"/>
    <n v="0"/>
    <n v="1900"/>
    <n v="1300"/>
    <n v="0.40625"/>
    <n v="0"/>
    <s v="Bebidas"/>
    <s v="Bebidas Cambio de bebida"/>
    <s v="Bebidas"/>
  </r>
  <r>
    <x v="1"/>
    <x v="3"/>
    <x v="1"/>
    <s v="MON301"/>
    <s v="Chop Suey Especial trio"/>
    <n v="2"/>
    <n v="93800"/>
    <n v="0"/>
    <n v="22664"/>
    <n v="71136"/>
    <n v="0.7583795309168444"/>
    <n v="0"/>
    <s v="Platos mong"/>
    <s v="No Personal"/>
    <s v="Caja"/>
  </r>
  <r>
    <x v="1"/>
    <x v="3"/>
    <x v="1"/>
    <s v="MON122"/>
    <s v="Chow Fan Pollo familiar"/>
    <n v="2"/>
    <n v="111800"/>
    <n v="0"/>
    <n v="48510"/>
    <n v="63290"/>
    <n v="0.5661001788908766"/>
    <n v="0"/>
    <s v="Platos mong"/>
    <s v="No Personal"/>
    <s v="Caja"/>
  </r>
  <r>
    <x v="1"/>
    <x v="3"/>
    <x v="1"/>
    <s v="BEB612"/>
    <s v="Jugo del valle naranja CB (*Extra)"/>
    <n v="2"/>
    <n v="3200"/>
    <n v="0"/>
    <n v="1900"/>
    <n v="1300"/>
    <n v="0.40625"/>
    <n v="0"/>
    <s v="Bebidas"/>
    <s v="Bebidas Cambio de bebida"/>
    <s v="Bebidas"/>
  </r>
  <r>
    <x v="1"/>
    <x v="3"/>
    <x v="1"/>
    <s v="MON504"/>
    <s v="Arroz vegetales camarones personal"/>
    <n v="2"/>
    <n v="55800"/>
    <n v="0"/>
    <n v="18956"/>
    <n v="36844"/>
    <n v="0.66028673835125451"/>
    <n v="0"/>
    <s v="Platos mong"/>
    <s v="Personal"/>
    <s v="Caja"/>
  </r>
  <r>
    <x v="1"/>
    <x v="3"/>
    <x v="1"/>
    <s v="BEB602"/>
    <s v="Kola Roman 400 Ml CB (*Extra)"/>
    <n v="2"/>
    <n v="3200"/>
    <n v="0"/>
    <n v="4470"/>
    <n v="-1270"/>
    <n v="-0.39687499999999998"/>
    <n v="0"/>
    <s v="Bebidas"/>
    <s v="Bebidas Cambio de bebida"/>
    <s v="Bebidas"/>
  </r>
  <r>
    <x v="1"/>
    <x v="3"/>
    <x v="1"/>
    <s v="BEB617"/>
    <s v="Fusetea mango CB (*Extra)"/>
    <n v="2"/>
    <n v="3200"/>
    <n v="0"/>
    <n v="3792"/>
    <n v="-592"/>
    <n v="-0.185"/>
    <n v="0"/>
    <s v="Bebidas"/>
    <s v="Bebidas Cambio de bebida"/>
    <s v="Bebidas"/>
  </r>
  <r>
    <x v="1"/>
    <x v="3"/>
    <x v="1"/>
    <s v="BEB597"/>
    <s v="Fusetea manzana"/>
    <n v="2"/>
    <n v="9800"/>
    <n v="0"/>
    <n v="3120"/>
    <n v="6680"/>
    <n v="0.68163265306122445"/>
    <n v="0"/>
    <s v="Bebidas"/>
    <s v="Bebidas"/>
    <s v="Bebidas"/>
  </r>
  <r>
    <x v="1"/>
    <x v="3"/>
    <x v="1"/>
    <s v="BEB600"/>
    <s v="Fuze te limón 1.2"/>
    <n v="2"/>
    <n v="16000"/>
    <n v="0"/>
    <n v="0"/>
    <n v="16000"/>
    <n v="1"/>
    <n v="0"/>
    <s v="Bebidas"/>
    <s v="Bebidas"/>
    <s v="Bebidas"/>
  </r>
  <r>
    <x v="1"/>
    <x v="3"/>
    <x v="1"/>
    <s v="MON321"/>
    <s v="Chop Suey Pollo trio"/>
    <n v="1"/>
    <n v="41900"/>
    <n v="0"/>
    <n v="11217"/>
    <n v="30683"/>
    <n v="0.73229116945107398"/>
    <n v="0"/>
    <s v="Platos mong"/>
    <s v="No Personal"/>
    <s v="Caja"/>
  </r>
  <r>
    <x v="1"/>
    <x v="3"/>
    <x v="1"/>
    <s v="ADIC561"/>
    <s v="Adición Vegetales"/>
    <n v="1"/>
    <n v="6900"/>
    <n v="0"/>
    <n v="689"/>
    <n v="6211"/>
    <n v="0.90014492753623188"/>
    <n v="0"/>
    <s v="Adición"/>
    <s v="Adición"/>
    <s v="Adición"/>
  </r>
  <r>
    <x v="1"/>
    <x v="3"/>
    <x v="1"/>
    <s v="BEB616"/>
    <s v="Agua Manzana 600 Ml CB (*Extra)"/>
    <n v="1"/>
    <n v="1600"/>
    <n v="0"/>
    <n v="2139"/>
    <n v="-539"/>
    <n v="-0.33687499999999998"/>
    <n v="0"/>
    <s v="Bebidas"/>
    <s v="Bebidas Cambio de bebida"/>
    <s v="Bebidas"/>
  </r>
  <r>
    <x v="1"/>
    <x v="3"/>
    <x v="1"/>
    <s v="BEB607"/>
    <s v="Agua Gas 600 Ml CB (*Extra)"/>
    <n v="1"/>
    <n v="1600"/>
    <n v="0"/>
    <n v="1610"/>
    <n v="-10"/>
    <n v="-6.2500000000000003E-3"/>
    <n v="0"/>
    <s v="Bebidas"/>
    <s v="Bebidas Cambio de bebida"/>
    <s v="Bebidas"/>
  </r>
  <r>
    <x v="1"/>
    <x v="3"/>
    <x v="1"/>
    <s v="BEB615"/>
    <s v="Premio 400 Ml CB (*Extra)"/>
    <n v="1"/>
    <n v="1600"/>
    <n v="0"/>
    <n v="1895"/>
    <n v="-295"/>
    <n v="-0.18437500000000001"/>
    <n v="0"/>
    <s v="Bebidas"/>
    <s v="Bebidas Cambio de bebida"/>
    <s v="Bebidas"/>
  </r>
  <r>
    <x v="1"/>
    <x v="3"/>
    <x v="1"/>
    <s v="BEB604"/>
    <s v="Sprite 400 Ml CB (*Extra)"/>
    <n v="1"/>
    <n v="1600"/>
    <n v="0"/>
    <n v="1516"/>
    <n v="84"/>
    <n v="5.2499999999999998E-2"/>
    <n v="0"/>
    <s v="Bebidas"/>
    <s v="Bebidas Cambio de bebida"/>
    <s v="Bebidas"/>
  </r>
  <r>
    <x v="1"/>
    <x v="3"/>
    <x v="1"/>
    <s v="MON302"/>
    <s v="Chop Suey Especial Familiar"/>
    <n v="1"/>
    <n v="77900"/>
    <n v="0"/>
    <n v="28057"/>
    <n v="49843"/>
    <n v="0.63983311938382537"/>
    <n v="0"/>
    <s v="Platos mong"/>
    <s v="No Personal"/>
    <s v="Caja"/>
  </r>
  <r>
    <x v="1"/>
    <x v="3"/>
    <x v="1"/>
    <s v="ADIC568"/>
    <s v="Res brocoli"/>
    <n v="1"/>
    <n v="8900"/>
    <n v="0"/>
    <n v="0"/>
    <n v="8900"/>
    <n v="1"/>
    <n v="0"/>
    <s v="Adición"/>
    <s v="Adición"/>
    <s v="Adición"/>
  </r>
  <r>
    <x v="1"/>
    <x v="3"/>
    <x v="2"/>
    <s v="BEB00"/>
    <s v="Coca Cola 250 Ml Zero CB (*Extra)"/>
    <n v="88"/>
    <n v="0"/>
    <n v="0"/>
    <n v="0"/>
    <n v="0"/>
    <n v="0"/>
    <n v="0"/>
    <s v="Bebidas"/>
    <s v="Bebidas Cambio de bebida"/>
    <s v="Bebidas"/>
  </r>
  <r>
    <x v="1"/>
    <x v="3"/>
    <x v="2"/>
    <s v="ADIC09"/>
    <s v="No deseo (*Extra)"/>
    <n v="78"/>
    <n v="0"/>
    <n v="0"/>
    <n v="0"/>
    <n v="0"/>
    <n v="0"/>
    <n v="0"/>
    <s v="Adición"/>
    <s v="Adición"/>
    <s v="Adición"/>
  </r>
  <r>
    <x v="1"/>
    <x v="3"/>
    <x v="2"/>
    <s v="RAPP02"/>
    <s v="Combo solo para mi - Chow Fan pollo"/>
    <n v="57"/>
    <n v="1058325"/>
    <n v="-702975"/>
    <n v="0"/>
    <n v="1058325"/>
    <n v="1"/>
    <n v="0.66423357664233573"/>
    <s v="Combos personales"/>
    <s v="Personal"/>
    <s v="Combo"/>
  </r>
  <r>
    <x v="1"/>
    <x v="3"/>
    <x v="2"/>
    <s v="RAPP01"/>
    <s v="El trio del sabor -Chow fan trio"/>
    <n v="47"/>
    <n v="1701900"/>
    <n v="-1273200"/>
    <n v="0"/>
    <n v="1701900"/>
    <n v="1"/>
    <n v="0.74810505905164815"/>
    <s v="Combos para compartir"/>
    <s v="No Personal"/>
    <s v="Combo"/>
  </r>
  <r>
    <x v="1"/>
    <x v="3"/>
    <x v="2"/>
    <s v="COMP01"/>
    <s v="COMBO 1- Valenciano personal"/>
    <n v="44"/>
    <n v="1091550"/>
    <n v="-312050"/>
    <n v="423588"/>
    <n v="667962"/>
    <n v="0.61193898584581563"/>
    <n v="0.28587788007878706"/>
    <s v="Combos personales"/>
    <s v="Personal"/>
    <s v="Combo"/>
  </r>
  <r>
    <x v="1"/>
    <x v="3"/>
    <x v="2"/>
    <s v="COMP14"/>
    <s v="COMBO ESTUDIANTIL- Chow fan 250 grs"/>
    <n v="32"/>
    <n v="674575"/>
    <n v="-186225"/>
    <n v="0"/>
    <n v="674575"/>
    <n v="1"/>
    <n v="0.27606270614831563"/>
    <s v="Combos personales"/>
    <s v="Personal"/>
    <s v="Caja"/>
  </r>
  <r>
    <x v="1"/>
    <x v="3"/>
    <x v="2"/>
    <s v="CAM04"/>
    <s v="Lumpia cambio (*Extra)"/>
    <n v="26"/>
    <n v="0"/>
    <n v="0"/>
    <n v="53274"/>
    <n v="-53274"/>
    <n v="0"/>
    <n v="0"/>
    <s v="Adición"/>
    <s v="Otro"/>
    <s v="Otro"/>
  </r>
  <r>
    <x v="1"/>
    <x v="3"/>
    <x v="2"/>
    <s v="ADIC08"/>
    <s v="Salsa agridulce Roja (*Extra)"/>
    <n v="16"/>
    <n v="10000"/>
    <n v="-6000"/>
    <n v="944"/>
    <n v="9056"/>
    <n v="0.90559999999999996"/>
    <n v="0.6"/>
    <s v="Adición"/>
    <s v="Adición"/>
    <s v="Adición"/>
  </r>
  <r>
    <x v="1"/>
    <x v="3"/>
    <x v="2"/>
    <s v="BEB620"/>
    <s v="Agua 280 ml CB (*Extra)"/>
    <n v="15"/>
    <n v="0"/>
    <n v="0"/>
    <n v="13020"/>
    <n v="-13020"/>
    <n v="0"/>
    <n v="0"/>
    <s v="Bebidas"/>
    <s v="Bebidas Cambio de bebida"/>
    <s v="Bebidas"/>
  </r>
  <r>
    <x v="1"/>
    <x v="3"/>
    <x v="2"/>
    <s v="COMP02"/>
    <s v="COMBO 2 - Chow fan especial personal"/>
    <n v="14"/>
    <n v="387100"/>
    <n v="-101500"/>
    <n v="133014"/>
    <n v="254086"/>
    <n v="0.65638336347197102"/>
    <n v="0.26220614828209765"/>
    <s v="Combos personales"/>
    <s v="Personal"/>
    <s v="Combo"/>
  </r>
  <r>
    <x v="1"/>
    <x v="3"/>
    <x v="2"/>
    <s v="RAPP03"/>
    <s v="La caja Poderosa -chow fan familiar"/>
    <n v="12"/>
    <n v="597350"/>
    <n v="-445450"/>
    <n v="0"/>
    <n v="597350"/>
    <n v="1"/>
    <n v="0.74571022013894706"/>
    <s v="Platos mong"/>
    <s v="No Personal"/>
    <s v="Caja"/>
  </r>
  <r>
    <x v="1"/>
    <x v="3"/>
    <x v="2"/>
    <s v="ADIC566"/>
    <s v="Pollo a la naranja"/>
    <n v="7"/>
    <n v="69300"/>
    <n v="0"/>
    <n v="0"/>
    <n v="69300"/>
    <n v="1"/>
    <n v="0"/>
    <s v="Adición"/>
    <s v="Adición"/>
    <s v="Adición"/>
  </r>
  <r>
    <x v="1"/>
    <x v="3"/>
    <x v="2"/>
    <s v="COMP05"/>
    <s v="COMBO 5 - Chow Mein especial personal"/>
    <n v="6"/>
    <n v="190950"/>
    <n v="-42450"/>
    <n v="67518"/>
    <n v="123432"/>
    <n v="0.6464100549882168"/>
    <n v="0.22230950510604872"/>
    <s v="Combos personales"/>
    <s v="Personal"/>
    <s v="Combo"/>
  </r>
  <r>
    <x v="1"/>
    <x v="3"/>
    <x v="2"/>
    <s v="ADIC03"/>
    <s v="Camarones (*Extra)"/>
    <n v="6"/>
    <n v="45600"/>
    <n v="0"/>
    <n v="18648"/>
    <n v="26952"/>
    <n v="0.59105263157894739"/>
    <n v="0"/>
    <s v="Adición"/>
    <s v="Adición"/>
    <s v="Adición"/>
  </r>
  <r>
    <x v="1"/>
    <x v="3"/>
    <x v="2"/>
    <s v="CAM03"/>
    <s v="Cambio Papas a la francesa 150 grs (*Extra)"/>
    <n v="6"/>
    <n v="5400"/>
    <n v="0"/>
    <n v="9414"/>
    <n v="-4014"/>
    <n v="-0.74333333333333329"/>
    <n v="0"/>
    <s v="Adición"/>
    <s v="Otro"/>
    <s v="Otro"/>
  </r>
  <r>
    <x v="1"/>
    <x v="3"/>
    <x v="2"/>
    <s v="BEB01"/>
    <s v="Coca Cola 250 Ml Normal CB (*Extra)"/>
    <n v="6"/>
    <n v="5000"/>
    <n v="-1000"/>
    <n v="11670"/>
    <n v="-6670"/>
    <n v="-1.3340000000000001"/>
    <n v="0.2"/>
    <s v="Bebidas"/>
    <s v="Bebidas Cambio de bebida"/>
    <s v="Bebidas"/>
  </r>
  <r>
    <x v="1"/>
    <x v="3"/>
    <x v="2"/>
    <s v="ADIC10"/>
    <s v="Cubiertos + servilletas (*Extra)"/>
    <n v="5"/>
    <n v="2400"/>
    <n v="-1600"/>
    <n v="1605"/>
    <n v="795"/>
    <n v="0.33124999999999999"/>
    <n v="0.66666666666666663"/>
    <s v="Adición"/>
    <s v="Adición"/>
    <s v="Adición"/>
  </r>
  <r>
    <x v="1"/>
    <x v="3"/>
    <x v="2"/>
    <s v="COMP03"/>
    <s v="COMBO 3 - Chop suey especial personal"/>
    <n v="5"/>
    <n v="149650"/>
    <n v="-44850"/>
    <n v="47850"/>
    <n v="101800"/>
    <n v="0.68025392582692945"/>
    <n v="0.29969929836284664"/>
    <s v="Combos personales"/>
    <s v="Personal"/>
    <s v="Combo"/>
  </r>
  <r>
    <x v="1"/>
    <x v="3"/>
    <x v="2"/>
    <s v="BEB602"/>
    <s v="Kola Roman 400 Ml CB (*Extra)"/>
    <n v="5"/>
    <n v="10000"/>
    <n v="0"/>
    <n v="11175"/>
    <n v="-1175"/>
    <n v="-0.11749999999999999"/>
    <n v="0"/>
    <s v="Bebidas"/>
    <s v="Bebidas Cambio de bebida"/>
    <s v="Bebidas"/>
  </r>
  <r>
    <x v="1"/>
    <x v="3"/>
    <x v="2"/>
    <s v="ADIC02"/>
    <s v="Pollo presa ADIC (*Extra)"/>
    <n v="5"/>
    <n v="38000"/>
    <n v="0"/>
    <n v="14245"/>
    <n v="23755"/>
    <n v="0.62513157894736837"/>
    <n v="0"/>
    <s v="Adición"/>
    <s v="Adición"/>
    <s v="Adición"/>
  </r>
  <r>
    <x v="1"/>
    <x v="3"/>
    <x v="2"/>
    <s v="ENT03"/>
    <s v="CAMARONES APANADOS"/>
    <n v="4"/>
    <n v="91600"/>
    <n v="0"/>
    <n v="24860"/>
    <n v="66740"/>
    <n v="0.72860262008733623"/>
    <n v="0"/>
    <s v="Entradas"/>
    <s v="Otro"/>
    <s v="Otro"/>
  </r>
  <r>
    <x v="1"/>
    <x v="3"/>
    <x v="2"/>
    <s v="BEB555"/>
    <s v="Coca Cola 1,5 litros CB COMBOSCOM (*Extra)"/>
    <n v="4"/>
    <n v="8000"/>
    <n v="0"/>
    <n v="0"/>
    <n v="8000"/>
    <n v="1"/>
    <n v="0"/>
    <s v="Bebidas"/>
    <s v="Bebidas Cambio de bebida"/>
    <s v="Bebidas"/>
  </r>
  <r>
    <x v="1"/>
    <x v="3"/>
    <x v="2"/>
    <s v="BEB603"/>
    <s v="Coca Cola 250 Ml Normal AB (*Extra)"/>
    <n v="4"/>
    <n v="14000"/>
    <n v="0"/>
    <n v="4652"/>
    <n v="9348"/>
    <n v="0.6677142857142857"/>
    <n v="0"/>
    <s v="Bebidas"/>
    <s v="Bebidas Cambio de bebida"/>
    <s v="Bebidas"/>
  </r>
  <r>
    <x v="1"/>
    <x v="3"/>
    <x v="2"/>
    <s v="ENT04"/>
    <s v="LUMPIAS X 2"/>
    <n v="3"/>
    <n v="34525"/>
    <n v="-4175"/>
    <n v="9417"/>
    <n v="25108"/>
    <n v="0.72724112961622012"/>
    <n v="0.12092686459087618"/>
    <s v="Entradas"/>
    <s v="Otro"/>
    <s v="Otro"/>
  </r>
  <r>
    <x v="1"/>
    <x v="3"/>
    <x v="2"/>
    <s v="COMP13"/>
    <s v="COMBO ARMA TU PLATO"/>
    <n v="3"/>
    <n v="91000"/>
    <n v="-25700"/>
    <n v="0"/>
    <n v="91000"/>
    <n v="1"/>
    <n v="0.28241758241758241"/>
    <s v="Combos personales"/>
    <s v="Personal"/>
    <s v="Combo"/>
  </r>
  <r>
    <x v="1"/>
    <x v="3"/>
    <x v="2"/>
    <s v="ATP01"/>
    <s v="Pollo a la naranja (*Extra)"/>
    <n v="3"/>
    <n v="0"/>
    <n v="0"/>
    <n v="16473"/>
    <n v="-16473"/>
    <n v="0"/>
    <n v="0"/>
    <s v="Arma tu plato"/>
    <s v="Personal"/>
    <s v="Caja"/>
  </r>
  <r>
    <x v="1"/>
    <x v="3"/>
    <x v="2"/>
    <s v="ATP10"/>
    <s v="Cerdo agridulce (*Extra)"/>
    <n v="3"/>
    <n v="0"/>
    <n v="0"/>
    <n v="16401"/>
    <n v="-16401"/>
    <n v="0"/>
    <n v="0"/>
    <s v="Arma tu plato"/>
    <s v="Personal"/>
    <s v="Caja"/>
  </r>
  <r>
    <x v="1"/>
    <x v="3"/>
    <x v="2"/>
    <s v="COMP12"/>
    <s v="Combo Sunkee"/>
    <n v="3"/>
    <n v="90500"/>
    <n v="-29200"/>
    <n v="98403"/>
    <n v="-7903"/>
    <n v="-8.7325966850828732E-2"/>
    <n v="0.32265193370165746"/>
    <s v="Combos personales"/>
    <s v="Personal"/>
    <s v="Combo"/>
  </r>
  <r>
    <x v="1"/>
    <x v="3"/>
    <x v="2"/>
    <s v="COMP04"/>
    <s v="COMBO 4 - arroz vegetales especial"/>
    <n v="3"/>
    <n v="92150"/>
    <n v="-24550"/>
    <n v="30741"/>
    <n v="61409"/>
    <n v="0.66640260444926747"/>
    <n v="0.26641345632121544"/>
    <s v="Combos personales"/>
    <s v="Personal"/>
    <s v="Combo"/>
  </r>
  <r>
    <x v="1"/>
    <x v="3"/>
    <x v="2"/>
    <s v="ADIC06"/>
    <s v="Arroz Frito ADIC (*Extra)"/>
    <n v="3"/>
    <n v="14400"/>
    <n v="0"/>
    <n v="3846"/>
    <n v="10554"/>
    <n v="0.73291666666666666"/>
    <n v="0"/>
    <s v="Adición"/>
    <s v="Adición"/>
    <s v="Adición"/>
  </r>
  <r>
    <x v="1"/>
    <x v="3"/>
    <x v="2"/>
    <s v="COMC02"/>
    <s v="COMBO AMIGOS"/>
    <n v="3"/>
    <n v="187650"/>
    <n v="-55050"/>
    <n v="70914"/>
    <n v="116736"/>
    <n v="0.62209432454036773"/>
    <n v="0.29336530775379699"/>
    <s v="Combos para compartir"/>
    <s v="No Personal"/>
    <s v="Combo"/>
  </r>
  <r>
    <x v="1"/>
    <x v="3"/>
    <x v="2"/>
    <s v="ADIC05"/>
    <s v="Vegetales salteados (*Extra)"/>
    <n v="2"/>
    <n v="6700"/>
    <n v="-6700"/>
    <n v="14"/>
    <n v="6686"/>
    <n v="0.99791044776119397"/>
    <n v="1"/>
    <s v="Adición"/>
    <s v="Adición"/>
    <s v="Adición"/>
  </r>
  <r>
    <x v="1"/>
    <x v="3"/>
    <x v="2"/>
    <s v="ATP05"/>
    <s v="Chow mein (*Extra)"/>
    <n v="2"/>
    <n v="0"/>
    <n v="0"/>
    <n v="6194"/>
    <n v="-6194"/>
    <n v="0"/>
    <n v="0"/>
    <s v="Arma tu plato"/>
    <s v="Personal"/>
    <s v="Caja"/>
  </r>
  <r>
    <x v="1"/>
    <x v="3"/>
    <x v="2"/>
    <s v="MONE700"/>
    <s v="Mong Express Chop suey pollo"/>
    <n v="2"/>
    <n v="53800"/>
    <n v="0"/>
    <n v="16366"/>
    <n v="37434"/>
    <n v="0.69579925650557617"/>
    <n v="0"/>
    <s v="Mong Express"/>
    <s v="Personal"/>
    <s v="Caja"/>
  </r>
  <r>
    <x v="1"/>
    <x v="3"/>
    <x v="2"/>
    <s v="BEB587"/>
    <s v="Agua Limón 600 Ml"/>
    <n v="2"/>
    <n v="11800"/>
    <n v="0"/>
    <n v="2746"/>
    <n v="9054"/>
    <n v="0.76728813559322029"/>
    <n v="0"/>
    <s v="Bebidas"/>
    <s v="Bebidas"/>
    <s v="Bebidas"/>
  </r>
  <r>
    <x v="1"/>
    <x v="3"/>
    <x v="2"/>
    <s v="COMC06"/>
    <s v="COMBO FAMILIAR"/>
    <n v="2"/>
    <n v="198950"/>
    <n v="-62850"/>
    <n v="93560"/>
    <n v="105390"/>
    <n v="0.52973108821311887"/>
    <n v="0.31590851972857503"/>
    <s v="Combos para compartir"/>
    <s v="No Personal"/>
    <s v="Combo"/>
  </r>
  <r>
    <x v="1"/>
    <x v="3"/>
    <x v="2"/>
    <s v="PESP05"/>
    <s v="WONG- Menú infantil"/>
    <n v="2"/>
    <n v="35200"/>
    <n v="-4600"/>
    <n v="14250"/>
    <n v="20950"/>
    <n v="0.59517045454545459"/>
    <n v="0.13068181818181818"/>
    <s v="Platos especiales"/>
    <s v="Personal"/>
    <s v="Platos Especiales"/>
  </r>
  <r>
    <x v="1"/>
    <x v="3"/>
    <x v="2"/>
    <s v="COMC04"/>
    <s v="COMBO FAMIAMIGOS"/>
    <n v="2"/>
    <n v="179000"/>
    <n v="-44800"/>
    <n v="78442"/>
    <n v="100558"/>
    <n v="0.56177653631284918"/>
    <n v="0.25027932960893856"/>
    <s v="Combos para compartir"/>
    <s v="No Personal"/>
    <s v="Combo"/>
  </r>
  <r>
    <x v="1"/>
    <x v="3"/>
    <x v="2"/>
    <s v="RAPP04"/>
    <s v="Ling - Cerdo agridulce"/>
    <n v="2"/>
    <n v="47925"/>
    <n v="-24675"/>
    <n v="0"/>
    <n v="47925"/>
    <n v="1"/>
    <n v="0.51486697965571204"/>
    <s v="Arma tu plato"/>
    <s v="Personal"/>
    <s v="Caja"/>
  </r>
  <r>
    <x v="1"/>
    <x v="3"/>
    <x v="2"/>
    <s v="ADIC560"/>
    <s v="Adición Papa frita"/>
    <n v="2"/>
    <n v="0"/>
    <n v="-15800"/>
    <n v="8196"/>
    <n v="-8196"/>
    <n v="0"/>
    <n v="0"/>
    <s v="Adición"/>
    <s v="Adición"/>
    <s v="Adición"/>
  </r>
  <r>
    <x v="1"/>
    <x v="3"/>
    <x v="2"/>
    <s v="ADIC12"/>
    <s v="Salsa Soya (*Extra)"/>
    <n v="2"/>
    <n v="2000"/>
    <n v="0"/>
    <n v="0"/>
    <n v="2000"/>
    <n v="1"/>
    <n v="0"/>
    <s v="Adición"/>
    <s v="Adición"/>
    <s v="Adición"/>
  </r>
  <r>
    <x v="1"/>
    <x v="3"/>
    <x v="2"/>
    <s v="BEB582"/>
    <s v="Kola Roman 400 Ml"/>
    <n v="1"/>
    <n v="5900"/>
    <n v="0"/>
    <n v="1330"/>
    <n v="4570"/>
    <n v="0.77457627118644068"/>
    <n v="0"/>
    <s v="Bebidas"/>
    <s v="Bebidas"/>
    <s v="Bebidas"/>
  </r>
  <r>
    <x v="1"/>
    <x v="3"/>
    <x v="2"/>
    <s v="BEB606"/>
    <s v="Agua Normal 600 Ml CB (*Extra)"/>
    <n v="1"/>
    <n v="2000"/>
    <n v="0"/>
    <n v="1368"/>
    <n v="632"/>
    <n v="0.316"/>
    <n v="0"/>
    <s v="Bebidas"/>
    <s v="Bebidas Cambio de bebida"/>
    <s v="Bebidas"/>
  </r>
  <r>
    <x v="1"/>
    <x v="3"/>
    <x v="2"/>
    <s v="COMC07"/>
    <s v="COMBO ANTOJO"/>
    <n v="1"/>
    <n v="23000"/>
    <n v="-6900"/>
    <n v="7973"/>
    <n v="15027"/>
    <n v="0.65334782608695652"/>
    <n v="0.3"/>
    <s v="Combos para compartir"/>
    <s v="No Personal"/>
    <s v="Combo"/>
  </r>
  <r>
    <x v="1"/>
    <x v="3"/>
    <x v="2"/>
    <s v="BEB638"/>
    <s v="Coca Cola 1,5 litros AB (*Extra)"/>
    <n v="1"/>
    <n v="2350"/>
    <n v="-7550"/>
    <n v="4501"/>
    <n v="-2151"/>
    <n v="-0.91531914893617017"/>
    <n v="3.2127659574468086"/>
    <s v="Bebidas"/>
    <s v="Bebidas Adiciona tu bebida"/>
    <s v="Bebidas"/>
  </r>
  <r>
    <x v="1"/>
    <x v="3"/>
    <x v="2"/>
    <s v="BEB601"/>
    <s v="Coca Cola 400 Ml Normal CB (*Extra)"/>
    <n v="1"/>
    <n v="2600"/>
    <n v="0"/>
    <n v="2235"/>
    <n v="365"/>
    <n v="0.14038461538461539"/>
    <n v="0"/>
    <s v="Bebidas"/>
    <s v="Bebidas Cambio de bebida"/>
    <s v="Bebidas"/>
  </r>
  <r>
    <x v="1"/>
    <x v="3"/>
    <x v="2"/>
    <s v="ATP04"/>
    <s v="Chop suey (*Extra)"/>
    <n v="1"/>
    <n v="0"/>
    <n v="0"/>
    <n v="2634"/>
    <n v="-2634"/>
    <n v="0"/>
    <n v="0"/>
    <s v="Arma tu plato"/>
    <s v="Personal"/>
    <s v="Caja"/>
  </r>
  <r>
    <x v="1"/>
    <x v="3"/>
    <x v="2"/>
    <s v="ADIC561"/>
    <s v="Adición Vegetales"/>
    <n v="1"/>
    <n v="0"/>
    <n v="-8900"/>
    <n v="689"/>
    <n v="-689"/>
    <n v="0"/>
    <n v="0"/>
    <s v="Adición"/>
    <s v="Adición"/>
    <s v="Adición"/>
  </r>
  <r>
    <x v="1"/>
    <x v="3"/>
    <x v="2"/>
    <s v="BEB617"/>
    <s v="Fusetea mango CB (*Extra)"/>
    <n v="1"/>
    <n v="2000"/>
    <n v="0"/>
    <n v="1896"/>
    <n v="104"/>
    <n v="5.1999999999999998E-2"/>
    <n v="0"/>
    <s v="Bebidas"/>
    <s v="Bebidas Cambio de bebida"/>
    <s v="Bebidas"/>
  </r>
  <r>
    <x v="1"/>
    <x v="3"/>
    <x v="2"/>
    <s v="ADIC11"/>
    <s v="Salsa Teriyaki (*Extra)"/>
    <n v="1"/>
    <n v="1000"/>
    <n v="0"/>
    <n v="0"/>
    <n v="1000"/>
    <n v="1"/>
    <n v="0"/>
    <s v="Adición"/>
    <s v="Adición"/>
    <s v="Adición"/>
  </r>
  <r>
    <x v="1"/>
    <x v="3"/>
    <x v="2"/>
    <s v="BEB608"/>
    <s v="Agua Limón 600 Ml CB (*Extra)"/>
    <n v="1"/>
    <n v="2000"/>
    <n v="0"/>
    <n v="1711"/>
    <n v="289"/>
    <n v="0.14449999999999999"/>
    <n v="0"/>
    <s v="Bebidas"/>
    <s v="Bebidas Cambio de bebida"/>
    <s v="Bebidas"/>
  </r>
  <r>
    <x v="1"/>
    <x v="3"/>
    <x v="2"/>
    <s v="BEB581"/>
    <s v="Coca Cola 400 Ml Normal"/>
    <n v="1"/>
    <n v="6500"/>
    <n v="0"/>
    <n v="1695"/>
    <n v="4805"/>
    <n v="0.73923076923076925"/>
    <n v="0"/>
    <s v="Bebidas"/>
    <s v="Bebidas"/>
    <s v="Bebidas"/>
  </r>
  <r>
    <x v="1"/>
    <x v="3"/>
    <x v="2"/>
    <s v="BEB604"/>
    <s v="Sprite 400 Ml CB (*Extra)"/>
    <n v="1"/>
    <n v="2000"/>
    <n v="0"/>
    <n v="1516"/>
    <n v="484"/>
    <n v="0.24199999999999999"/>
    <n v="0"/>
    <s v="Bebidas"/>
    <s v="Bebidas Cambio de bebida"/>
    <s v="Bebidas"/>
  </r>
  <r>
    <x v="1"/>
    <x v="3"/>
    <x v="2"/>
    <s v="BEB596"/>
    <s v="Fusetea mango"/>
    <n v="1"/>
    <n v="5900"/>
    <n v="0"/>
    <n v="1896"/>
    <n v="4004"/>
    <n v="0.67864406779661013"/>
    <n v="0"/>
    <s v="Bebidas"/>
    <s v="Bebidas"/>
    <s v="Bebidas"/>
  </r>
  <r>
    <x v="1"/>
    <x v="3"/>
    <x v="2"/>
    <s v="ADIC04"/>
    <s v="Pollo picado (*Extra)"/>
    <n v="1"/>
    <n v="8000"/>
    <n v="0"/>
    <n v="1747"/>
    <n v="6253"/>
    <n v="0.78162500000000001"/>
    <n v="0"/>
    <s v="Adición"/>
    <s v="Adición"/>
    <s v="Adición"/>
  </r>
  <r>
    <x v="1"/>
    <x v="3"/>
    <x v="2"/>
    <s v="BEB616"/>
    <s v="Agua Manzana 600 Ml CB (*Extra)"/>
    <n v="1"/>
    <n v="2000"/>
    <n v="0"/>
    <n v="2139"/>
    <n v="-139"/>
    <n v="-6.9500000000000006E-2"/>
    <n v="0"/>
    <s v="Bebidas"/>
    <s v="Bebidas Cambio de bebida"/>
    <s v="Bebidas"/>
  </r>
  <r>
    <x v="1"/>
    <x v="3"/>
    <x v="0"/>
    <s v="MON301"/>
    <s v="Chop Suey Especial trio"/>
    <n v="35"/>
    <n v="1330236"/>
    <n v="-171264"/>
    <n v="396620"/>
    <n v="933616"/>
    <n v="0.70184237984838782"/>
    <n v="0.12874707946559857"/>
    <s v="Platos mong"/>
    <s v="No Personal"/>
    <s v="Caja"/>
  </r>
  <r>
    <x v="1"/>
    <x v="3"/>
    <x v="0"/>
    <s v="ENT04"/>
    <s v="LUMPIAS X 2"/>
    <n v="35"/>
    <n v="298885"/>
    <n v="-12615"/>
    <n v="109865"/>
    <n v="189020"/>
    <n v="0.63241715040902025"/>
    <n v="4.2206868862606016E-2"/>
    <s v="Entradas"/>
    <s v="Otro"/>
    <s v="Otro"/>
  </r>
  <r>
    <x v="1"/>
    <x v="3"/>
    <x v="0"/>
    <s v="MON132"/>
    <s v="Chow Fan Valenciano familiar"/>
    <n v="24"/>
    <n v="1472245"/>
    <n v="-133355"/>
    <n v="831720"/>
    <n v="640525"/>
    <n v="0.43506685368264114"/>
    <n v="9.0579353300571583E-2"/>
    <s v="Platos mong"/>
    <s v="No Personal"/>
    <s v="Caja"/>
  </r>
  <r>
    <x v="1"/>
    <x v="3"/>
    <x v="0"/>
    <s v="MON101"/>
    <s v="Chow fan especial trio"/>
    <n v="21"/>
    <n v="837900"/>
    <n v="0"/>
    <n v="421113"/>
    <n v="416787"/>
    <n v="0.49741854636591476"/>
    <n v="0"/>
    <s v="Platos mong"/>
    <s v="No Personal"/>
    <s v="Platos Especiales"/>
  </r>
  <r>
    <x v="1"/>
    <x v="3"/>
    <x v="0"/>
    <s v="MON100"/>
    <s v="Chow Fan Especial Personal"/>
    <n v="20"/>
    <n v="398000"/>
    <n v="0"/>
    <n v="135360"/>
    <n v="262640"/>
    <n v="0.65989949748743715"/>
    <n v="0"/>
    <s v="Platos mong"/>
    <s v="Personal"/>
    <s v="Caja"/>
  </r>
  <r>
    <x v="1"/>
    <x v="3"/>
    <x v="0"/>
    <s v="MON102"/>
    <s v="Chow Fan Especial familiar"/>
    <n v="19"/>
    <n v="936645"/>
    <n v="-11455"/>
    <n v="614669"/>
    <n v="321976"/>
    <n v="0.34375457083526845"/>
    <n v="1.2229820262746291E-2"/>
    <s v="Platos mong"/>
    <s v="No Personal"/>
    <s v="Caja"/>
  </r>
  <r>
    <x v="1"/>
    <x v="3"/>
    <x v="0"/>
    <s v="MON450"/>
    <s v="Arma tu plato"/>
    <n v="17"/>
    <n v="405257"/>
    <n v="-18043"/>
    <n v="0"/>
    <n v="405257"/>
    <n v="1"/>
    <n v="4.4522364820348569E-2"/>
    <s v="Arma tu plato"/>
    <s v="Personal"/>
    <s v="Caja"/>
  </r>
  <r>
    <x v="1"/>
    <x v="3"/>
    <x v="0"/>
    <s v="COMP01"/>
    <s v="COMBO 1- Valenciano personal"/>
    <n v="17"/>
    <n v="403900"/>
    <n v="-2400"/>
    <n v="163659"/>
    <n v="240241"/>
    <n v="0.59480316910126274"/>
    <n v="5.9420648675414705E-3"/>
    <s v="Combos personales"/>
    <s v="Personal"/>
    <s v="Combo"/>
  </r>
  <r>
    <x v="1"/>
    <x v="3"/>
    <x v="0"/>
    <s v="ENT02"/>
    <s v="LUMPIA X 1"/>
    <n v="16"/>
    <n v="70763"/>
    <n v="-9237"/>
    <n v="25104"/>
    <n v="45659"/>
    <n v="0.64523833076607828"/>
    <n v="0.13053431878241453"/>
    <s v="Entradas"/>
    <s v="Otro"/>
    <s v="Otro"/>
  </r>
  <r>
    <x v="1"/>
    <x v="3"/>
    <x v="0"/>
    <s v="ADIC560"/>
    <s v="Adición Papa frita"/>
    <n v="14"/>
    <n v="81666"/>
    <n v="-934"/>
    <n v="57372"/>
    <n v="24294"/>
    <n v="0.29747997942840348"/>
    <n v="1.1436828055739231E-2"/>
    <s v="Adición"/>
    <s v="Adición"/>
    <s v="Adición"/>
  </r>
  <r>
    <x v="1"/>
    <x v="3"/>
    <x v="0"/>
    <s v="MON131"/>
    <s v="Chow Fan Valenciano trio"/>
    <n v="14"/>
    <n v="679945"/>
    <n v="-18655"/>
    <n v="263452"/>
    <n v="416493"/>
    <n v="0.61253924949812122"/>
    <n v="2.7436042621094354E-2"/>
    <s v="Platos mong"/>
    <s v="No Personal"/>
    <s v="Caja"/>
  </r>
  <r>
    <x v="1"/>
    <x v="3"/>
    <x v="0"/>
    <s v="COMC02"/>
    <s v="COMBO AMIGOS"/>
    <n v="12"/>
    <n v="620800"/>
    <n v="-26000"/>
    <n v="283656"/>
    <n v="337144"/>
    <n v="0.54307989690721648"/>
    <n v="4.1881443298969069E-2"/>
    <s v="Combos para compartir"/>
    <s v="No Personal"/>
    <s v="Combo"/>
  </r>
  <r>
    <x v="1"/>
    <x v="3"/>
    <x v="0"/>
    <s v="COMP03"/>
    <s v="COMBO 3 - Chop suey especial personal"/>
    <n v="12"/>
    <n v="335887"/>
    <n v="-10913"/>
    <n v="114840"/>
    <n v="221047"/>
    <n v="0.65809930125310001"/>
    <n v="3.2490093394504697E-2"/>
    <s v="Combos personales"/>
    <s v="Personal"/>
    <s v="Combo"/>
  </r>
  <r>
    <x v="1"/>
    <x v="3"/>
    <x v="0"/>
    <s v="ATP01"/>
    <s v="Pollo a la naranja (*Extra)"/>
    <n v="11"/>
    <n v="0"/>
    <n v="0"/>
    <n v="60401"/>
    <n v="-60401"/>
    <n v="0"/>
    <n v="0"/>
    <s v="Arma tu plato"/>
    <s v="Personal"/>
    <s v="Caja"/>
  </r>
  <r>
    <x v="1"/>
    <x v="3"/>
    <x v="0"/>
    <s v="BEB598"/>
    <s v="Coca Cola 1,5 litros"/>
    <n v="10"/>
    <n v="97735"/>
    <n v="-1265"/>
    <n v="45010"/>
    <n v="52725"/>
    <n v="0.53946897222080115"/>
    <n v="1.2943162633652222E-2"/>
    <s v="Bebidas"/>
    <s v="Bebidas"/>
    <s v="Bebidas"/>
  </r>
  <r>
    <x v="1"/>
    <x v="3"/>
    <x v="0"/>
    <s v="ATP06"/>
    <s v="Arroz Frito ATP (*Extra)"/>
    <n v="9"/>
    <n v="0"/>
    <n v="0"/>
    <n v="11538"/>
    <n v="-11538"/>
    <n v="0"/>
    <n v="0"/>
    <s v="Arma tu plato"/>
    <s v="Personal"/>
    <s v="Caja"/>
  </r>
  <r>
    <x v="1"/>
    <x v="3"/>
    <x v="0"/>
    <s v="BEB581"/>
    <s v="Coca Cola 400 Ml Normal"/>
    <n v="9"/>
    <n v="53100"/>
    <n v="0"/>
    <n v="15255"/>
    <n v="37845"/>
    <n v="0.71271186440677969"/>
    <n v="0"/>
    <s v="Bebidas"/>
    <s v="Bebidas"/>
    <s v="Bebidas"/>
  </r>
  <r>
    <x v="1"/>
    <x v="3"/>
    <x v="0"/>
    <s v="MON110"/>
    <s v="Chow Fan Camarones Personal"/>
    <n v="9"/>
    <n v="205971"/>
    <n v="-129"/>
    <n v="84636"/>
    <n v="121335"/>
    <n v="0.58908778420263042"/>
    <n v="6.2630176092750916E-4"/>
    <s v="Platos mong"/>
    <s v="Personal"/>
    <s v="Caja"/>
  </r>
  <r>
    <x v="1"/>
    <x v="3"/>
    <x v="0"/>
    <s v="ATP09"/>
    <s v="Res brócoli (*Extra)"/>
    <n v="9"/>
    <n v="0"/>
    <n v="0"/>
    <n v="29898"/>
    <n v="-29898"/>
    <n v="0"/>
    <n v="0"/>
    <s v="Arma tu plato"/>
    <s v="Personal"/>
    <s v="Caja"/>
  </r>
  <r>
    <x v="1"/>
    <x v="3"/>
    <x v="0"/>
    <s v="MON300"/>
    <s v="Chop suey especial personal"/>
    <n v="8"/>
    <n v="167081"/>
    <n v="-119"/>
    <n v="54704"/>
    <n v="112377"/>
    <n v="0.67258994140566553"/>
    <n v="7.122293977172749E-4"/>
    <s v="Platos mong"/>
    <s v="Personal"/>
    <s v="Caja"/>
  </r>
  <r>
    <x v="1"/>
    <x v="3"/>
    <x v="0"/>
    <s v="ADIC564"/>
    <s v="Adición Presa de pollo"/>
    <n v="8"/>
    <n v="55082"/>
    <n v="-118"/>
    <n v="19712"/>
    <n v="35370"/>
    <n v="0.6421335463490796"/>
    <n v="2.1422606296067682E-3"/>
    <s v="Adición"/>
    <s v="Adición"/>
    <s v="Adición"/>
  </r>
  <r>
    <x v="1"/>
    <x v="3"/>
    <x v="0"/>
    <s v="COMP02"/>
    <s v="COMBO 2 - Chow fan especial personal"/>
    <n v="8"/>
    <n v="207200"/>
    <n v="0"/>
    <n v="76008"/>
    <n v="131192"/>
    <n v="0.63316602316602322"/>
    <n v="0"/>
    <s v="Combos personales"/>
    <s v="Personal"/>
    <s v="Combo"/>
  </r>
  <r>
    <x v="1"/>
    <x v="3"/>
    <x v="0"/>
    <s v="ATP02"/>
    <s v="Camarones apanados 7 (*Extra)"/>
    <n v="7"/>
    <n v="13392"/>
    <n v="-608"/>
    <n v="21756"/>
    <n v="-8364"/>
    <n v="-0.62455197132616491"/>
    <n v="4.5400238948626048E-2"/>
    <s v="Arma tu plato"/>
    <s v="Personal"/>
    <s v="Caja"/>
  </r>
  <r>
    <x v="1"/>
    <x v="3"/>
    <x v="0"/>
    <s v="COMP05"/>
    <s v="COMBO 5 - Chow Mein especial personal"/>
    <n v="7"/>
    <n v="198037"/>
    <n v="-4263"/>
    <n v="78771"/>
    <n v="119266"/>
    <n v="0.60224099536955211"/>
    <n v="2.1526280442543566E-2"/>
    <s v="Combos personales"/>
    <s v="Personal"/>
    <s v="Combo"/>
  </r>
  <r>
    <x v="1"/>
    <x v="3"/>
    <x v="0"/>
    <s v="MON320"/>
    <s v="Chop Suey Pollo Personal"/>
    <n v="7"/>
    <n v="122601"/>
    <n v="-9699"/>
    <n v="38227"/>
    <n v="84374"/>
    <n v="0.6881999331163694"/>
    <n v="7.9110284581691837E-2"/>
    <s v="Platos mong"/>
    <s v="Personal"/>
    <s v="Caja"/>
  </r>
  <r>
    <x v="1"/>
    <x v="3"/>
    <x v="0"/>
    <s v="MON103"/>
    <s v="Chow Fan Especial megafamiliar"/>
    <n v="7"/>
    <n v="532065"/>
    <n v="-41235"/>
    <n v="298928"/>
    <n v="233137"/>
    <n v="0.43817390732335337"/>
    <n v="7.7499929519889488E-2"/>
    <s v="Platos mong"/>
    <s v="No Personal"/>
    <s v="Caja"/>
  </r>
  <r>
    <x v="1"/>
    <x v="3"/>
    <x v="0"/>
    <s v="MON121"/>
    <s v="Chow Fan Pollo trio"/>
    <n v="6"/>
    <n v="203400"/>
    <n v="0"/>
    <n v="85386"/>
    <n v="118014"/>
    <n v="0.58020648967551625"/>
    <n v="0"/>
    <s v="Platos mong"/>
    <s v="No Personal"/>
    <s v="Caja"/>
  </r>
  <r>
    <x v="1"/>
    <x v="3"/>
    <x v="0"/>
    <s v="MONE701"/>
    <s v="Mong Express Chow fan"/>
    <n v="5"/>
    <n v="96500"/>
    <n v="-3000"/>
    <n v="0"/>
    <n v="96500"/>
    <n v="1"/>
    <n v="3.1088082901554404E-2"/>
    <s v="Mong Express"/>
    <s v="Personal"/>
    <s v="Caja"/>
  </r>
  <r>
    <x v="1"/>
    <x v="3"/>
    <x v="0"/>
    <s v="MON122"/>
    <s v="Chow Fan Pollo familiar"/>
    <n v="5"/>
    <n v="209500"/>
    <n v="0"/>
    <n v="121275"/>
    <n v="88225"/>
    <n v="0.42112171837708828"/>
    <n v="0"/>
    <s v="Platos mong"/>
    <s v="No Personal"/>
    <s v="Caja"/>
  </r>
  <r>
    <x v="1"/>
    <x v="3"/>
    <x v="0"/>
    <s v="MON130"/>
    <s v="Chow Fan Valenciano Personal"/>
    <n v="5"/>
    <n v="109500"/>
    <n v="0"/>
    <n v="42320"/>
    <n v="67180"/>
    <n v="0.61351598173515987"/>
    <n v="0"/>
    <s v="Platos mong"/>
    <s v="Personal"/>
    <s v="Caja"/>
  </r>
  <r>
    <x v="1"/>
    <x v="3"/>
    <x v="0"/>
    <s v="MON133"/>
    <s v="Chow fan valenciano megafamiliar"/>
    <n v="5"/>
    <n v="407363"/>
    <n v="-22137"/>
    <n v="243040"/>
    <n v="164323"/>
    <n v="0.40338224139158441"/>
    <n v="5.434219602663963E-2"/>
    <s v="Platos mong"/>
    <s v="No Personal"/>
    <s v="Caja"/>
  </r>
  <r>
    <x v="1"/>
    <x v="3"/>
    <x v="0"/>
    <s v="MON120"/>
    <s v="Chow Fan Pollo Personal"/>
    <n v="5"/>
    <n v="79500"/>
    <n v="0"/>
    <n v="30320"/>
    <n v="49180"/>
    <n v="0.61861635220125788"/>
    <n v="0"/>
    <s v="Platos mong"/>
    <s v="Personal"/>
    <s v="Caja"/>
  </r>
  <r>
    <x v="1"/>
    <x v="3"/>
    <x v="0"/>
    <s v="ADIC563"/>
    <s v="Adición Arroz Frito"/>
    <n v="4"/>
    <n v="21622"/>
    <n v="-1978"/>
    <n v="5128"/>
    <n v="16494"/>
    <n v="0.76283415040236791"/>
    <n v="9.1480899084266029E-2"/>
    <s v="Adición"/>
    <s v="Adición"/>
    <s v="Adición"/>
  </r>
  <r>
    <x v="1"/>
    <x v="3"/>
    <x v="0"/>
    <s v="COMC04"/>
    <s v="COMBO FAMIAMIGOS"/>
    <n v="4"/>
    <n v="266357"/>
    <n v="-13243"/>
    <n v="156884"/>
    <n v="109473"/>
    <n v="0.41100102494021185"/>
    <n v="4.971898617269304E-2"/>
    <s v="Combos para compartir"/>
    <s v="No Personal"/>
    <s v="Combo"/>
  </r>
  <r>
    <x v="1"/>
    <x v="3"/>
    <x v="0"/>
    <s v="ATP10"/>
    <s v="Cerdo agridulce (*Extra)"/>
    <n v="4"/>
    <n v="0"/>
    <n v="0"/>
    <n v="21868"/>
    <n v="-21868"/>
    <n v="0"/>
    <n v="0"/>
    <s v="Arma tu plato"/>
    <s v="Personal"/>
    <s v="Caja"/>
  </r>
  <r>
    <x v="1"/>
    <x v="3"/>
    <x v="0"/>
    <s v="MON302"/>
    <s v="Chop Suey Especial Familiar"/>
    <n v="4"/>
    <n v="226600"/>
    <n v="-5000"/>
    <n v="112228"/>
    <n v="114372"/>
    <n v="0.50473080317740515"/>
    <n v="2.2065313327449251E-2"/>
    <s v="Platos mong"/>
    <s v="No Personal"/>
    <s v="Caja"/>
  </r>
  <r>
    <x v="1"/>
    <x v="3"/>
    <x v="0"/>
    <s v="MONE700"/>
    <s v="Mong Express Chop suey pollo"/>
    <n v="4"/>
    <n v="79600"/>
    <n v="0"/>
    <n v="32732"/>
    <n v="46868"/>
    <n v="0.58879396984924626"/>
    <n v="0"/>
    <s v="Mong Express"/>
    <s v="Personal"/>
    <s v="Caja"/>
  </r>
  <r>
    <x v="1"/>
    <x v="3"/>
    <x v="0"/>
    <s v="MON200"/>
    <s v="Chow Mein Especial Personal"/>
    <n v="4"/>
    <n v="71241"/>
    <n v="-12359"/>
    <n v="34084"/>
    <n v="37157"/>
    <n v="0.52156763661374772"/>
    <n v="0.17348156258334385"/>
    <s v="Platos mong"/>
    <s v="Personal"/>
    <s v="Caja"/>
  </r>
  <r>
    <x v="1"/>
    <x v="3"/>
    <x v="0"/>
    <s v="MON310"/>
    <s v="Chop suey camarón personal"/>
    <n v="4"/>
    <n v="95600"/>
    <n v="0"/>
    <n v="35028"/>
    <n v="60572"/>
    <n v="0.6335983263598326"/>
    <n v="0"/>
    <s v="Platos mong"/>
    <s v="Personal"/>
    <s v="Caja"/>
  </r>
  <r>
    <x v="1"/>
    <x v="3"/>
    <x v="0"/>
    <s v="BEB600"/>
    <s v="Fuze te limón 1.2"/>
    <n v="4"/>
    <n v="30755"/>
    <n v="-1245"/>
    <n v="0"/>
    <n v="30755"/>
    <n v="1"/>
    <n v="4.0481222565436514E-2"/>
    <s v="Bebidas"/>
    <s v="Bebidas"/>
    <s v="Bebidas"/>
  </r>
  <r>
    <x v="1"/>
    <x v="3"/>
    <x v="0"/>
    <s v="MON321"/>
    <s v="Chop Suey Pollo trio"/>
    <n v="4"/>
    <n v="139600"/>
    <n v="0"/>
    <n v="44868"/>
    <n v="94732"/>
    <n v="0.67859598853868197"/>
    <n v="0"/>
    <s v="Platos mong"/>
    <s v="No Personal"/>
    <s v="Caja"/>
  </r>
  <r>
    <x v="1"/>
    <x v="3"/>
    <x v="0"/>
    <s v="ATP03"/>
    <s v="Arroz vegetales (*Extra)"/>
    <n v="3"/>
    <n v="5392"/>
    <n v="-608"/>
    <n v="6105"/>
    <n v="-713"/>
    <n v="-0.13223293768545993"/>
    <n v="0.11275964391691394"/>
    <s v="Arma tu plato"/>
    <s v="Personal"/>
    <s v="Caja"/>
  </r>
  <r>
    <x v="1"/>
    <x v="3"/>
    <x v="0"/>
    <s v="BEB580"/>
    <s v="Coca Cola 250 Ml Normal"/>
    <n v="3"/>
    <n v="11033"/>
    <n v="-667"/>
    <n v="3489"/>
    <n v="7544"/>
    <n v="0.68376688117465789"/>
    <n v="6.0454998640442306E-2"/>
    <s v="Bebidas"/>
    <s v="Bebidas"/>
    <s v="Bebidas"/>
  </r>
  <r>
    <x v="1"/>
    <x v="3"/>
    <x v="0"/>
    <s v="ENT03"/>
    <s v="CAMARONES APANADOS"/>
    <n v="3"/>
    <n v="50700"/>
    <n v="0"/>
    <n v="18645"/>
    <n v="32055"/>
    <n v="0.63224852071005921"/>
    <n v="0"/>
    <s v="Entradas"/>
    <s v="Otro"/>
    <s v="Otro"/>
  </r>
  <r>
    <x v="1"/>
    <x v="3"/>
    <x v="0"/>
    <s v="PESP01"/>
    <s v="MING"/>
    <n v="3"/>
    <n v="86700"/>
    <n v="0"/>
    <n v="22815"/>
    <n v="63885"/>
    <n v="0.73685121107266438"/>
    <n v="0"/>
    <s v="Platos especiales"/>
    <s v="Personal"/>
    <s v="Platos Especiales"/>
  </r>
  <r>
    <x v="1"/>
    <x v="3"/>
    <x v="0"/>
    <s v="ADIC565"/>
    <s v="Adición Camaron"/>
    <n v="3"/>
    <n v="20700"/>
    <n v="0"/>
    <n v="9324"/>
    <n v="11376"/>
    <n v="0.54956521739130437"/>
    <n v="0"/>
    <s v="Adición"/>
    <s v="Adición"/>
    <s v="Adición"/>
  </r>
  <r>
    <x v="1"/>
    <x v="3"/>
    <x v="0"/>
    <s v="ATP04"/>
    <s v="Chop suey (*Extra)"/>
    <n v="3"/>
    <n v="0"/>
    <n v="0"/>
    <n v="7902"/>
    <n v="-7902"/>
    <n v="0"/>
    <n v="0"/>
    <s v="Arma tu plato"/>
    <s v="Personal"/>
    <s v="Caja"/>
  </r>
  <r>
    <x v="1"/>
    <x v="3"/>
    <x v="0"/>
    <s v="BEB593"/>
    <s v="Coca Cola 250 Ml Zero"/>
    <n v="3"/>
    <n v="10366"/>
    <n v="-1334"/>
    <n v="3873"/>
    <n v="6493"/>
    <n v="0.62637468647501449"/>
    <n v="0.12868994790661778"/>
    <s v="Bebidas"/>
    <s v="Bebidas"/>
    <s v="Bebidas"/>
  </r>
  <r>
    <x v="1"/>
    <x v="3"/>
    <x v="0"/>
    <s v="BEB585"/>
    <s v="Agua Normal 600 Ml"/>
    <n v="2"/>
    <n v="9800"/>
    <n v="0"/>
    <n v="2190"/>
    <n v="7610"/>
    <n v="0.77653061224489794"/>
    <n v="0"/>
    <s v="Bebidas"/>
    <s v="Bebidas"/>
    <s v="Bebidas"/>
  </r>
  <r>
    <x v="1"/>
    <x v="3"/>
    <x v="0"/>
    <s v="BEB620"/>
    <s v="Agua 280 ml CB (*Extra)"/>
    <n v="2"/>
    <n v="0"/>
    <n v="0"/>
    <n v="1736"/>
    <n v="-1736"/>
    <n v="0"/>
    <n v="0"/>
    <s v="Bebidas"/>
    <s v="Bebidas Cambio de bebida"/>
    <s v="Bebidas"/>
  </r>
  <r>
    <x v="1"/>
    <x v="3"/>
    <x v="0"/>
    <s v="COMP10"/>
    <s v="COMBO - Lumpia y Coca Cola 250 ml"/>
    <n v="2"/>
    <n v="15800"/>
    <n v="0"/>
    <n v="0"/>
    <n v="15800"/>
    <n v="1"/>
    <n v="0"/>
    <s v="Armalo en combo"/>
    <s v="Personal"/>
    <s v="Combo"/>
  </r>
  <r>
    <x v="1"/>
    <x v="3"/>
    <x v="0"/>
    <s v="ATP05"/>
    <s v="Chow mein (*Extra)"/>
    <n v="2"/>
    <n v="0"/>
    <n v="0"/>
    <n v="6194"/>
    <n v="-6194"/>
    <n v="0"/>
    <n v="0"/>
    <s v="Arma tu plato"/>
    <s v="Personal"/>
    <s v="Caja"/>
  </r>
  <r>
    <x v="1"/>
    <x v="3"/>
    <x v="0"/>
    <s v="BEB588"/>
    <s v="Fusetea Limon"/>
    <n v="2"/>
    <n v="9800"/>
    <n v="0"/>
    <n v="3120"/>
    <n v="6680"/>
    <n v="0.68163265306122445"/>
    <n v="0"/>
    <s v="Bebidas"/>
    <s v="Bebidas"/>
    <s v="Bebidas"/>
  </r>
  <r>
    <x v="1"/>
    <x v="3"/>
    <x v="0"/>
    <s v="MON123"/>
    <s v="Chow Fan Pollo megafamiliar"/>
    <n v="2"/>
    <n v="127800"/>
    <n v="0"/>
    <n v="64358"/>
    <n v="63442"/>
    <n v="0.49641627543035993"/>
    <n v="0"/>
    <s v="Platos mong"/>
    <s v="No Personal"/>
    <s v="Caja"/>
  </r>
  <r>
    <x v="1"/>
    <x v="3"/>
    <x v="0"/>
    <s v="PESP05"/>
    <s v="WONG- Menú infantil"/>
    <n v="2"/>
    <n v="33800"/>
    <n v="0"/>
    <n v="14250"/>
    <n v="19550"/>
    <n v="0.57840236686390534"/>
    <n v="0"/>
    <s v="Platos especiales"/>
    <s v="Personal"/>
    <s v="Platos Especiales"/>
  </r>
  <r>
    <x v="1"/>
    <x v="3"/>
    <x v="0"/>
    <s v="BEB01"/>
    <s v="Coca Cola 250 Ml Normal CB (*Extra)"/>
    <n v="2"/>
    <n v="2000"/>
    <n v="0"/>
    <n v="3890"/>
    <n v="-1890"/>
    <n v="-0.94499999999999995"/>
    <n v="0"/>
    <s v="Bebidas"/>
    <s v="Bebidas Cambio de bebida"/>
    <s v="Bebidas"/>
  </r>
  <r>
    <x v="1"/>
    <x v="3"/>
    <x v="0"/>
    <s v="MON220"/>
    <s v="Chow Mein Pollo Personal"/>
    <n v="1"/>
    <n v="17900"/>
    <n v="0"/>
    <n v="7141"/>
    <n v="10759"/>
    <n v="0.60106145251396648"/>
    <n v="0"/>
    <s v="Platos mong"/>
    <s v="Personal"/>
    <s v="Caja"/>
  </r>
  <r>
    <x v="1"/>
    <x v="3"/>
    <x v="0"/>
    <s v="BEB586"/>
    <s v="Agua Gas 600 Ml"/>
    <n v="1"/>
    <n v="4900"/>
    <n v="0"/>
    <n v="1288"/>
    <n v="3612"/>
    <n v="0.7371428571428571"/>
    <n v="0"/>
    <s v="Bebidas"/>
    <s v="Bebidas"/>
    <s v="Bebidas"/>
  </r>
  <r>
    <x v="1"/>
    <x v="3"/>
    <x v="0"/>
    <s v="ATP07"/>
    <s v="Pollo presa ATP (*Extra)"/>
    <n v="1"/>
    <n v="0"/>
    <n v="0"/>
    <n v="2849"/>
    <n v="-2849"/>
    <n v="0"/>
    <n v="0"/>
    <s v="Arma tu plato"/>
    <s v="Personal"/>
    <s v="Caja"/>
  </r>
  <r>
    <x v="1"/>
    <x v="3"/>
    <x v="0"/>
    <s v="ATP08"/>
    <s v="Pollo Apanado ATP (*Extra)"/>
    <n v="1"/>
    <n v="0"/>
    <n v="0"/>
    <n v="5263"/>
    <n v="-5263"/>
    <n v="0"/>
    <n v="0"/>
    <s v="Arma tu plato"/>
    <s v="Personal"/>
    <s v="Caja"/>
  </r>
  <r>
    <x v="1"/>
    <x v="3"/>
    <x v="0"/>
    <s v="COMC07"/>
    <s v="COMBO ANTOJO"/>
    <n v="1"/>
    <n v="20900"/>
    <n v="0"/>
    <n v="7973"/>
    <n v="12927"/>
    <n v="0.61851674641148324"/>
    <n v="0"/>
    <s v="Combos para compartir"/>
    <s v="No Personal"/>
    <s v="Combo"/>
  </r>
  <r>
    <x v="1"/>
    <x v="3"/>
    <x v="0"/>
    <s v="MON201"/>
    <s v="Chow Mein Especial trio"/>
    <n v="1"/>
    <n v="38978"/>
    <n v="-3922"/>
    <n v="19441"/>
    <n v="19537"/>
    <n v="0.50123146390271434"/>
    <n v="0.10062086305095182"/>
    <s v="Platos mong"/>
    <s v="No Personal"/>
    <s v="Caja"/>
  </r>
  <r>
    <x v="1"/>
    <x v="3"/>
    <x v="0"/>
    <s v="MON111"/>
    <s v="Chow Fan Camarones trio"/>
    <n v="1"/>
    <n v="47900"/>
    <n v="0"/>
    <n v="20911"/>
    <n v="26989"/>
    <n v="0.56344467640918583"/>
    <n v="0"/>
    <s v="Platos mong"/>
    <s v="No Personal"/>
    <s v="Caja"/>
  </r>
  <r>
    <x v="1"/>
    <x v="3"/>
    <x v="0"/>
    <s v="COMC06"/>
    <s v="COMBO FAMILIAR"/>
    <n v="1"/>
    <n v="96900"/>
    <n v="0"/>
    <n v="46780"/>
    <n v="50120"/>
    <n v="0.51723426212590295"/>
    <n v="0"/>
    <s v="Combos para compartir"/>
    <s v="No Personal"/>
    <s v="Combo"/>
  </r>
  <r>
    <x v="1"/>
    <x v="3"/>
    <x v="0"/>
    <s v="BEB589"/>
    <s v="Fusetea Durazno"/>
    <n v="1"/>
    <n v="4900"/>
    <n v="0"/>
    <n v="1560"/>
    <n v="3340"/>
    <n v="0.68163265306122445"/>
    <n v="0"/>
    <s v="Bebidas"/>
    <s v="Bebidas"/>
    <s v="Bebidas"/>
  </r>
  <r>
    <x v="1"/>
    <x v="3"/>
    <x v="0"/>
    <s v="MON202"/>
    <s v="Chow Mein Especial Familiar"/>
    <n v="1"/>
    <n v="57900"/>
    <n v="0"/>
    <n v="37744"/>
    <n v="20156"/>
    <n v="0.34811744386873922"/>
    <n v="0"/>
    <s v="Platos mong"/>
    <s v="No Personal"/>
    <s v="Caja"/>
  </r>
  <r>
    <x v="1"/>
    <x v="3"/>
    <x v="0"/>
    <s v="BEB584"/>
    <s v="Quatro 400 Ml"/>
    <n v="1"/>
    <n v="4900"/>
    <n v="0"/>
    <n v="1330"/>
    <n v="3570"/>
    <n v="0.72857142857142854"/>
    <n v="0"/>
    <s v="Bebidas"/>
    <s v="Bebidas"/>
    <s v="Bebidas"/>
  </r>
  <r>
    <x v="1"/>
    <x v="3"/>
    <x v="0"/>
    <s v="MON331"/>
    <s v="Chop suey vegetariano trio"/>
    <n v="1"/>
    <n v="29900"/>
    <n v="0"/>
    <n v="11810"/>
    <n v="18090"/>
    <n v="0.60501672240802673"/>
    <n v="0"/>
    <s v="Platos mong"/>
    <s v="No Personal"/>
    <s v="Caja"/>
  </r>
  <r>
    <x v="1"/>
    <x v="3"/>
    <x v="0"/>
    <s v="BEB592"/>
    <s v="Coca Cola 400 Ml Zero"/>
    <n v="1"/>
    <n v="5900"/>
    <n v="0"/>
    <n v="1448"/>
    <n v="4452"/>
    <n v="0.75457627118644066"/>
    <n v="0"/>
    <s v="Bebidas"/>
    <s v="Bebidas"/>
    <s v="Bebidas"/>
  </r>
  <r>
    <x v="1"/>
    <x v="3"/>
    <x v="0"/>
    <s v="COMP08"/>
    <s v="COMBO - Papas 120 grs y Coca Cola 250 ml"/>
    <n v="1"/>
    <n v="7900"/>
    <n v="0"/>
    <n v="3212"/>
    <n v="4688"/>
    <n v="0.59341772151898731"/>
    <n v="0"/>
    <s v="Armalo en combo"/>
    <s v="Personal"/>
    <s v="Combo"/>
  </r>
  <r>
    <x v="1"/>
    <x v="3"/>
    <x v="0"/>
    <s v="ENT01"/>
    <s v="Deditos de Pollo"/>
    <n v="1"/>
    <n v="15900"/>
    <n v="0"/>
    <n v="10028"/>
    <n v="5872"/>
    <n v="0.36930817610062894"/>
    <n v="0"/>
    <s v="Entradas"/>
    <s v="Otro"/>
    <s v="Otro"/>
  </r>
  <r>
    <x v="1"/>
    <x v="3"/>
    <x v="0"/>
    <s v="BEB610"/>
    <s v="Fusetea Durazno CB (*Extra)"/>
    <n v="1"/>
    <n v="1600"/>
    <n v="0"/>
    <n v="1874"/>
    <n v="-274"/>
    <n v="-0.17125000000000001"/>
    <n v="0"/>
    <s v="Bebidas"/>
    <s v="Bebidas Cambio de bebida"/>
    <s v="Bebidas"/>
  </r>
  <r>
    <x v="1"/>
    <x v="3"/>
    <x v="0"/>
    <s v="ADIC566"/>
    <s v="Pollo a la naranja"/>
    <n v="1"/>
    <n v="7900"/>
    <n v="0"/>
    <n v="0"/>
    <n v="7900"/>
    <n v="1"/>
    <n v="0"/>
    <s v="Adición"/>
    <s v="Adición"/>
    <s v="Adición"/>
  </r>
  <r>
    <x v="1"/>
    <x v="3"/>
    <x v="0"/>
    <s v="PESP02"/>
    <s v="MONG"/>
    <n v="1"/>
    <n v="24900"/>
    <n v="0"/>
    <n v="12718"/>
    <n v="12182"/>
    <n v="0.48923694779116467"/>
    <n v="0"/>
    <s v="Platos especiales"/>
    <s v="Personal"/>
    <s v="Platos Especiales"/>
  </r>
  <r>
    <x v="1"/>
    <x v="4"/>
    <x v="1"/>
    <s v="COMP01"/>
    <s v="COMBO 1- Valenciano personal"/>
    <n v="209"/>
    <n v="4991100"/>
    <n v="-4000"/>
    <n v="2012043"/>
    <n v="2979057"/>
    <n v="0.59687383542706018"/>
    <n v="8.0142653923984694E-4"/>
    <s v="Combos personales"/>
    <s v="Personal"/>
    <s v="Combo"/>
  </r>
  <r>
    <x v="1"/>
    <x v="4"/>
    <x v="1"/>
    <s v="MON450"/>
    <s v="Arma tu plato"/>
    <n v="196"/>
    <n v="4850673"/>
    <n v="-29727"/>
    <n v="0"/>
    <n v="4850673"/>
    <n v="1"/>
    <n v="6.1284279521625143E-3"/>
    <s v="Arma tu plato"/>
    <s v="Personal"/>
    <s v="Caja"/>
  </r>
  <r>
    <x v="1"/>
    <x v="4"/>
    <x v="1"/>
    <s v="ATP01"/>
    <s v="Pollo a la naranja (*Extra)"/>
    <n v="123"/>
    <n v="0"/>
    <n v="0"/>
    <n v="675393"/>
    <n v="-675393"/>
    <n v="0"/>
    <n v="0"/>
    <s v="Arma tu plato"/>
    <s v="Personal"/>
    <s v="Caja"/>
  </r>
  <r>
    <x v="1"/>
    <x v="4"/>
    <x v="1"/>
    <s v="ATP10"/>
    <s v="Cerdo agridulce (*Extra)"/>
    <n v="94"/>
    <n v="0"/>
    <n v="0"/>
    <n v="513898"/>
    <n v="-513898"/>
    <n v="0"/>
    <n v="0"/>
    <s v="Arma tu plato"/>
    <s v="Personal"/>
    <s v="Caja"/>
  </r>
  <r>
    <x v="1"/>
    <x v="4"/>
    <x v="1"/>
    <s v="ENT04"/>
    <s v="LUMPIAS X 2"/>
    <n v="86"/>
    <n v="763600"/>
    <n v="-1800"/>
    <n v="269954"/>
    <n v="493646"/>
    <n v="0.64647197485594554"/>
    <n v="2.3572551073860661E-3"/>
    <s v="Entradas"/>
    <s v="Otro"/>
    <s v="Otro"/>
  </r>
  <r>
    <x v="1"/>
    <x v="4"/>
    <x v="1"/>
    <s v="COMP03"/>
    <s v="COMBO 3 - Chop suey especial personal"/>
    <n v="80"/>
    <n v="2311509"/>
    <n v="-491"/>
    <n v="765600"/>
    <n v="1545909"/>
    <n v="0.66878779187102455"/>
    <n v="2.1241535291448142E-4"/>
    <s v="Combos personales"/>
    <s v="Personal"/>
    <s v="Combo"/>
  </r>
  <r>
    <x v="1"/>
    <x v="4"/>
    <x v="1"/>
    <s v="COMP02"/>
    <s v="COMBO 2 - Chow fan especial personal"/>
    <n v="72"/>
    <n v="1862800"/>
    <n v="-2000"/>
    <n v="684072"/>
    <n v="1178728"/>
    <n v="0.63277217092548854"/>
    <n v="1.0736525660296329E-3"/>
    <s v="Combos personales"/>
    <s v="Personal"/>
    <s v="Combo"/>
  </r>
  <r>
    <x v="1"/>
    <x v="4"/>
    <x v="1"/>
    <s v="COMP05"/>
    <s v="COMBO 5 - Chow Mein especial personal"/>
    <n v="72"/>
    <n v="2069015"/>
    <n v="-11785"/>
    <n v="810216"/>
    <n v="1258799"/>
    <n v="0.60840496564790492"/>
    <n v="5.6959471052650656E-3"/>
    <s v="Combos personales"/>
    <s v="Personal"/>
    <s v="Combo"/>
  </r>
  <r>
    <x v="1"/>
    <x v="4"/>
    <x v="1"/>
    <s v="ATP09"/>
    <s v="Res brócoli (*Extra)"/>
    <n v="68"/>
    <n v="0"/>
    <n v="0"/>
    <n v="225896"/>
    <n v="-225896"/>
    <n v="0"/>
    <n v="0"/>
    <s v="Arma tu plato"/>
    <s v="Personal"/>
    <s v="Caja"/>
  </r>
  <r>
    <x v="1"/>
    <x v="4"/>
    <x v="1"/>
    <s v="ATP03"/>
    <s v="Arroz vegetales (*Extra)"/>
    <n v="63"/>
    <n v="126000"/>
    <n v="0"/>
    <n v="128205"/>
    <n v="-2205"/>
    <n v="-1.7500000000000002E-2"/>
    <n v="0"/>
    <s v="Arma tu plato"/>
    <s v="Personal"/>
    <s v="Caja"/>
  </r>
  <r>
    <x v="1"/>
    <x v="4"/>
    <x v="1"/>
    <s v="BEB581"/>
    <s v="Coca Cola 400 Ml Normal"/>
    <n v="61"/>
    <n v="359551"/>
    <n v="-349"/>
    <n v="103395"/>
    <n v="256156"/>
    <n v="0.71243300672227305"/>
    <n v="9.7065506701413703E-4"/>
    <s v="Bebidas"/>
    <s v="Bebidas"/>
    <s v="Bebidas"/>
  </r>
  <r>
    <x v="1"/>
    <x v="4"/>
    <x v="1"/>
    <s v="PESP04"/>
    <s v="SUN KEE"/>
    <n v="59"/>
    <n v="1587100"/>
    <n v="0"/>
    <n v="804642"/>
    <n v="782458"/>
    <n v="0.4930111524163569"/>
    <n v="0"/>
    <s v="Platos especiales"/>
    <s v="Personal"/>
    <s v="Platos Especiales"/>
  </r>
  <r>
    <x v="1"/>
    <x v="4"/>
    <x v="1"/>
    <s v="ATP02"/>
    <s v="Camarones apanados 7 (*Extra)"/>
    <n v="57"/>
    <n v="113805"/>
    <n v="-195"/>
    <n v="177156"/>
    <n v="-63351"/>
    <n v="-0.55666271253459865"/>
    <n v="1.7134572294714644E-3"/>
    <s v="Arma tu plato"/>
    <s v="Personal"/>
    <s v="Caja"/>
  </r>
  <r>
    <x v="1"/>
    <x v="4"/>
    <x v="1"/>
    <s v="ATP04"/>
    <s v="Chop suey (*Extra)"/>
    <n v="53"/>
    <n v="0"/>
    <n v="0"/>
    <n v="139602"/>
    <n v="-139602"/>
    <n v="0"/>
    <n v="0"/>
    <s v="Arma tu plato"/>
    <s v="Personal"/>
    <s v="Caja"/>
  </r>
  <r>
    <x v="1"/>
    <x v="4"/>
    <x v="1"/>
    <s v="BEB585"/>
    <s v="Agua Normal 600 Ml"/>
    <n v="49"/>
    <n v="230300"/>
    <n v="-9800"/>
    <n v="53655"/>
    <n v="176645"/>
    <n v="0.76702127659574471"/>
    <n v="4.2553191489361701E-2"/>
    <s v="Bebidas"/>
    <s v="Bebidas"/>
    <s v="Bebidas"/>
  </r>
  <r>
    <x v="1"/>
    <x v="4"/>
    <x v="1"/>
    <s v="ATP06"/>
    <s v="Arroz Frito ATP (*Extra)"/>
    <n v="48"/>
    <n v="0"/>
    <n v="0"/>
    <n v="61536"/>
    <n v="-61536"/>
    <n v="0"/>
    <n v="0"/>
    <s v="Arma tu plato"/>
    <s v="Personal"/>
    <s v="Caja"/>
  </r>
  <r>
    <x v="1"/>
    <x v="4"/>
    <x v="1"/>
    <s v="BEB620"/>
    <s v="Agua 280 ml CB (*Extra)"/>
    <n v="47"/>
    <n v="0"/>
    <n v="0"/>
    <n v="40796"/>
    <n v="-40796"/>
    <n v="0"/>
    <n v="0"/>
    <s v="Bebidas"/>
    <s v="Bebidas Cambio de bebida"/>
    <s v="Bebidas"/>
  </r>
  <r>
    <x v="1"/>
    <x v="4"/>
    <x v="1"/>
    <s v="BEB01"/>
    <s v="Coca Cola 250 Ml Normal CB (*Extra)"/>
    <n v="40"/>
    <n v="39808"/>
    <n v="-192"/>
    <n v="77800"/>
    <n v="-37992"/>
    <n v="-0.95438102893890675"/>
    <n v="4.8231511254019296E-3"/>
    <s v="Bebidas"/>
    <s v="Bebidas Cambio de bebida"/>
    <s v="Bebidas"/>
  </r>
  <r>
    <x v="1"/>
    <x v="4"/>
    <x v="1"/>
    <s v="BEB592"/>
    <s v="Coca Cola 400 Ml Zero"/>
    <n v="33"/>
    <n v="187548"/>
    <n v="-7152"/>
    <n v="47784"/>
    <n v="139764"/>
    <n v="0.74521722439055604"/>
    <n v="3.8134237635165401E-2"/>
    <s v="Bebidas"/>
    <s v="Bebidas"/>
    <s v="Bebidas"/>
  </r>
  <r>
    <x v="1"/>
    <x v="4"/>
    <x v="1"/>
    <s v="MONE700"/>
    <s v="Mong Express Chop suey pollo"/>
    <n v="33"/>
    <n v="634800"/>
    <n v="-21900"/>
    <n v="270039"/>
    <n v="364761"/>
    <n v="0.57460775047258983"/>
    <n v="3.4499054820415882E-2"/>
    <s v="Mong Express"/>
    <s v="Personal"/>
    <s v="Caja"/>
  </r>
  <r>
    <x v="1"/>
    <x v="4"/>
    <x v="1"/>
    <s v="ATP05"/>
    <s v="Chow mein (*Extra)"/>
    <n v="32"/>
    <n v="0"/>
    <n v="0"/>
    <n v="99104"/>
    <n v="-99104"/>
    <n v="0"/>
    <n v="0"/>
    <s v="Arma tu plato"/>
    <s v="Personal"/>
    <s v="Caja"/>
  </r>
  <r>
    <x v="1"/>
    <x v="4"/>
    <x v="1"/>
    <s v="PESP03"/>
    <s v="LING"/>
    <n v="30"/>
    <n v="807000"/>
    <n v="0"/>
    <n v="407010"/>
    <n v="399990"/>
    <n v="0.49565055762081783"/>
    <n v="0"/>
    <s v="Platos especiales"/>
    <s v="Personal"/>
    <s v="Platos Especiales"/>
  </r>
  <r>
    <x v="1"/>
    <x v="4"/>
    <x v="1"/>
    <s v="MONE701"/>
    <s v="Mong Express Chow fan"/>
    <n v="28"/>
    <n v="483577"/>
    <n v="-73623"/>
    <n v="0"/>
    <n v="483577"/>
    <n v="1"/>
    <n v="0.15224669494206713"/>
    <s v="Mong Express"/>
    <s v="Personal"/>
    <s v="Caja"/>
  </r>
  <r>
    <x v="1"/>
    <x v="4"/>
    <x v="1"/>
    <s v="ATP08"/>
    <s v="Pollo Apanado ATP (*Extra)"/>
    <n v="27"/>
    <n v="0"/>
    <n v="0"/>
    <n v="142101"/>
    <n v="-142101"/>
    <n v="0"/>
    <n v="0"/>
    <s v="Arma tu plato"/>
    <s v="Personal"/>
    <s v="Caja"/>
  </r>
  <r>
    <x v="1"/>
    <x v="4"/>
    <x v="1"/>
    <s v="ENT02"/>
    <s v="LUMPIA X 1"/>
    <n v="24"/>
    <n v="120000"/>
    <n v="0"/>
    <n v="37656"/>
    <n v="82344"/>
    <n v="0.68620000000000003"/>
    <n v="0"/>
    <s v="Entradas"/>
    <s v="Otro"/>
    <s v="Otro"/>
  </r>
  <r>
    <x v="1"/>
    <x v="4"/>
    <x v="1"/>
    <s v="MON500"/>
    <s v="Arroz vegetales especial personal"/>
    <n v="23"/>
    <n v="526700"/>
    <n v="0"/>
    <n v="172822"/>
    <n v="353878"/>
    <n v="0.67187772925764189"/>
    <n v="0"/>
    <s v="Platos mong"/>
    <s v="Personal"/>
    <s v="Caja"/>
  </r>
  <r>
    <x v="1"/>
    <x v="4"/>
    <x v="1"/>
    <s v="BEB580"/>
    <s v="Coca Cola 250 Ml Normal"/>
    <n v="23"/>
    <n v="89700"/>
    <n v="0"/>
    <n v="26749"/>
    <n v="62951"/>
    <n v="0.70179487179487177"/>
    <n v="0"/>
    <s v="Bebidas"/>
    <s v="Bebidas"/>
    <s v="Bebidas"/>
  </r>
  <r>
    <x v="1"/>
    <x v="4"/>
    <x v="1"/>
    <s v="ENT03"/>
    <s v="CAMARONES APANADOS"/>
    <n v="21"/>
    <n v="354900"/>
    <n v="0"/>
    <n v="130515"/>
    <n v="224385"/>
    <n v="0.63224852071005921"/>
    <n v="0"/>
    <s v="Entradas"/>
    <s v="Otro"/>
    <s v="Otro"/>
  </r>
  <r>
    <x v="1"/>
    <x v="4"/>
    <x v="1"/>
    <s v="COMP10"/>
    <s v="COMBO - Lumpia y Coca Cola 250 ml"/>
    <n v="21"/>
    <n v="165900"/>
    <n v="0"/>
    <n v="0"/>
    <n v="165900"/>
    <n v="1"/>
    <n v="0"/>
    <s v="Armalo en combo"/>
    <s v="Personal"/>
    <s v="Combo"/>
  </r>
  <r>
    <x v="1"/>
    <x v="4"/>
    <x v="1"/>
    <s v="PESP02"/>
    <s v="MONG"/>
    <n v="21"/>
    <n v="522900"/>
    <n v="0"/>
    <n v="267078"/>
    <n v="255822"/>
    <n v="0.48923694779116467"/>
    <n v="0"/>
    <s v="Platos especiales"/>
    <s v="Personal"/>
    <s v="Platos Especiales"/>
  </r>
  <r>
    <x v="1"/>
    <x v="4"/>
    <x v="1"/>
    <s v="ADIC563"/>
    <s v="Adición Arroz Frito"/>
    <n v="21"/>
    <n v="116700"/>
    <n v="-7200"/>
    <n v="26922"/>
    <n v="89778"/>
    <n v="0.76930591259640102"/>
    <n v="6.1696658097686374E-2"/>
    <s v="Adición"/>
    <s v="Adición"/>
    <s v="Adición"/>
  </r>
  <r>
    <x v="1"/>
    <x v="4"/>
    <x v="1"/>
    <s v="BEB584"/>
    <s v="Quatro 400 Ml"/>
    <n v="20"/>
    <n v="98000"/>
    <n v="0"/>
    <n v="26600"/>
    <n v="71400"/>
    <n v="0.72857142857142854"/>
    <n v="0"/>
    <s v="Bebidas"/>
    <s v="Bebidas"/>
    <s v="Bebidas"/>
  </r>
  <r>
    <x v="1"/>
    <x v="4"/>
    <x v="1"/>
    <s v="PESP05"/>
    <s v="WONG- Menú infantil"/>
    <n v="19"/>
    <n v="304200"/>
    <n v="-16900"/>
    <n v="135375"/>
    <n v="168825"/>
    <n v="0.55498027613412226"/>
    <n v="5.5555555555555552E-2"/>
    <s v="Platos especiales"/>
    <s v="Personal"/>
    <s v="Platos Especiales"/>
  </r>
  <r>
    <x v="1"/>
    <x v="4"/>
    <x v="1"/>
    <s v="PESP01"/>
    <s v="MING"/>
    <n v="18"/>
    <n v="491300"/>
    <n v="-28900"/>
    <n v="136890"/>
    <n v="354410"/>
    <n v="0.72137187054752694"/>
    <n v="5.8823529411764705E-2"/>
    <s v="Platos especiales"/>
    <s v="Personal"/>
    <s v="Platos Especiales"/>
  </r>
  <r>
    <x v="1"/>
    <x v="4"/>
    <x v="1"/>
    <s v="ATP07"/>
    <s v="Pollo presa ATP (*Extra)"/>
    <n v="17"/>
    <n v="0"/>
    <n v="0"/>
    <n v="48433"/>
    <n v="-48433"/>
    <n v="0"/>
    <n v="0"/>
    <s v="Arma tu plato"/>
    <s v="Personal"/>
    <s v="Caja"/>
  </r>
  <r>
    <x v="1"/>
    <x v="4"/>
    <x v="1"/>
    <s v="COMC02"/>
    <s v="COMBO AMIGOS"/>
    <n v="17"/>
    <n v="1016365"/>
    <n v="-1935"/>
    <n v="401846"/>
    <n v="614519"/>
    <n v="0.60462432295484403"/>
    <n v="1.9038435994942762E-3"/>
    <s v="Combos para compartir"/>
    <s v="No Personal"/>
    <s v="Combo"/>
  </r>
  <r>
    <x v="1"/>
    <x v="4"/>
    <x v="1"/>
    <s v="BEB589"/>
    <s v="Fusetea Durazno"/>
    <n v="17"/>
    <n v="83300"/>
    <n v="0"/>
    <n v="26520"/>
    <n v="56780"/>
    <n v="0.68163265306122445"/>
    <n v="0"/>
    <s v="Bebidas"/>
    <s v="Bebidas"/>
    <s v="Bebidas"/>
  </r>
  <r>
    <x v="1"/>
    <x v="4"/>
    <x v="1"/>
    <s v="BEB587"/>
    <s v="Agua Limón 600 Ml"/>
    <n v="16"/>
    <n v="78400"/>
    <n v="0"/>
    <n v="21968"/>
    <n v="56432"/>
    <n v="0.71979591836734691"/>
    <n v="0"/>
    <s v="Bebidas"/>
    <s v="Bebidas"/>
    <s v="Bebidas"/>
  </r>
  <r>
    <x v="1"/>
    <x v="4"/>
    <x v="1"/>
    <s v="MON100"/>
    <s v="Chow Fan Especial Personal"/>
    <n v="16"/>
    <n v="318400"/>
    <n v="0"/>
    <n v="108288"/>
    <n v="210112"/>
    <n v="0.65989949748743715"/>
    <n v="0"/>
    <s v="Platos mong"/>
    <s v="Personal"/>
    <s v="Caja"/>
  </r>
  <r>
    <x v="1"/>
    <x v="4"/>
    <x v="1"/>
    <s v="BEB595"/>
    <s v="Agua Manzana 600 Ml"/>
    <n v="15"/>
    <n v="73500"/>
    <n v="0"/>
    <n v="20595"/>
    <n v="52905"/>
    <n v="0.71979591836734691"/>
    <n v="0"/>
    <s v="Bebidas"/>
    <s v="Bebidas"/>
    <s v="Bebidas"/>
  </r>
  <r>
    <x v="1"/>
    <x v="4"/>
    <x v="1"/>
    <s v="BEB586"/>
    <s v="Agua Gas 600 Ml"/>
    <n v="13"/>
    <n v="58800"/>
    <n v="-4900"/>
    <n v="16744"/>
    <n v="42056"/>
    <n v="0.71523809523809523"/>
    <n v="8.3333333333333329E-2"/>
    <s v="Bebidas"/>
    <s v="Bebidas"/>
    <s v="Bebidas"/>
  </r>
  <r>
    <x v="1"/>
    <x v="4"/>
    <x v="1"/>
    <s v="MON320"/>
    <s v="Chop Suey Pollo Personal"/>
    <n v="13"/>
    <n v="245700"/>
    <n v="0"/>
    <n v="70993"/>
    <n v="174707"/>
    <n v="0.71105820105820106"/>
    <n v="0"/>
    <s v="Platos mong"/>
    <s v="Personal"/>
    <s v="Caja"/>
  </r>
  <r>
    <x v="1"/>
    <x v="4"/>
    <x v="1"/>
    <s v="MON101"/>
    <s v="Chow fan especial trio"/>
    <n v="13"/>
    <n v="609700"/>
    <n v="0"/>
    <n v="260689"/>
    <n v="349011"/>
    <n v="0.57243070362473347"/>
    <n v="0"/>
    <s v="Platos mong"/>
    <s v="No Personal"/>
    <s v="Platos Especiales"/>
  </r>
  <r>
    <x v="1"/>
    <x v="4"/>
    <x v="1"/>
    <s v="ADIC560"/>
    <s v="Adición Papa frita"/>
    <n v="13"/>
    <n v="76700"/>
    <n v="0"/>
    <n v="53274"/>
    <n v="23426"/>
    <n v="0.30542372881355934"/>
    <n v="0"/>
    <s v="Adición"/>
    <s v="Adición"/>
    <s v="Adición"/>
  </r>
  <r>
    <x v="1"/>
    <x v="4"/>
    <x v="1"/>
    <s v="MON120"/>
    <s v="Chow Fan Pollo Personal"/>
    <n v="12"/>
    <n v="190800"/>
    <n v="0"/>
    <n v="72768"/>
    <n v="118032"/>
    <n v="0.61861635220125788"/>
    <n v="0"/>
    <s v="Platos mong"/>
    <s v="Personal"/>
    <s v="Caja"/>
  </r>
  <r>
    <x v="1"/>
    <x v="4"/>
    <x v="1"/>
    <s v="COMP04"/>
    <s v="COMBO 4 - arroz vegetales especial"/>
    <n v="12"/>
    <n v="346800"/>
    <n v="0"/>
    <n v="122964"/>
    <n v="223836"/>
    <n v="0.64543252595155709"/>
    <n v="0"/>
    <s v="Combos personales"/>
    <s v="Personal"/>
    <s v="Combo"/>
  </r>
  <r>
    <x v="1"/>
    <x v="4"/>
    <x v="1"/>
    <s v="BEB593"/>
    <s v="Coca Cola 250 Ml Zero"/>
    <n v="11"/>
    <n v="42287"/>
    <n v="-613"/>
    <n v="14201"/>
    <n v="28086"/>
    <n v="0.66417575141296381"/>
    <n v="1.4496180859365762E-2"/>
    <s v="Bebidas"/>
    <s v="Bebidas"/>
    <s v="Bebidas"/>
  </r>
  <r>
    <x v="1"/>
    <x v="4"/>
    <x v="1"/>
    <s v="BEB588"/>
    <s v="Fusetea Limon"/>
    <n v="11"/>
    <n v="53900"/>
    <n v="0"/>
    <n v="17160"/>
    <n v="36740"/>
    <n v="0.68163265306122445"/>
    <n v="0"/>
    <s v="Bebidas"/>
    <s v="Bebidas"/>
    <s v="Bebidas"/>
  </r>
  <r>
    <x v="1"/>
    <x v="4"/>
    <x v="1"/>
    <s v="BEB590"/>
    <s v="Jugo Del Valle Mandarina"/>
    <n v="11"/>
    <n v="53900"/>
    <n v="0"/>
    <n v="17160"/>
    <n v="36740"/>
    <n v="0.68163265306122445"/>
    <n v="0"/>
    <s v="Bebidas"/>
    <s v="Bebidas"/>
    <s v="Bebidas"/>
  </r>
  <r>
    <x v="1"/>
    <x v="4"/>
    <x v="1"/>
    <s v="MON130"/>
    <s v="Chow Fan Valenciano Personal"/>
    <n v="11"/>
    <n v="234252"/>
    <n v="-6648"/>
    <n v="93104"/>
    <n v="141148"/>
    <n v="0.6025476836910677"/>
    <n v="2.8379693663234465E-2"/>
    <s v="Platos mong"/>
    <s v="Personal"/>
    <s v="Caja"/>
  </r>
  <r>
    <x v="1"/>
    <x v="4"/>
    <x v="1"/>
    <s v="ADIC564"/>
    <s v="Adición Presa de pollo"/>
    <n v="11"/>
    <n v="75900"/>
    <n v="0"/>
    <n v="27104"/>
    <n v="48796"/>
    <n v="0.64289855072463764"/>
    <n v="0"/>
    <s v="Adición"/>
    <s v="Adición"/>
    <s v="Adición"/>
  </r>
  <r>
    <x v="1"/>
    <x v="4"/>
    <x v="1"/>
    <s v="MON131"/>
    <s v="Chow Fan Valenciano trio"/>
    <n v="9"/>
    <n v="530100"/>
    <n v="0"/>
    <n v="169362"/>
    <n v="360738"/>
    <n v="0.68050933786078094"/>
    <n v="0"/>
    <s v="Platos mong"/>
    <s v="No Personal"/>
    <s v="Caja"/>
  </r>
  <r>
    <x v="1"/>
    <x v="4"/>
    <x v="1"/>
    <s v="BEB599"/>
    <s v="Agua 280 ml"/>
    <n v="9"/>
    <n v="31500"/>
    <n v="0"/>
    <n v="7812"/>
    <n v="23688"/>
    <n v="0.752"/>
    <n v="0"/>
    <s v="Bebidas"/>
    <s v="Bebidas"/>
    <s v="Bebidas"/>
  </r>
  <r>
    <x v="1"/>
    <x v="4"/>
    <x v="1"/>
    <s v="ADIC565"/>
    <s v="Adición Camaron"/>
    <n v="9"/>
    <n v="62100"/>
    <n v="0"/>
    <n v="27972"/>
    <n v="34128"/>
    <n v="0.54956521739130437"/>
    <n v="0"/>
    <s v="Adición"/>
    <s v="Adición"/>
    <s v="Adición"/>
  </r>
  <r>
    <x v="1"/>
    <x v="4"/>
    <x v="1"/>
    <s v="BEB596"/>
    <s v="Fusetea mango"/>
    <n v="9"/>
    <n v="44100"/>
    <n v="0"/>
    <n v="17064"/>
    <n v="27036"/>
    <n v="0.61306122448979594"/>
    <n v="0"/>
    <s v="Bebidas"/>
    <s v="Bebidas"/>
    <s v="Bebidas"/>
  </r>
  <r>
    <x v="1"/>
    <x v="4"/>
    <x v="1"/>
    <s v="MON300"/>
    <s v="Chop suey especial personal"/>
    <n v="9"/>
    <n v="184813"/>
    <n v="-3287"/>
    <n v="61542"/>
    <n v="123271"/>
    <n v="0.66700394452771183"/>
    <n v="1.778554538912306E-2"/>
    <s v="Platos mong"/>
    <s v="Personal"/>
    <s v="Caja"/>
  </r>
  <r>
    <x v="1"/>
    <x v="4"/>
    <x v="1"/>
    <s v="BEB594"/>
    <s v="Premio 400 Ml"/>
    <n v="9"/>
    <n v="44100"/>
    <n v="0"/>
    <n v="11970"/>
    <n v="32130"/>
    <n v="0.72857142857142854"/>
    <n v="0"/>
    <s v="Bebidas"/>
    <s v="Bebidas"/>
    <s v="Bebidas"/>
  </r>
  <r>
    <x v="1"/>
    <x v="4"/>
    <x v="1"/>
    <s v="COMC04"/>
    <s v="COMBO FAMIAMIGOS"/>
    <n v="8"/>
    <n v="663200"/>
    <n v="0"/>
    <n v="313768"/>
    <n v="349432"/>
    <n v="0.52688781664656215"/>
    <n v="0"/>
    <s v="Combos para compartir"/>
    <s v="No Personal"/>
    <s v="Combo"/>
  </r>
  <r>
    <x v="1"/>
    <x v="4"/>
    <x v="1"/>
    <s v="MON504"/>
    <s v="Arroz vegetales camarones personal"/>
    <n v="8"/>
    <n v="221549"/>
    <n v="-1651"/>
    <n v="75824"/>
    <n v="145725"/>
    <n v="0.65775516928534994"/>
    <n v="7.4520760644372127E-3"/>
    <s v="Platos mong"/>
    <s v="Personal"/>
    <s v="Caja"/>
  </r>
  <r>
    <x v="1"/>
    <x v="4"/>
    <x v="1"/>
    <s v="BEB607"/>
    <s v="Agua Gas 600 Ml CB (*Extra)"/>
    <n v="8"/>
    <n v="12800"/>
    <n v="0"/>
    <n v="12880"/>
    <n v="-80"/>
    <n v="-6.2500000000000003E-3"/>
    <n v="0"/>
    <s v="Bebidas"/>
    <s v="Bebidas Cambio de bebida"/>
    <s v="Bebidas"/>
  </r>
  <r>
    <x v="1"/>
    <x v="4"/>
    <x v="1"/>
    <s v="ADIC566"/>
    <s v="Pollo a la naranja"/>
    <n v="8"/>
    <n v="63200"/>
    <n v="0"/>
    <n v="0"/>
    <n v="63200"/>
    <n v="1"/>
    <n v="0"/>
    <s v="Adición"/>
    <s v="Adición"/>
    <s v="Adición"/>
  </r>
  <r>
    <x v="1"/>
    <x v="4"/>
    <x v="1"/>
    <s v="BEB601"/>
    <s v="Coca Cola 400 Ml Normal CB (*Extra)"/>
    <n v="8"/>
    <n v="18400"/>
    <n v="0"/>
    <n v="17880"/>
    <n v="520"/>
    <n v="2.8260869565217391E-2"/>
    <n v="0"/>
    <s v="Bebidas"/>
    <s v="Bebidas Cambio de bebida"/>
    <s v="Bebidas"/>
  </r>
  <r>
    <x v="1"/>
    <x v="4"/>
    <x v="1"/>
    <s v="MON121"/>
    <s v="Chow Fan Pollo trio"/>
    <n v="7"/>
    <n v="279300"/>
    <n v="0"/>
    <n v="99617"/>
    <n v="179683"/>
    <n v="0.64333333333333331"/>
    <n v="0"/>
    <s v="Platos mong"/>
    <s v="No Personal"/>
    <s v="Caja"/>
  </r>
  <r>
    <x v="1"/>
    <x v="4"/>
    <x v="1"/>
    <s v="MON330"/>
    <s v="Chop Suey Vegetariano Personal"/>
    <n v="7"/>
    <n v="125300"/>
    <n v="0"/>
    <n v="38262"/>
    <n v="87038"/>
    <n v="0.69463687150837994"/>
    <n v="0"/>
    <s v="Platos mong"/>
    <s v="Personal"/>
    <s v="Caja"/>
  </r>
  <r>
    <x v="1"/>
    <x v="4"/>
    <x v="1"/>
    <s v="COMP08"/>
    <s v="COMBO - Papas 120 grs y Coca Cola 250 ml"/>
    <n v="7"/>
    <n v="55300"/>
    <n v="0"/>
    <n v="22484"/>
    <n v="32816"/>
    <n v="0.59341772151898731"/>
    <n v="0"/>
    <s v="Armalo en combo"/>
    <s v="Personal"/>
    <s v="Combo"/>
  </r>
  <r>
    <x v="1"/>
    <x v="4"/>
    <x v="1"/>
    <s v="BEB582"/>
    <s v="Kola Roman 400 Ml"/>
    <n v="7"/>
    <n v="33822"/>
    <n v="-478"/>
    <n v="9310"/>
    <n v="24512"/>
    <n v="0.72473537933889187"/>
    <n v="1.4132812961977411E-2"/>
    <s v="Bebidas"/>
    <s v="Bebidas"/>
    <s v="Bebidas"/>
  </r>
  <r>
    <x v="1"/>
    <x v="4"/>
    <x v="1"/>
    <s v="CAM04"/>
    <s v="Lumpia cambio (*Extra)"/>
    <n v="6"/>
    <n v="0"/>
    <n v="0"/>
    <n v="12294"/>
    <n v="-12294"/>
    <n v="0"/>
    <n v="0"/>
    <s v="Adición"/>
    <s v="Otro"/>
    <s v="Otro"/>
  </r>
  <r>
    <x v="1"/>
    <x v="4"/>
    <x v="1"/>
    <s v="COMC07"/>
    <s v="COMBO ANTOJO"/>
    <n v="6"/>
    <n v="125400"/>
    <n v="0"/>
    <n v="47838"/>
    <n v="77562"/>
    <n v="0.61851674641148324"/>
    <n v="0"/>
    <s v="Combos para compartir"/>
    <s v="No Personal"/>
    <s v="Combo"/>
  </r>
  <r>
    <x v="1"/>
    <x v="4"/>
    <x v="1"/>
    <s v="BEB598"/>
    <s v="Coca Cola 1,5 litros"/>
    <n v="6"/>
    <n v="39600"/>
    <n v="-19800"/>
    <n v="27006"/>
    <n v="12594"/>
    <n v="0.31803030303030305"/>
    <n v="0.5"/>
    <s v="Bebidas"/>
    <s v="Bebidas"/>
    <s v="Bebidas"/>
  </r>
  <r>
    <x v="1"/>
    <x v="4"/>
    <x v="1"/>
    <s v="CAM03"/>
    <s v="Cambio Papas a la francesa 150 grs (*Extra)"/>
    <n v="6"/>
    <n v="2991"/>
    <n v="-9"/>
    <n v="9414"/>
    <n v="-6423"/>
    <n v="-2.1474423269809426"/>
    <n v="3.009027081243731E-3"/>
    <s v="Adición"/>
    <s v="Otro"/>
    <s v="Otro"/>
  </r>
  <r>
    <x v="1"/>
    <x v="4"/>
    <x v="1"/>
    <s v="BEB597"/>
    <s v="Fusetea manzana"/>
    <n v="5"/>
    <n v="24500"/>
    <n v="0"/>
    <n v="7800"/>
    <n v="16700"/>
    <n v="0.68163265306122445"/>
    <n v="0"/>
    <s v="Bebidas"/>
    <s v="Bebidas"/>
    <s v="Bebidas"/>
  </r>
  <r>
    <x v="1"/>
    <x v="4"/>
    <x v="1"/>
    <s v="MON220"/>
    <s v="Chow Mein Pollo Personal"/>
    <n v="5"/>
    <n v="89500"/>
    <n v="0"/>
    <n v="35705"/>
    <n v="53795"/>
    <n v="0.60106145251396648"/>
    <n v="0"/>
    <s v="Platos mong"/>
    <s v="Personal"/>
    <s v="Caja"/>
  </r>
  <r>
    <x v="1"/>
    <x v="4"/>
    <x v="1"/>
    <s v="BEB583"/>
    <s v="Sprite 400 Ml"/>
    <n v="5"/>
    <n v="24500"/>
    <n v="0"/>
    <n v="6650"/>
    <n v="17850"/>
    <n v="0.72857142857142854"/>
    <n v="0"/>
    <s v="Bebidas"/>
    <s v="Bebidas"/>
    <s v="Bebidas"/>
  </r>
  <r>
    <x v="1"/>
    <x v="4"/>
    <x v="1"/>
    <s v="BEB591"/>
    <s v="Jugo del valle naranja"/>
    <n v="5"/>
    <n v="24500"/>
    <n v="0"/>
    <n v="7800"/>
    <n v="16700"/>
    <n v="0.68163265306122445"/>
    <n v="0"/>
    <s v="Bebidas"/>
    <s v="Bebidas"/>
    <s v="Bebidas"/>
  </r>
  <r>
    <x v="1"/>
    <x v="4"/>
    <x v="1"/>
    <s v="ADIC562"/>
    <s v="Adición Pasta"/>
    <n v="5"/>
    <n v="24500"/>
    <n v="0"/>
    <n v="15050"/>
    <n v="9450"/>
    <n v="0.38571428571428573"/>
    <n v="0"/>
    <s v="Adición"/>
    <s v="Adición"/>
    <s v="Adición"/>
  </r>
  <r>
    <x v="1"/>
    <x v="4"/>
    <x v="1"/>
    <s v="MON200"/>
    <s v="Chow Mein Especial Personal"/>
    <n v="4"/>
    <n v="83600"/>
    <n v="0"/>
    <n v="34084"/>
    <n v="49516"/>
    <n v="0.59229665071770332"/>
    <n v="0"/>
    <s v="Platos mong"/>
    <s v="Personal"/>
    <s v="Caja"/>
  </r>
  <r>
    <x v="1"/>
    <x v="4"/>
    <x v="1"/>
    <s v="MON110"/>
    <s v="Chow Fan Camarones Personal"/>
    <n v="4"/>
    <n v="91600"/>
    <n v="0"/>
    <n v="37616"/>
    <n v="53984"/>
    <n v="0.58934497816593889"/>
    <n v="0"/>
    <s v="Platos mong"/>
    <s v="Personal"/>
    <s v="Caja"/>
  </r>
  <r>
    <x v="1"/>
    <x v="4"/>
    <x v="1"/>
    <s v="BEB600"/>
    <s v="Fuze te limón 1.2"/>
    <n v="4"/>
    <n v="32000"/>
    <n v="0"/>
    <n v="0"/>
    <n v="32000"/>
    <n v="1"/>
    <n v="0"/>
    <s v="Bebidas"/>
    <s v="Bebidas"/>
    <s v="Bebidas"/>
  </r>
  <r>
    <x v="1"/>
    <x v="4"/>
    <x v="1"/>
    <s v="MON310"/>
    <s v="Chop suey camarón personal"/>
    <n v="4"/>
    <n v="95600"/>
    <n v="0"/>
    <n v="35028"/>
    <n v="60572"/>
    <n v="0.6335983263598326"/>
    <n v="0"/>
    <s v="Platos mong"/>
    <s v="Personal"/>
    <s v="Caja"/>
  </r>
  <r>
    <x v="1"/>
    <x v="4"/>
    <x v="1"/>
    <s v="BEB604"/>
    <s v="Sprite 400 Ml CB (*Extra)"/>
    <n v="3"/>
    <n v="4800"/>
    <n v="0"/>
    <n v="4548"/>
    <n v="252"/>
    <n v="5.2499999999999998E-2"/>
    <n v="0"/>
    <s v="Bebidas"/>
    <s v="Bebidas Cambio de bebida"/>
    <s v="Bebidas"/>
  </r>
  <r>
    <x v="1"/>
    <x v="4"/>
    <x v="1"/>
    <s v="ADIC561"/>
    <s v="Adición Vegetales"/>
    <n v="3"/>
    <n v="20700"/>
    <n v="0"/>
    <n v="2067"/>
    <n v="18633"/>
    <n v="0.90014492753623188"/>
    <n v="0"/>
    <s v="Adición"/>
    <s v="Adición"/>
    <s v="Adición"/>
  </r>
  <r>
    <x v="1"/>
    <x v="4"/>
    <x v="1"/>
    <s v="MON132"/>
    <s v="Chow Fan Valenciano familiar"/>
    <n v="2"/>
    <n v="153800"/>
    <n v="0"/>
    <n v="69310"/>
    <n v="84490"/>
    <n v="0.54934980494148244"/>
    <n v="0"/>
    <s v="Platos mong"/>
    <s v="No Personal"/>
    <s v="Caja"/>
  </r>
  <r>
    <x v="1"/>
    <x v="4"/>
    <x v="1"/>
    <s v="ADIC568"/>
    <s v="Res brocoli"/>
    <n v="2"/>
    <n v="17800"/>
    <n v="0"/>
    <n v="0"/>
    <n v="17800"/>
    <n v="1"/>
    <n v="0"/>
    <s v="Adición"/>
    <s v="Adición"/>
    <s v="Adición"/>
  </r>
  <r>
    <x v="1"/>
    <x v="4"/>
    <x v="1"/>
    <s v="MON301"/>
    <s v="Chop Suey Especial trio"/>
    <n v="2"/>
    <n v="93800"/>
    <n v="0"/>
    <n v="22664"/>
    <n v="71136"/>
    <n v="0.7583795309168444"/>
    <n v="0"/>
    <s v="Platos mong"/>
    <s v="No Personal"/>
    <s v="Caja"/>
  </r>
  <r>
    <x v="1"/>
    <x v="4"/>
    <x v="1"/>
    <s v="BEB608"/>
    <s v="Agua Limón 600 Ml CB (*Extra)"/>
    <n v="2"/>
    <n v="3200"/>
    <n v="0"/>
    <n v="3422"/>
    <n v="-222"/>
    <n v="-6.9375000000000006E-2"/>
    <n v="0"/>
    <s v="Bebidas"/>
    <s v="Bebidas Cambio de bebida"/>
    <s v="Bebidas"/>
  </r>
  <r>
    <x v="1"/>
    <x v="4"/>
    <x v="1"/>
    <s v="COMP09"/>
    <s v="COMBO - Papas 120 grs y agua 280 Ml"/>
    <n v="2"/>
    <n v="15800"/>
    <n v="0"/>
    <n v="5834"/>
    <n v="9966"/>
    <n v="0.63075949367088613"/>
    <n v="0"/>
    <s v="Armalo en combo"/>
    <s v="Personal"/>
    <s v="Combo"/>
  </r>
  <r>
    <x v="1"/>
    <x v="4"/>
    <x v="1"/>
    <s v="ENT01"/>
    <s v="Deditos de Pollo"/>
    <n v="2"/>
    <n v="31800"/>
    <n v="0"/>
    <n v="20056"/>
    <n v="11744"/>
    <n v="0.36930817610062894"/>
    <n v="0"/>
    <s v="Entradas"/>
    <s v="Otro"/>
    <s v="Otro"/>
  </r>
  <r>
    <x v="1"/>
    <x v="4"/>
    <x v="1"/>
    <s v="BEB555"/>
    <s v="Coca Cola 1,5 litros CB COMBOSCOM (*Extra)"/>
    <n v="2"/>
    <n v="3935"/>
    <n v="-65"/>
    <n v="0"/>
    <n v="3935"/>
    <n v="1"/>
    <n v="1.6518424396442185E-2"/>
    <s v="Bebidas"/>
    <s v="Bebidas Cambio de bebida"/>
    <s v="Bebidas"/>
  </r>
  <r>
    <x v="1"/>
    <x v="4"/>
    <x v="1"/>
    <s v="BEB618"/>
    <s v="Fusetea manzana CB (*Extra)"/>
    <n v="2"/>
    <n v="3200"/>
    <n v="0"/>
    <n v="3792"/>
    <n v="-592"/>
    <n v="-0.185"/>
    <n v="0"/>
    <s v="Bebidas"/>
    <s v="Bebidas Cambio de bebida"/>
    <s v="Bebidas"/>
  </r>
  <r>
    <x v="1"/>
    <x v="4"/>
    <x v="1"/>
    <s v="BEB613"/>
    <s v="Coca Cola 400 Ml Zero CB (*Extra)"/>
    <n v="2"/>
    <n v="4600"/>
    <n v="0"/>
    <n v="4478"/>
    <n v="122"/>
    <n v="2.6521739130434784E-2"/>
    <n v="0"/>
    <s v="Bebidas"/>
    <s v="Bebidas Cambio de bebida"/>
    <s v="Bebidas"/>
  </r>
  <r>
    <x v="1"/>
    <x v="4"/>
    <x v="1"/>
    <s v="BEB610"/>
    <s v="Fusetea Durazno CB (*Extra)"/>
    <n v="2"/>
    <n v="3200"/>
    <n v="0"/>
    <n v="3748"/>
    <n v="-548"/>
    <n v="-0.17125000000000001"/>
    <n v="0"/>
    <s v="Bebidas"/>
    <s v="Bebidas Cambio de bebida"/>
    <s v="Bebidas"/>
  </r>
  <r>
    <x v="1"/>
    <x v="4"/>
    <x v="1"/>
    <s v="BEB617"/>
    <s v="Fusetea mango CB (*Extra)"/>
    <n v="2"/>
    <n v="3200"/>
    <n v="0"/>
    <n v="3792"/>
    <n v="-592"/>
    <n v="-0.185"/>
    <n v="0"/>
    <s v="Bebidas"/>
    <s v="Bebidas Cambio de bebida"/>
    <s v="Bebidas"/>
  </r>
  <r>
    <x v="1"/>
    <x v="4"/>
    <x v="1"/>
    <s v="MON331"/>
    <s v="Chop suey vegetariano trio"/>
    <n v="1"/>
    <n v="32000"/>
    <n v="-5900"/>
    <n v="11810"/>
    <n v="20190"/>
    <n v="0.63093750000000004"/>
    <n v="0.18437500000000001"/>
    <s v="Platos mong"/>
    <s v="No Personal"/>
    <s v="Caja"/>
  </r>
  <r>
    <x v="1"/>
    <x v="4"/>
    <x v="1"/>
    <s v="BEB612"/>
    <s v="Jugo del valle naranja CB (*Extra)"/>
    <n v="1"/>
    <n v="1600"/>
    <n v="0"/>
    <n v="950"/>
    <n v="650"/>
    <n v="0.40625"/>
    <n v="0"/>
    <s v="Bebidas"/>
    <s v="Bebidas Cambio de bebida"/>
    <s v="Bebidas"/>
  </r>
  <r>
    <x v="1"/>
    <x v="4"/>
    <x v="1"/>
    <s v="BEB606"/>
    <s v="Agua Normal 600 Ml CB (*Extra)"/>
    <n v="1"/>
    <n v="1600"/>
    <n v="0"/>
    <n v="1368"/>
    <n v="232"/>
    <n v="0.14499999999999999"/>
    <n v="0"/>
    <s v="Bebidas"/>
    <s v="Bebidas Cambio de bebida"/>
    <s v="Bebidas"/>
  </r>
  <r>
    <x v="1"/>
    <x v="4"/>
    <x v="1"/>
    <s v="COMC06"/>
    <s v="COMBO FAMILIAR"/>
    <n v="1"/>
    <n v="96900"/>
    <n v="0"/>
    <n v="46780"/>
    <n v="50120"/>
    <n v="0.51723426212590295"/>
    <n v="0"/>
    <s v="Combos para compartir"/>
    <s v="No Personal"/>
    <s v="Combo"/>
  </r>
  <r>
    <x v="1"/>
    <x v="4"/>
    <x v="1"/>
    <s v="ADIC567"/>
    <s v="cerdo agridulce"/>
    <n v="1"/>
    <n v="7900"/>
    <n v="0"/>
    <n v="0"/>
    <n v="7900"/>
    <n v="1"/>
    <n v="0"/>
    <s v="Adición"/>
    <s v="Adición"/>
    <s v="Adición"/>
  </r>
  <r>
    <x v="1"/>
    <x v="4"/>
    <x v="1"/>
    <s v="BEB611"/>
    <s v="Jugo Del Valle Mandarina CB (*Extra)"/>
    <n v="1"/>
    <n v="1600"/>
    <n v="0"/>
    <n v="950"/>
    <n v="650"/>
    <n v="0.40625"/>
    <n v="0"/>
    <s v="Bebidas"/>
    <s v="Bebidas Cambio de bebida"/>
    <s v="Bebidas"/>
  </r>
  <r>
    <x v="1"/>
    <x v="4"/>
    <x v="1"/>
    <s v="MON102"/>
    <s v="Chow Fan Especial familiar"/>
    <n v="1"/>
    <n v="66900"/>
    <n v="0"/>
    <n v="32351"/>
    <n v="34549"/>
    <n v="0.51642750373692081"/>
    <n v="0"/>
    <s v="Platos mong"/>
    <s v="No Personal"/>
    <s v="Caja"/>
  </r>
  <r>
    <x v="1"/>
    <x v="4"/>
    <x v="1"/>
    <s v="MON222"/>
    <s v="Chow mein pollo familiar"/>
    <n v="1"/>
    <n v="58900"/>
    <n v="0"/>
    <n v="30804"/>
    <n v="28096"/>
    <n v="0.47701188455008486"/>
    <n v="0"/>
    <s v="Platos mong"/>
    <s v="No Personal"/>
    <s v="Caja"/>
  </r>
  <r>
    <x v="1"/>
    <x v="4"/>
    <x v="1"/>
    <s v="COMP11"/>
    <s v="COMBO - Lumpia y agua 280 ML"/>
    <n v="1"/>
    <n v="7900"/>
    <n v="0"/>
    <n v="0"/>
    <n v="7900"/>
    <n v="1"/>
    <n v="0"/>
    <s v="Armalo en combo"/>
    <s v="Personal"/>
    <s v="Combo"/>
  </r>
  <r>
    <x v="1"/>
    <x v="4"/>
    <x v="1"/>
    <s v="MON505"/>
    <s v="Arroz vegetales pollo personal"/>
    <n v="1"/>
    <n v="19900"/>
    <n v="0"/>
    <n v="6138"/>
    <n v="13762"/>
    <n v="0.69155778894472364"/>
    <n v="0"/>
    <s v="Platos mong"/>
    <s v="Personal"/>
    <s v="Caja"/>
  </r>
  <r>
    <x v="1"/>
    <x v="4"/>
    <x v="1"/>
    <s v="MON122"/>
    <s v="Chow Fan Pollo familiar"/>
    <n v="1"/>
    <n v="55900"/>
    <n v="0"/>
    <n v="24255"/>
    <n v="31645"/>
    <n v="0.5661001788908766"/>
    <n v="0"/>
    <s v="Platos mong"/>
    <s v="No Personal"/>
    <s v="Caja"/>
  </r>
  <r>
    <x v="1"/>
    <x v="4"/>
    <x v="1"/>
    <s v="MON201"/>
    <s v="Chow Mein Especial trio"/>
    <n v="1"/>
    <n v="45900"/>
    <n v="0"/>
    <n v="19441"/>
    <n v="26459"/>
    <n v="0.57644880174291935"/>
    <n v="0"/>
    <s v="Platos mong"/>
    <s v="No Personal"/>
    <s v="Caja"/>
  </r>
  <r>
    <x v="1"/>
    <x v="4"/>
    <x v="1"/>
    <s v="BEB609"/>
    <s v="Fusetea Limon CB (*Extra)"/>
    <n v="1"/>
    <n v="1600"/>
    <n v="0"/>
    <n v="1874"/>
    <n v="-274"/>
    <n v="-0.17125000000000001"/>
    <n v="0"/>
    <s v="Bebidas"/>
    <s v="Bebidas Cambio de bebida"/>
    <s v="Bebidas"/>
  </r>
  <r>
    <x v="1"/>
    <x v="4"/>
    <x v="1"/>
    <s v="MON112"/>
    <s v="Chow Fan Camarones Familiar"/>
    <n v="1"/>
    <n v="69900"/>
    <n v="0"/>
    <n v="28815"/>
    <n v="41085"/>
    <n v="0.58776824034334763"/>
    <n v="0"/>
    <s v="Platos mong"/>
    <s v="No Personal"/>
    <s v="Caja"/>
  </r>
  <r>
    <x v="1"/>
    <x v="4"/>
    <x v="2"/>
    <s v="BEB00"/>
    <s v="Coca Cola 250 Ml Zero CB (*Extra)"/>
    <n v="46"/>
    <n v="0"/>
    <n v="0"/>
    <n v="0"/>
    <n v="0"/>
    <n v="0"/>
    <n v="0"/>
    <s v="Bebidas"/>
    <s v="Bebidas Cambio de bebida"/>
    <s v="Bebidas"/>
  </r>
  <r>
    <x v="1"/>
    <x v="4"/>
    <x v="2"/>
    <s v="COMP01"/>
    <s v="COMBO 1- Valenciano personal"/>
    <n v="38"/>
    <n v="937100"/>
    <n v="-275100"/>
    <n v="365826"/>
    <n v="571274"/>
    <n v="0.60961903745598123"/>
    <n v="0.29356525450859033"/>
    <s v="Combos personales"/>
    <s v="Personal"/>
    <s v="Combo"/>
  </r>
  <r>
    <x v="1"/>
    <x v="4"/>
    <x v="2"/>
    <s v="COMP14"/>
    <s v="COMBO ESTUDIANTIL- Chow fan 250 grs"/>
    <n v="24"/>
    <n v="516000"/>
    <n v="-129600"/>
    <n v="0"/>
    <n v="516000"/>
    <n v="1"/>
    <n v="0.25116279069767444"/>
    <s v="Combos personales"/>
    <s v="Personal"/>
    <s v="Caja"/>
  </r>
  <r>
    <x v="1"/>
    <x v="4"/>
    <x v="2"/>
    <s v="ADIC09"/>
    <s v="No deseo (*Extra)"/>
    <n v="16"/>
    <n v="0"/>
    <n v="0"/>
    <n v="0"/>
    <n v="0"/>
    <n v="0"/>
    <n v="0"/>
    <s v="Adición"/>
    <s v="Adición"/>
    <s v="Adición"/>
  </r>
  <r>
    <x v="1"/>
    <x v="4"/>
    <x v="2"/>
    <s v="BEB01"/>
    <s v="Coca Cola 250 Ml Normal CB (*Extra)"/>
    <n v="11"/>
    <n v="11000"/>
    <n v="0"/>
    <n v="21395"/>
    <n v="-10395"/>
    <n v="-0.94499999999999995"/>
    <n v="0"/>
    <s v="Bebidas"/>
    <s v="Bebidas Cambio de bebida"/>
    <s v="Bebidas"/>
  </r>
  <r>
    <x v="1"/>
    <x v="4"/>
    <x v="2"/>
    <s v="COMP02"/>
    <s v="COMBO 2 - Chow fan especial personal"/>
    <n v="11"/>
    <n v="288900"/>
    <n v="-95000"/>
    <n v="104511"/>
    <n v="184389"/>
    <n v="0.63824506749740395"/>
    <n v="0.32883350640359987"/>
    <s v="Combos personales"/>
    <s v="Personal"/>
    <s v="Combo"/>
  </r>
  <r>
    <x v="1"/>
    <x v="4"/>
    <x v="2"/>
    <s v="COMP05"/>
    <s v="COMBO 5 - Chow Mein especial personal"/>
    <n v="8"/>
    <n v="235150"/>
    <n v="-76050"/>
    <n v="90024"/>
    <n v="145126"/>
    <n v="0.61716351265149905"/>
    <n v="0.32341058898575376"/>
    <s v="Combos personales"/>
    <s v="Personal"/>
    <s v="Combo"/>
  </r>
  <r>
    <x v="1"/>
    <x v="4"/>
    <x v="2"/>
    <s v="CAM04"/>
    <s v="Lumpia cambio (*Extra)"/>
    <n v="7"/>
    <n v="0"/>
    <n v="0"/>
    <n v="14343"/>
    <n v="-14343"/>
    <n v="0"/>
    <n v="0"/>
    <s v="Adición"/>
    <s v="Otro"/>
    <s v="Otro"/>
  </r>
  <r>
    <x v="1"/>
    <x v="4"/>
    <x v="2"/>
    <s v="COMP03"/>
    <s v="COMBO 3 - Chop suey especial personal"/>
    <n v="7"/>
    <n v="217700"/>
    <n v="-54600"/>
    <n v="66990"/>
    <n v="150710"/>
    <n v="0.69228295819935692"/>
    <n v="0.25080385852090031"/>
    <s v="Combos personales"/>
    <s v="Personal"/>
    <s v="Combo"/>
  </r>
  <r>
    <x v="1"/>
    <x v="4"/>
    <x v="2"/>
    <s v="BEB620"/>
    <s v="Agua 280 ml CB (*Extra)"/>
    <n v="6"/>
    <n v="0"/>
    <n v="0"/>
    <n v="5208"/>
    <n v="-5208"/>
    <n v="0"/>
    <n v="0"/>
    <s v="Bebidas"/>
    <s v="Bebidas Cambio de bebida"/>
    <s v="Bebidas"/>
  </r>
  <r>
    <x v="1"/>
    <x v="4"/>
    <x v="2"/>
    <s v="COMP04"/>
    <s v="COMBO 4 - arroz vegetales especial"/>
    <n v="6"/>
    <n v="184700"/>
    <n v="-48700"/>
    <n v="61482"/>
    <n v="123218"/>
    <n v="0.66712506767731461"/>
    <n v="0.26367081754195992"/>
    <s v="Combos personales"/>
    <s v="Personal"/>
    <s v="Combo"/>
  </r>
  <r>
    <x v="1"/>
    <x v="4"/>
    <x v="2"/>
    <s v="CAM03"/>
    <s v="Cambio Papas a la francesa 150 grs (*Extra)"/>
    <n v="6"/>
    <n v="5400"/>
    <n v="0"/>
    <n v="9414"/>
    <n v="-4014"/>
    <n v="-0.74333333333333329"/>
    <n v="0"/>
    <s v="Adición"/>
    <s v="Otro"/>
    <s v="Otro"/>
  </r>
  <r>
    <x v="1"/>
    <x v="4"/>
    <x v="2"/>
    <s v="ADIC03"/>
    <s v="Camarones (*Extra)"/>
    <n v="5"/>
    <n v="38000"/>
    <n v="0"/>
    <n v="15540"/>
    <n v="22460"/>
    <n v="0.59105263157894739"/>
    <n v="0"/>
    <s v="Adición"/>
    <s v="Adición"/>
    <s v="Adición"/>
  </r>
  <r>
    <x v="1"/>
    <x v="4"/>
    <x v="2"/>
    <s v="ADIC02"/>
    <s v="Pollo presa ADIC (*Extra)"/>
    <n v="5"/>
    <n v="38000"/>
    <n v="0"/>
    <n v="14245"/>
    <n v="23755"/>
    <n v="0.62513157894736837"/>
    <n v="0"/>
    <s v="Adición"/>
    <s v="Adición"/>
    <s v="Adición"/>
  </r>
  <r>
    <x v="1"/>
    <x v="4"/>
    <x v="2"/>
    <s v="COMC02"/>
    <s v="COMBO AMIGOS"/>
    <n v="5"/>
    <n v="298500"/>
    <n v="-106000"/>
    <n v="118190"/>
    <n v="180310"/>
    <n v="0.6040536013400335"/>
    <n v="0.35510887772194305"/>
    <s v="Combos para compartir"/>
    <s v="No Personal"/>
    <s v="Combo"/>
  </r>
  <r>
    <x v="1"/>
    <x v="4"/>
    <x v="2"/>
    <s v="ADIC08"/>
    <s v="Salsa agridulce Roja (*Extra)"/>
    <n v="5"/>
    <n v="5000"/>
    <n v="0"/>
    <n v="295"/>
    <n v="4705"/>
    <n v="0.94099999999999995"/>
    <n v="0"/>
    <s v="Adición"/>
    <s v="Adición"/>
    <s v="Adición"/>
  </r>
  <r>
    <x v="1"/>
    <x v="4"/>
    <x v="2"/>
    <s v="ADIC04"/>
    <s v="Pollo picado (*Extra)"/>
    <n v="3"/>
    <n v="24000"/>
    <n v="0"/>
    <n v="5241"/>
    <n v="18759"/>
    <n v="0.78162500000000001"/>
    <n v="0"/>
    <s v="Adición"/>
    <s v="Adición"/>
    <s v="Adición"/>
  </r>
  <r>
    <x v="1"/>
    <x v="4"/>
    <x v="2"/>
    <s v="COMP12"/>
    <s v="Combo Sunkee"/>
    <n v="2"/>
    <n v="59800"/>
    <n v="-20000"/>
    <n v="65602"/>
    <n v="-5802"/>
    <n v="-9.7023411371237461E-2"/>
    <n v="0.33444816053511706"/>
    <s v="Combos personales"/>
    <s v="Personal"/>
    <s v="Combo"/>
  </r>
  <r>
    <x v="1"/>
    <x v="4"/>
    <x v="2"/>
    <s v="ENT04"/>
    <s v="LUMPIAS X 2"/>
    <n v="2"/>
    <n v="25800"/>
    <n v="0"/>
    <n v="6278"/>
    <n v="19522"/>
    <n v="0.75666666666666671"/>
    <n v="0"/>
    <s v="Entradas"/>
    <s v="Otro"/>
    <s v="Otro"/>
  </r>
  <r>
    <x v="1"/>
    <x v="4"/>
    <x v="2"/>
    <s v="BEB606"/>
    <s v="Agua Normal 600 Ml CB (*Extra)"/>
    <n v="2"/>
    <n v="4000"/>
    <n v="0"/>
    <n v="2736"/>
    <n v="1264"/>
    <n v="0.316"/>
    <n v="0"/>
    <s v="Bebidas"/>
    <s v="Bebidas Cambio de bebida"/>
    <s v="Bebidas"/>
  </r>
  <r>
    <x v="1"/>
    <x v="4"/>
    <x v="2"/>
    <s v="ADIC12"/>
    <s v="Salsa Soya (*Extra)"/>
    <n v="2"/>
    <n v="2000"/>
    <n v="0"/>
    <n v="0"/>
    <n v="2000"/>
    <n v="1"/>
    <n v="0"/>
    <s v="Adición"/>
    <s v="Adición"/>
    <s v="Adición"/>
  </r>
  <r>
    <x v="1"/>
    <x v="4"/>
    <x v="2"/>
    <s v="ADIC05"/>
    <s v="Vegetales salteados (*Extra)"/>
    <n v="2"/>
    <n v="13400"/>
    <n v="0"/>
    <n v="14"/>
    <n v="13386"/>
    <n v="0.99895522388059699"/>
    <n v="0"/>
    <s v="Adición"/>
    <s v="Adición"/>
    <s v="Adición"/>
  </r>
  <r>
    <x v="1"/>
    <x v="4"/>
    <x v="2"/>
    <s v="BEB601"/>
    <s v="Coca Cola 400 Ml Normal CB (*Extra)"/>
    <n v="2"/>
    <n v="5200"/>
    <n v="0"/>
    <n v="4470"/>
    <n v="730"/>
    <n v="0.14038461538461539"/>
    <n v="0"/>
    <s v="Bebidas"/>
    <s v="Bebidas Cambio de bebida"/>
    <s v="Bebidas"/>
  </r>
  <r>
    <x v="1"/>
    <x v="4"/>
    <x v="2"/>
    <s v="BEB581"/>
    <s v="Coca Cola 400 Ml Normal"/>
    <n v="1"/>
    <n v="6500"/>
    <n v="0"/>
    <n v="1695"/>
    <n v="4805"/>
    <n v="0.73923076923076925"/>
    <n v="0"/>
    <s v="Bebidas"/>
    <s v="Bebidas"/>
    <s v="Bebidas"/>
  </r>
  <r>
    <x v="1"/>
    <x v="4"/>
    <x v="2"/>
    <s v="COMC04"/>
    <s v="COMBO FAMIAMIGOS"/>
    <n v="1"/>
    <n v="83900"/>
    <n v="-28000"/>
    <n v="39221"/>
    <n v="44679"/>
    <n v="0.53252681764004772"/>
    <n v="0.33373063170441003"/>
    <s v="Combos para compartir"/>
    <s v="No Personal"/>
    <s v="Combo"/>
  </r>
  <r>
    <x v="1"/>
    <x v="4"/>
    <x v="2"/>
    <s v="BEB609"/>
    <s v="Fusetea Limon CB (*Extra)"/>
    <n v="1"/>
    <n v="2000"/>
    <n v="0"/>
    <n v="1874"/>
    <n v="126"/>
    <n v="6.3E-2"/>
    <n v="0"/>
    <s v="Bebidas"/>
    <s v="Bebidas Cambio de bebida"/>
    <s v="Bebidas"/>
  </r>
  <r>
    <x v="1"/>
    <x v="4"/>
    <x v="2"/>
    <s v="ADIC566"/>
    <s v="Pollo a la naranja"/>
    <n v="1"/>
    <n v="9900"/>
    <n v="0"/>
    <n v="0"/>
    <n v="9900"/>
    <n v="1"/>
    <n v="0"/>
    <s v="Adición"/>
    <s v="Adición"/>
    <s v="Adición"/>
  </r>
  <r>
    <x v="1"/>
    <x v="4"/>
    <x v="2"/>
    <s v="ADIC563"/>
    <s v="Adición Arroz Frito"/>
    <n v="1"/>
    <n v="7900"/>
    <n v="0"/>
    <n v="1282"/>
    <n v="6618"/>
    <n v="0.83772151898734182"/>
    <n v="0"/>
    <s v="Adición"/>
    <s v="Adición"/>
    <s v="Adición"/>
  </r>
  <r>
    <x v="1"/>
    <x v="4"/>
    <x v="2"/>
    <s v="BEB596"/>
    <s v="Fusetea mango"/>
    <n v="1"/>
    <n v="5900"/>
    <n v="0"/>
    <n v="1896"/>
    <n v="4004"/>
    <n v="0.67864406779661013"/>
    <n v="0"/>
    <s v="Bebidas"/>
    <s v="Bebidas"/>
    <s v="Bebidas"/>
  </r>
  <r>
    <x v="1"/>
    <x v="4"/>
    <x v="2"/>
    <s v="PESP05"/>
    <s v="WONG- Menú infantil"/>
    <n v="1"/>
    <n v="19900"/>
    <n v="0"/>
    <n v="7125"/>
    <n v="12775"/>
    <n v="0.64195979899497491"/>
    <n v="0"/>
    <s v="Platos especiales"/>
    <s v="Personal"/>
    <s v="Platos Especiales"/>
  </r>
  <r>
    <x v="1"/>
    <x v="4"/>
    <x v="2"/>
    <s v="ADIC11"/>
    <s v="Salsa Teriyaki (*Extra)"/>
    <n v="1"/>
    <n v="1000"/>
    <n v="0"/>
    <n v="0"/>
    <n v="1000"/>
    <n v="1"/>
    <n v="0"/>
    <s v="Adición"/>
    <s v="Adición"/>
    <s v="Adición"/>
  </r>
  <r>
    <x v="1"/>
    <x v="4"/>
    <x v="2"/>
    <s v="ADIC06"/>
    <s v="Arroz Frito ADIC (*Extra)"/>
    <n v="1"/>
    <n v="4800"/>
    <n v="0"/>
    <n v="1282"/>
    <n v="3518"/>
    <n v="0.73291666666666666"/>
    <n v="0"/>
    <s v="Adición"/>
    <s v="Adición"/>
    <s v="Adición"/>
  </r>
  <r>
    <x v="1"/>
    <x v="4"/>
    <x v="2"/>
    <s v="ADIC564"/>
    <s v="Adición Presa de pollo"/>
    <n v="1"/>
    <n v="8900"/>
    <n v="0"/>
    <n v="2464"/>
    <n v="6436"/>
    <n v="0.72314606741573029"/>
    <n v="0"/>
    <s v="Adición"/>
    <s v="Adición"/>
    <s v="Adición"/>
  </r>
  <r>
    <x v="1"/>
    <x v="4"/>
    <x v="2"/>
    <s v="ADIC490"/>
    <s v="Adicion - Pollo en trozos"/>
    <n v="1"/>
    <n v="8899"/>
    <n v="0"/>
    <n v="2245"/>
    <n v="6654"/>
    <n v="0.74772446342285648"/>
    <n v="0"/>
    <s v="Adición"/>
    <s v="Adición"/>
    <s v="Adición"/>
  </r>
  <r>
    <x v="1"/>
    <x v="4"/>
    <x v="2"/>
    <s v="BEB613"/>
    <s v="Coca Cola 400 Ml Zero CB (*Extra)"/>
    <n v="1"/>
    <n v="2600"/>
    <n v="0"/>
    <n v="2239"/>
    <n v="361"/>
    <n v="0.13884615384615384"/>
    <n v="0"/>
    <s v="Bebidas"/>
    <s v="Bebidas Cambio de bebida"/>
    <s v="Bebidas"/>
  </r>
  <r>
    <x v="1"/>
    <x v="4"/>
    <x v="2"/>
    <s v="COMP13"/>
    <s v="COMBO ARMA TU PLATO"/>
    <n v="1"/>
    <n v="29150"/>
    <n v="-9750"/>
    <n v="0"/>
    <n v="29150"/>
    <n v="1"/>
    <n v="0.33447684391080618"/>
    <s v="Combos personales"/>
    <s v="Personal"/>
    <s v="Combo"/>
  </r>
  <r>
    <x v="1"/>
    <x v="4"/>
    <x v="2"/>
    <s v="ATP04"/>
    <s v="Chop suey (*Extra)"/>
    <n v="1"/>
    <n v="0"/>
    <n v="0"/>
    <n v="2634"/>
    <n v="-2634"/>
    <n v="0"/>
    <n v="0"/>
    <s v="Arma tu plato"/>
    <s v="Personal"/>
    <s v="Caja"/>
  </r>
  <r>
    <x v="1"/>
    <x v="4"/>
    <x v="2"/>
    <s v="ATP01"/>
    <s v="Pollo a la naranja (*Extra)"/>
    <n v="1"/>
    <n v="0"/>
    <n v="0"/>
    <n v="5491"/>
    <n v="-5491"/>
    <n v="0"/>
    <n v="0"/>
    <s v="Arma tu plato"/>
    <s v="Personal"/>
    <s v="Caja"/>
  </r>
  <r>
    <x v="1"/>
    <x v="4"/>
    <x v="2"/>
    <s v="ATP02"/>
    <s v="Camarones apanados 7 (*Extra)"/>
    <n v="1"/>
    <n v="2000"/>
    <n v="0"/>
    <n v="3108"/>
    <n v="-1108"/>
    <n v="-0.55400000000000005"/>
    <n v="0"/>
    <s v="Arma tu plato"/>
    <s v="Personal"/>
    <s v="Caja"/>
  </r>
  <r>
    <x v="1"/>
    <x v="4"/>
    <x v="0"/>
    <s v="ENT04"/>
    <s v="LUMPIAS X 2"/>
    <n v="66"/>
    <n v="554967"/>
    <n v="-32433"/>
    <n v="207174"/>
    <n v="347793"/>
    <n v="0.62669131678099776"/>
    <n v="5.8441312726702666E-2"/>
    <s v="Entradas"/>
    <s v="Otro"/>
    <s v="Otro"/>
  </r>
  <r>
    <x v="1"/>
    <x v="4"/>
    <x v="0"/>
    <s v="COMP01"/>
    <s v="COMBO 1- Valenciano personal"/>
    <n v="40"/>
    <n v="942468"/>
    <n v="-13532"/>
    <n v="385080"/>
    <n v="557388"/>
    <n v="0.5914131832592725"/>
    <n v="1.4358047169771281E-2"/>
    <s v="Combos personales"/>
    <s v="Personal"/>
    <s v="Combo"/>
  </r>
  <r>
    <x v="1"/>
    <x v="4"/>
    <x v="0"/>
    <s v="MON101"/>
    <s v="Chow fan especial trio"/>
    <n v="39"/>
    <n v="1544697"/>
    <n v="-11403"/>
    <n v="782067"/>
    <n v="762630"/>
    <n v="0.4937084748659446"/>
    <n v="7.3820302622456058E-3"/>
    <s v="Platos mong"/>
    <s v="No Personal"/>
    <s v="Platos Especiales"/>
  </r>
  <r>
    <x v="1"/>
    <x v="4"/>
    <x v="0"/>
    <s v="MON301"/>
    <s v="Chop Suey Especial trio"/>
    <n v="38"/>
    <n v="1481849"/>
    <n v="-148351"/>
    <n v="430616"/>
    <n v="1051233"/>
    <n v="0.7094062890348477"/>
    <n v="0.10011208969334932"/>
    <s v="Platos mong"/>
    <s v="No Personal"/>
    <s v="Caja"/>
  </r>
  <r>
    <x v="1"/>
    <x v="4"/>
    <x v="0"/>
    <s v="MONE700"/>
    <s v="Mong Express Chop suey pollo"/>
    <n v="29"/>
    <n v="566104"/>
    <n v="-10996"/>
    <n v="237307"/>
    <n v="328797"/>
    <n v="0.58080670689484615"/>
    <n v="1.9423992764580358E-2"/>
    <s v="Mong Express"/>
    <s v="Personal"/>
    <s v="Caja"/>
  </r>
  <r>
    <x v="1"/>
    <x v="4"/>
    <x v="0"/>
    <s v="ENT02"/>
    <s v="LUMPIA X 1"/>
    <n v="28"/>
    <n v="122878"/>
    <n v="-17122"/>
    <n v="43932"/>
    <n v="78946"/>
    <n v="0.6424746496525009"/>
    <n v="0.13934146063575253"/>
    <s v="Entradas"/>
    <s v="Otro"/>
    <s v="Otro"/>
  </r>
  <r>
    <x v="1"/>
    <x v="4"/>
    <x v="0"/>
    <s v="MON132"/>
    <s v="Chow Fan Valenciano familiar"/>
    <n v="25"/>
    <n v="1542370"/>
    <n v="-130130"/>
    <n v="866375"/>
    <n v="675995"/>
    <n v="0.43828329129845628"/>
    <n v="8.4370157614580166E-2"/>
    <s v="Platos mong"/>
    <s v="No Personal"/>
    <s v="Caja"/>
  </r>
  <r>
    <x v="1"/>
    <x v="4"/>
    <x v="0"/>
    <s v="MONE701"/>
    <s v="Mong Express Chow fan"/>
    <n v="23"/>
    <n v="440093"/>
    <n v="-17607"/>
    <n v="0"/>
    <n v="440093"/>
    <n v="1"/>
    <n v="4.0007452970167667E-2"/>
    <s v="Mong Express"/>
    <s v="Personal"/>
    <s v="Caja"/>
  </r>
  <r>
    <x v="1"/>
    <x v="4"/>
    <x v="0"/>
    <s v="COMC02"/>
    <s v="COMBO AMIGOS"/>
    <n v="18"/>
    <n v="963372"/>
    <n v="-6828"/>
    <n v="425484"/>
    <n v="537888"/>
    <n v="0.55833883484261526"/>
    <n v="7.0876047881815122E-3"/>
    <s v="Combos para compartir"/>
    <s v="No Personal"/>
    <s v="Combo"/>
  </r>
  <r>
    <x v="1"/>
    <x v="4"/>
    <x v="0"/>
    <s v="MON450"/>
    <s v="Arma tu plato"/>
    <n v="17"/>
    <n v="408548"/>
    <n v="-14752"/>
    <n v="0"/>
    <n v="408548"/>
    <n v="1"/>
    <n v="3.6108364255852433E-2"/>
    <s v="Arma tu plato"/>
    <s v="Personal"/>
    <s v="Caja"/>
  </r>
  <r>
    <x v="1"/>
    <x v="4"/>
    <x v="0"/>
    <s v="MON102"/>
    <s v="Chow Fan Especial familiar"/>
    <n v="17"/>
    <n v="836219"/>
    <n v="-12081"/>
    <n v="549967"/>
    <n v="286252"/>
    <n v="0.34231702460719021"/>
    <n v="1.4447172331649962E-2"/>
    <s v="Platos mong"/>
    <s v="No Personal"/>
    <s v="Caja"/>
  </r>
  <r>
    <x v="1"/>
    <x v="4"/>
    <x v="0"/>
    <s v="MON131"/>
    <s v="Chow Fan Valenciano trio"/>
    <n v="17"/>
    <n v="834650"/>
    <n v="-13650"/>
    <n v="319906"/>
    <n v="514744"/>
    <n v="0.61671838495177622"/>
    <n v="1.6354160426526088E-2"/>
    <s v="Platos mong"/>
    <s v="No Personal"/>
    <s v="Caja"/>
  </r>
  <r>
    <x v="1"/>
    <x v="4"/>
    <x v="0"/>
    <s v="COMP02"/>
    <s v="COMBO 2 - Chow fan especial personal"/>
    <n v="15"/>
    <n v="366242"/>
    <n v="-22258"/>
    <n v="142515"/>
    <n v="223727"/>
    <n v="0.61087204635186576"/>
    <n v="6.0774023732941607E-2"/>
    <s v="Combos personales"/>
    <s v="Personal"/>
    <s v="Combo"/>
  </r>
  <r>
    <x v="1"/>
    <x v="4"/>
    <x v="0"/>
    <s v="ATP01"/>
    <s v="Pollo a la naranja (*Extra)"/>
    <n v="14"/>
    <n v="0"/>
    <n v="0"/>
    <n v="76874"/>
    <n v="-76874"/>
    <n v="0"/>
    <n v="0"/>
    <s v="Arma tu plato"/>
    <s v="Personal"/>
    <s v="Caja"/>
  </r>
  <r>
    <x v="1"/>
    <x v="4"/>
    <x v="0"/>
    <s v="MON300"/>
    <s v="Chop suey especial personal"/>
    <n v="13"/>
    <n v="270105"/>
    <n v="-1595"/>
    <n v="88894"/>
    <n v="181211"/>
    <n v="0.67089094981581232"/>
    <n v="5.9051109753614339E-3"/>
    <s v="Platos mong"/>
    <s v="Personal"/>
    <s v="Caja"/>
  </r>
  <r>
    <x v="1"/>
    <x v="4"/>
    <x v="0"/>
    <s v="MON320"/>
    <s v="Chop Suey Pollo Personal"/>
    <n v="12"/>
    <n v="204159"/>
    <n v="-22641"/>
    <n v="65532"/>
    <n v="138627"/>
    <n v="0.67901488545692323"/>
    <n v="0.11089885824284014"/>
    <s v="Platos mong"/>
    <s v="Personal"/>
    <s v="Caja"/>
  </r>
  <r>
    <x v="1"/>
    <x v="4"/>
    <x v="0"/>
    <s v="ADIC564"/>
    <s v="Adición Presa de pollo"/>
    <n v="12"/>
    <n v="81564"/>
    <n v="-1236"/>
    <n v="29568"/>
    <n v="51996"/>
    <n v="0.63748712667353247"/>
    <n v="1.5153744298955421E-2"/>
    <s v="Adición"/>
    <s v="Adición"/>
    <s v="Adición"/>
  </r>
  <r>
    <x v="1"/>
    <x v="4"/>
    <x v="0"/>
    <s v="MON100"/>
    <s v="Chow Fan Especial Personal"/>
    <n v="11"/>
    <n v="209742"/>
    <n v="-9158"/>
    <n v="74448"/>
    <n v="135294"/>
    <n v="0.64504963240552682"/>
    <n v="4.3663167129139611E-2"/>
    <s v="Platos mong"/>
    <s v="Personal"/>
    <s v="Caja"/>
  </r>
  <r>
    <x v="1"/>
    <x v="4"/>
    <x v="0"/>
    <s v="BEB598"/>
    <s v="Coca Cola 1,5 litros"/>
    <n v="11"/>
    <n v="107135"/>
    <n v="-1765"/>
    <n v="49511"/>
    <n v="57624"/>
    <n v="0.53786344331917679"/>
    <n v="1.6474541466374202E-2"/>
    <s v="Bebidas"/>
    <s v="Bebidas"/>
    <s v="Bebidas"/>
  </r>
  <r>
    <x v="1"/>
    <x v="4"/>
    <x v="0"/>
    <s v="COMP03"/>
    <s v="COMBO 3 - Chop suey especial personal"/>
    <n v="10"/>
    <n v="284737"/>
    <n v="-4263"/>
    <n v="95700"/>
    <n v="189037"/>
    <n v="0.6639003712197572"/>
    <n v="1.4971710736574453E-2"/>
    <s v="Combos personales"/>
    <s v="Personal"/>
    <s v="Combo"/>
  </r>
  <r>
    <x v="1"/>
    <x v="4"/>
    <x v="0"/>
    <s v="BEB600"/>
    <s v="Fuze te limón 1.2"/>
    <n v="10"/>
    <n v="76295"/>
    <n v="-3705"/>
    <n v="0"/>
    <n v="76295"/>
    <n v="1"/>
    <n v="4.8561504685759226E-2"/>
    <s v="Bebidas"/>
    <s v="Bebidas"/>
    <s v="Bebidas"/>
  </r>
  <r>
    <x v="1"/>
    <x v="4"/>
    <x v="0"/>
    <s v="MON200"/>
    <s v="Chow Mein Especial Personal"/>
    <n v="9"/>
    <n v="162279"/>
    <n v="-25821"/>
    <n v="76689"/>
    <n v="85590"/>
    <n v="0.52742499029449286"/>
    <n v="0.15911485774499473"/>
    <s v="Platos mong"/>
    <s v="Personal"/>
    <s v="Caja"/>
  </r>
  <r>
    <x v="1"/>
    <x v="4"/>
    <x v="0"/>
    <s v="COMP05"/>
    <s v="COMBO 5 - Chow Mein especial personal"/>
    <n v="8"/>
    <n v="225278"/>
    <n v="-5922"/>
    <n v="90024"/>
    <n v="135254"/>
    <n v="0.60038707730004703"/>
    <n v="2.6287520308241372E-2"/>
    <s v="Combos personales"/>
    <s v="Personal"/>
    <s v="Combo"/>
  </r>
  <r>
    <x v="1"/>
    <x v="4"/>
    <x v="0"/>
    <s v="COMC04"/>
    <s v="COMBO FAMIAMIGOS"/>
    <n v="8"/>
    <n v="545200"/>
    <n v="-14000"/>
    <n v="313768"/>
    <n v="231432"/>
    <n v="0.42449009537784299"/>
    <n v="2.5678650036683785E-2"/>
    <s v="Combos para compartir"/>
    <s v="No Personal"/>
    <s v="Combo"/>
  </r>
  <r>
    <x v="1"/>
    <x v="4"/>
    <x v="0"/>
    <s v="ATP03"/>
    <s v="Arroz vegetales (*Extra)"/>
    <n v="7"/>
    <n v="13975"/>
    <n v="-25"/>
    <n v="14245"/>
    <n v="-270"/>
    <n v="-1.9320214669051879E-2"/>
    <n v="1.7889087656529517E-3"/>
    <s v="Arma tu plato"/>
    <s v="Personal"/>
    <s v="Caja"/>
  </r>
  <r>
    <x v="1"/>
    <x v="4"/>
    <x v="0"/>
    <s v="ATP10"/>
    <s v="Cerdo agridulce (*Extra)"/>
    <n v="7"/>
    <n v="0"/>
    <n v="0"/>
    <n v="38269"/>
    <n v="-38269"/>
    <n v="0"/>
    <n v="0"/>
    <s v="Arma tu plato"/>
    <s v="Personal"/>
    <s v="Caja"/>
  </r>
  <r>
    <x v="1"/>
    <x v="4"/>
    <x v="0"/>
    <s v="MON122"/>
    <s v="Chow Fan Pollo familiar"/>
    <n v="7"/>
    <n v="293300"/>
    <n v="0"/>
    <n v="169785"/>
    <n v="123515"/>
    <n v="0.42112171837708828"/>
    <n v="0"/>
    <s v="Platos mong"/>
    <s v="No Personal"/>
    <s v="Caja"/>
  </r>
  <r>
    <x v="1"/>
    <x v="4"/>
    <x v="0"/>
    <s v="PESP04"/>
    <s v="SUN KEE"/>
    <n v="7"/>
    <n v="185197"/>
    <n v="-3103"/>
    <n v="95466"/>
    <n v="89731"/>
    <n v="0.48451648784807527"/>
    <n v="1.6755131022640757E-2"/>
    <s v="Platos especiales"/>
    <s v="Personal"/>
    <s v="Platos Especiales"/>
  </r>
  <r>
    <x v="1"/>
    <x v="4"/>
    <x v="0"/>
    <s v="MON302"/>
    <s v="Chop Suey Especial Familiar"/>
    <n v="7"/>
    <n v="399300"/>
    <n v="-6000"/>
    <n v="196399"/>
    <n v="202901"/>
    <n v="0.50814174805910339"/>
    <n v="1.5026296018031555E-2"/>
    <s v="Platos mong"/>
    <s v="No Personal"/>
    <s v="Caja"/>
  </r>
  <r>
    <x v="1"/>
    <x v="4"/>
    <x v="0"/>
    <s v="MON120"/>
    <s v="Chow Fan Pollo Personal"/>
    <n v="7"/>
    <n v="110632"/>
    <n v="-668"/>
    <n v="42448"/>
    <n v="68184"/>
    <n v="0.61631354400173544"/>
    <n v="6.0380360112806423E-3"/>
    <s v="Platos mong"/>
    <s v="Personal"/>
    <s v="Caja"/>
  </r>
  <r>
    <x v="1"/>
    <x v="4"/>
    <x v="0"/>
    <s v="BEB593"/>
    <s v="Coca Cola 250 Ml Zero"/>
    <n v="6"/>
    <n v="19922"/>
    <n v="-3478"/>
    <n v="7746"/>
    <n v="12176"/>
    <n v="0.61118361610280092"/>
    <n v="0.17458086537496234"/>
    <s v="Bebidas"/>
    <s v="Bebidas"/>
    <s v="Bebidas"/>
  </r>
  <r>
    <x v="1"/>
    <x v="4"/>
    <x v="0"/>
    <s v="MON103"/>
    <s v="Chow Fan Especial megafamiliar"/>
    <n v="6"/>
    <n v="473682"/>
    <n v="-17718"/>
    <n v="256224"/>
    <n v="217458"/>
    <n v="0.45908014237399775"/>
    <n v="3.7404841222592369E-2"/>
    <s v="Platos mong"/>
    <s v="No Personal"/>
    <s v="Caja"/>
  </r>
  <r>
    <x v="1"/>
    <x v="4"/>
    <x v="0"/>
    <s v="MON130"/>
    <s v="Chow Fan Valenciano Personal"/>
    <n v="5"/>
    <n v="105429"/>
    <n v="-4071"/>
    <n v="42320"/>
    <n v="63109"/>
    <n v="0.59859241764599869"/>
    <n v="3.8613664172096863E-2"/>
    <s v="Platos mong"/>
    <s v="Personal"/>
    <s v="Caja"/>
  </r>
  <r>
    <x v="1"/>
    <x v="4"/>
    <x v="0"/>
    <s v="ATP09"/>
    <s v="Res brócoli (*Extra)"/>
    <n v="5"/>
    <n v="0"/>
    <n v="0"/>
    <n v="16610"/>
    <n v="-16610"/>
    <n v="0"/>
    <n v="0"/>
    <s v="Arma tu plato"/>
    <s v="Personal"/>
    <s v="Caja"/>
  </r>
  <r>
    <x v="1"/>
    <x v="4"/>
    <x v="0"/>
    <s v="BEB581"/>
    <s v="Coca Cola 400 Ml Normal"/>
    <n v="5"/>
    <n v="29425"/>
    <n v="-75"/>
    <n v="8475"/>
    <n v="20950"/>
    <n v="0.71197960917587089"/>
    <n v="2.5488530161427358E-3"/>
    <s v="Bebidas"/>
    <s v="Bebidas"/>
    <s v="Bebidas"/>
  </r>
  <r>
    <x v="1"/>
    <x v="4"/>
    <x v="0"/>
    <s v="MON121"/>
    <s v="Chow Fan Pollo trio"/>
    <n v="5"/>
    <n v="163430"/>
    <n v="-6070"/>
    <n v="71155"/>
    <n v="92275"/>
    <n v="0.56461481980052619"/>
    <n v="3.7141283730037326E-2"/>
    <s v="Platos mong"/>
    <s v="No Personal"/>
    <s v="Caja"/>
  </r>
  <r>
    <x v="1"/>
    <x v="4"/>
    <x v="0"/>
    <s v="PESP02"/>
    <s v="MONG"/>
    <n v="5"/>
    <n v="124500"/>
    <n v="0"/>
    <n v="63590"/>
    <n v="60910"/>
    <n v="0.48923694779116467"/>
    <n v="0"/>
    <s v="Platos especiales"/>
    <s v="Personal"/>
    <s v="Platos Especiales"/>
  </r>
  <r>
    <x v="1"/>
    <x v="4"/>
    <x v="0"/>
    <s v="ATP02"/>
    <s v="Camarones apanados 7 (*Extra)"/>
    <n v="4"/>
    <n v="7072"/>
    <n v="-928"/>
    <n v="12432"/>
    <n v="-5360"/>
    <n v="-0.75791855203619907"/>
    <n v="0.13122171945701358"/>
    <s v="Arma tu plato"/>
    <s v="Personal"/>
    <s v="Caja"/>
  </r>
  <r>
    <x v="1"/>
    <x v="4"/>
    <x v="0"/>
    <s v="ADIC563"/>
    <s v="Adición Arroz Frito"/>
    <n v="4"/>
    <n v="20900"/>
    <n v="-2700"/>
    <n v="5128"/>
    <n v="15772"/>
    <n v="0.75464114832535889"/>
    <n v="0.12918660287081341"/>
    <s v="Adición"/>
    <s v="Adición"/>
    <s v="Adición"/>
  </r>
  <r>
    <x v="1"/>
    <x v="4"/>
    <x v="0"/>
    <s v="ADIC566"/>
    <s v="Pollo a la naranja"/>
    <n v="4"/>
    <n v="31600"/>
    <n v="0"/>
    <n v="0"/>
    <n v="31600"/>
    <n v="1"/>
    <n v="0"/>
    <s v="Adición"/>
    <s v="Adición"/>
    <s v="Adición"/>
  </r>
  <r>
    <x v="1"/>
    <x v="4"/>
    <x v="0"/>
    <s v="ATP05"/>
    <s v="Chow mein (*Extra)"/>
    <n v="4"/>
    <n v="0"/>
    <n v="0"/>
    <n v="12388"/>
    <n v="-12388"/>
    <n v="0"/>
    <n v="0"/>
    <s v="Arma tu plato"/>
    <s v="Personal"/>
    <s v="Caja"/>
  </r>
  <r>
    <x v="1"/>
    <x v="4"/>
    <x v="0"/>
    <s v="ADIC560"/>
    <s v="Adición Papa frita"/>
    <n v="4"/>
    <n v="22611"/>
    <n v="-989"/>
    <n v="16392"/>
    <n v="6219"/>
    <n v="0.27504312060501523"/>
    <n v="4.3739772677015613E-2"/>
    <s v="Adición"/>
    <s v="Adición"/>
    <s v="Adición"/>
  </r>
  <r>
    <x v="1"/>
    <x v="4"/>
    <x v="0"/>
    <s v="ENT03"/>
    <s v="CAMARONES APANADOS"/>
    <n v="4"/>
    <n v="65973"/>
    <n v="-1627"/>
    <n v="24860"/>
    <n v="41113"/>
    <n v="0.62317917936125389"/>
    <n v="2.4661603989510859E-2"/>
    <s v="Entradas"/>
    <s v="Otro"/>
    <s v="Otro"/>
  </r>
  <r>
    <x v="1"/>
    <x v="4"/>
    <x v="0"/>
    <s v="COMP10"/>
    <s v="COMBO - Lumpia y Coca Cola 250 ml"/>
    <n v="3"/>
    <n v="23368"/>
    <n v="-332"/>
    <n v="0"/>
    <n v="23368"/>
    <n v="1"/>
    <n v="1.4207463197535091E-2"/>
    <s v="Armalo en combo"/>
    <s v="Personal"/>
    <s v="Combo"/>
  </r>
  <r>
    <x v="1"/>
    <x v="4"/>
    <x v="0"/>
    <s v="ATP04"/>
    <s v="Chop suey (*Extra)"/>
    <n v="3"/>
    <n v="0"/>
    <n v="0"/>
    <n v="7902"/>
    <n v="-7902"/>
    <n v="0"/>
    <n v="0"/>
    <s v="Arma tu plato"/>
    <s v="Personal"/>
    <s v="Caja"/>
  </r>
  <r>
    <x v="1"/>
    <x v="4"/>
    <x v="0"/>
    <s v="ATP06"/>
    <s v="Arroz Frito ATP (*Extra)"/>
    <n v="3"/>
    <n v="0"/>
    <n v="0"/>
    <n v="3846"/>
    <n v="-3846"/>
    <n v="0"/>
    <n v="0"/>
    <s v="Arma tu plato"/>
    <s v="Personal"/>
    <s v="Caja"/>
  </r>
  <r>
    <x v="1"/>
    <x v="4"/>
    <x v="0"/>
    <s v="ADIC565"/>
    <s v="Adición Camaron"/>
    <n v="3"/>
    <n v="20700"/>
    <n v="0"/>
    <n v="9324"/>
    <n v="11376"/>
    <n v="0.54956521739130437"/>
    <n v="0"/>
    <s v="Adición"/>
    <s v="Adición"/>
    <s v="Adición"/>
  </r>
  <r>
    <x v="1"/>
    <x v="4"/>
    <x v="0"/>
    <s v="MON201"/>
    <s v="Chow Mein Especial trio"/>
    <n v="3"/>
    <n v="111003"/>
    <n v="-17697"/>
    <n v="58323"/>
    <n v="52680"/>
    <n v="0.47458176806032271"/>
    <n v="0.159428123564228"/>
    <s v="Platos mong"/>
    <s v="No Personal"/>
    <s v="Caja"/>
  </r>
  <r>
    <x v="1"/>
    <x v="4"/>
    <x v="0"/>
    <s v="CAM04"/>
    <s v="Lumpia cambio (*Extra)"/>
    <n v="3"/>
    <n v="0"/>
    <n v="0"/>
    <n v="6147"/>
    <n v="-6147"/>
    <n v="0"/>
    <n v="0"/>
    <s v="Adición"/>
    <s v="Otro"/>
    <s v="Otro"/>
  </r>
  <r>
    <x v="1"/>
    <x v="4"/>
    <x v="0"/>
    <s v="MON321"/>
    <s v="Chop Suey Pollo trio"/>
    <n v="3"/>
    <n v="104700"/>
    <n v="0"/>
    <n v="33651"/>
    <n v="71049"/>
    <n v="0.67859598853868197"/>
    <n v="0"/>
    <s v="Platos mong"/>
    <s v="No Personal"/>
    <s v="Caja"/>
  </r>
  <r>
    <x v="1"/>
    <x v="4"/>
    <x v="0"/>
    <s v="COMC07"/>
    <s v="COMBO ANTOJO"/>
    <n v="3"/>
    <n v="61105"/>
    <n v="-1595"/>
    <n v="23919"/>
    <n v="37186"/>
    <n v="0.60855903772195397"/>
    <n v="2.6102610261026102E-2"/>
    <s v="Combos para compartir"/>
    <s v="No Personal"/>
    <s v="Combo"/>
  </r>
  <r>
    <x v="1"/>
    <x v="4"/>
    <x v="0"/>
    <s v="BEB588"/>
    <s v="Fusetea Limon"/>
    <n v="3"/>
    <n v="14700"/>
    <n v="0"/>
    <n v="4680"/>
    <n v="10020"/>
    <n v="0.68163265306122445"/>
    <n v="0"/>
    <s v="Bebidas"/>
    <s v="Bebidas"/>
    <s v="Bebidas"/>
  </r>
  <r>
    <x v="1"/>
    <x v="4"/>
    <x v="0"/>
    <s v="BEB586"/>
    <s v="Agua Gas 600 Ml"/>
    <n v="2"/>
    <n v="9060"/>
    <n v="-740"/>
    <n v="2576"/>
    <n v="6484"/>
    <n v="0.71567328918322293"/>
    <n v="8.1677704194260486E-2"/>
    <s v="Bebidas"/>
    <s v="Bebidas"/>
    <s v="Bebidas"/>
  </r>
  <r>
    <x v="1"/>
    <x v="4"/>
    <x v="0"/>
    <s v="ATP07"/>
    <s v="Pollo presa ATP (*Extra)"/>
    <n v="2"/>
    <n v="0"/>
    <n v="0"/>
    <n v="5698"/>
    <n v="-5698"/>
    <n v="0"/>
    <n v="0"/>
    <s v="Arma tu plato"/>
    <s v="Personal"/>
    <s v="Caja"/>
  </r>
  <r>
    <x v="1"/>
    <x v="4"/>
    <x v="0"/>
    <s v="BEB585"/>
    <s v="Agua Normal 600 Ml"/>
    <n v="2"/>
    <n v="9800"/>
    <n v="0"/>
    <n v="2190"/>
    <n v="7610"/>
    <n v="0.77653061224489794"/>
    <n v="0"/>
    <s v="Bebidas"/>
    <s v="Bebidas"/>
    <s v="Bebidas"/>
  </r>
  <r>
    <x v="1"/>
    <x v="4"/>
    <x v="0"/>
    <s v="BEB620"/>
    <s v="Agua 280 ml CB (*Extra)"/>
    <n v="2"/>
    <n v="0"/>
    <n v="0"/>
    <n v="1736"/>
    <n v="-1736"/>
    <n v="0"/>
    <n v="0"/>
    <s v="Bebidas"/>
    <s v="Bebidas Cambio de bebida"/>
    <s v="Bebidas"/>
  </r>
  <r>
    <x v="1"/>
    <x v="4"/>
    <x v="0"/>
    <s v="MON330"/>
    <s v="Chop Suey Vegetariano Personal"/>
    <n v="2"/>
    <n v="35800"/>
    <n v="0"/>
    <n v="10932"/>
    <n v="24868"/>
    <n v="0.69463687150837994"/>
    <n v="0"/>
    <s v="Platos mong"/>
    <s v="Personal"/>
    <s v="Caja"/>
  </r>
  <r>
    <x v="1"/>
    <x v="4"/>
    <x v="0"/>
    <s v="BEB592"/>
    <s v="Coca Cola 400 Ml Zero"/>
    <n v="2"/>
    <n v="10872"/>
    <n v="-928"/>
    <n v="2896"/>
    <n v="7976"/>
    <n v="0.73362766740250185"/>
    <n v="8.535688005886681E-2"/>
    <s v="Bebidas"/>
    <s v="Bebidas"/>
    <s v="Bebidas"/>
  </r>
  <r>
    <x v="1"/>
    <x v="4"/>
    <x v="0"/>
    <s v="MON310"/>
    <s v="Chop suey camarón personal"/>
    <n v="2"/>
    <n v="47800"/>
    <n v="0"/>
    <n v="17514"/>
    <n v="30286"/>
    <n v="0.6335983263598326"/>
    <n v="0"/>
    <s v="Platos mong"/>
    <s v="Personal"/>
    <s v="Caja"/>
  </r>
  <r>
    <x v="1"/>
    <x v="4"/>
    <x v="0"/>
    <s v="BEB555"/>
    <s v="Coca Cola 1,5 litros CB COMBOSCOM (*Extra)"/>
    <n v="2"/>
    <n v="3928"/>
    <n v="-72"/>
    <n v="0"/>
    <n v="3928"/>
    <n v="1"/>
    <n v="1.8329938900203666E-2"/>
    <s v="Bebidas"/>
    <s v="Bebidas Cambio de bebida"/>
    <s v="Bebidas"/>
  </r>
  <r>
    <x v="1"/>
    <x v="4"/>
    <x v="0"/>
    <s v="MON311"/>
    <s v="Chop Suey Camaron trio"/>
    <n v="2"/>
    <n v="93800"/>
    <n v="0"/>
    <n v="35464"/>
    <n v="58336"/>
    <n v="0.62191897654584227"/>
    <n v="0"/>
    <s v="Platos mong"/>
    <s v="No Personal"/>
    <s v="Caja"/>
  </r>
  <r>
    <x v="1"/>
    <x v="4"/>
    <x v="0"/>
    <s v="MON112"/>
    <s v="Chow Fan Camarones Familiar"/>
    <n v="2"/>
    <n v="103800"/>
    <n v="0"/>
    <n v="57630"/>
    <n v="46170"/>
    <n v="0.44479768786127166"/>
    <n v="0"/>
    <s v="Platos mong"/>
    <s v="No Personal"/>
    <s v="Caja"/>
  </r>
  <r>
    <x v="1"/>
    <x v="4"/>
    <x v="0"/>
    <s v="MON110"/>
    <s v="Chow Fan Camarones Personal"/>
    <n v="2"/>
    <n v="45800"/>
    <n v="0"/>
    <n v="18808"/>
    <n v="26992"/>
    <n v="0.58934497816593889"/>
    <n v="0"/>
    <s v="Platos mong"/>
    <s v="Personal"/>
    <s v="Caja"/>
  </r>
  <r>
    <x v="1"/>
    <x v="4"/>
    <x v="0"/>
    <s v="MON500"/>
    <s v="Arroz vegetales especial personal"/>
    <n v="2"/>
    <n v="44777"/>
    <n v="-1023"/>
    <n v="15028"/>
    <n v="29749"/>
    <n v="0.66438126716841239"/>
    <n v="2.2846550684503204E-2"/>
    <s v="Platos mong"/>
    <s v="Personal"/>
    <s v="Caja"/>
  </r>
  <r>
    <x v="1"/>
    <x v="4"/>
    <x v="0"/>
    <s v="MON202"/>
    <s v="Chow Mein Especial Familiar"/>
    <n v="2"/>
    <n v="104591"/>
    <n v="-11209"/>
    <n v="75488"/>
    <n v="29103"/>
    <n v="0.27825529921312542"/>
    <n v="0.10716983296841985"/>
    <s v="Platos mong"/>
    <s v="No Personal"/>
    <s v="Caja"/>
  </r>
  <r>
    <x v="1"/>
    <x v="4"/>
    <x v="0"/>
    <s v="ADIC562"/>
    <s v="Adición Pasta"/>
    <n v="2"/>
    <n v="9518"/>
    <n v="-282"/>
    <n v="6020"/>
    <n v="3498"/>
    <n v="0.36751418365202776"/>
    <n v="2.9628073124606011E-2"/>
    <s v="Adición"/>
    <s v="Adición"/>
    <s v="Adición"/>
  </r>
  <r>
    <x v="1"/>
    <x v="4"/>
    <x v="0"/>
    <s v="BEB595"/>
    <s v="Agua Manzana 600 Ml"/>
    <n v="1"/>
    <n v="4900"/>
    <n v="0"/>
    <n v="1373"/>
    <n v="3527"/>
    <n v="0.71979591836734691"/>
    <n v="0"/>
    <s v="Bebidas"/>
    <s v="Bebidas"/>
    <s v="Bebidas"/>
  </r>
  <r>
    <x v="1"/>
    <x v="4"/>
    <x v="0"/>
    <s v="MON111"/>
    <s v="Chow Fan Camarones trio"/>
    <n v="1"/>
    <n v="47900"/>
    <n v="0"/>
    <n v="20911"/>
    <n v="26989"/>
    <n v="0.56344467640918583"/>
    <n v="0"/>
    <s v="Platos mong"/>
    <s v="No Personal"/>
    <s v="Caja"/>
  </r>
  <r>
    <x v="1"/>
    <x v="4"/>
    <x v="0"/>
    <s v="ATP08"/>
    <s v="Pollo Apanado ATP (*Extra)"/>
    <n v="1"/>
    <n v="0"/>
    <n v="0"/>
    <n v="5263"/>
    <n v="-5263"/>
    <n v="0"/>
    <n v="0"/>
    <s v="Arma tu plato"/>
    <s v="Personal"/>
    <s v="Caja"/>
  </r>
  <r>
    <x v="1"/>
    <x v="4"/>
    <x v="0"/>
    <s v="BEB596"/>
    <s v="Fusetea mango"/>
    <n v="1"/>
    <n v="4900"/>
    <n v="0"/>
    <n v="1896"/>
    <n v="3004"/>
    <n v="0.61306122448979594"/>
    <n v="0"/>
    <s v="Bebidas"/>
    <s v="Bebidas"/>
    <s v="Bebidas"/>
  </r>
  <r>
    <x v="1"/>
    <x v="4"/>
    <x v="0"/>
    <s v="BEB612"/>
    <s v="Jugo del valle naranja CB (*Extra)"/>
    <n v="1"/>
    <n v="1516"/>
    <n v="-84"/>
    <n v="950"/>
    <n v="566"/>
    <n v="0.37335092348284959"/>
    <n v="5.5408970976253295E-2"/>
    <s v="Bebidas"/>
    <s v="Bebidas Cambio de bebida"/>
    <s v="Bebidas"/>
  </r>
  <r>
    <x v="1"/>
    <x v="4"/>
    <x v="0"/>
    <s v="MON210"/>
    <s v="Chow Mein Camaron Personal"/>
    <n v="1"/>
    <n v="23900"/>
    <n v="-1000"/>
    <n v="10481"/>
    <n v="13419"/>
    <n v="0.56146443514644351"/>
    <n v="4.1841004184100417E-2"/>
    <s v="Platos mong"/>
    <s v="Personal"/>
    <s v="Caja"/>
  </r>
  <r>
    <x v="1"/>
    <x v="4"/>
    <x v="0"/>
    <s v="BEB01"/>
    <s v="Coca Cola 250 Ml Normal CB (*Extra)"/>
    <n v="1"/>
    <n v="963"/>
    <n v="-37"/>
    <n v="1945"/>
    <n v="-982"/>
    <n v="-1.019730010384216"/>
    <n v="3.8421599169262723E-2"/>
    <s v="Bebidas"/>
    <s v="Bebidas Cambio de bebida"/>
    <s v="Bebidas"/>
  </r>
  <r>
    <x v="1"/>
    <x v="4"/>
    <x v="0"/>
    <s v="PESP01"/>
    <s v="MING"/>
    <n v="1"/>
    <n v="28900"/>
    <n v="0"/>
    <n v="7605"/>
    <n v="21295"/>
    <n v="0.73685121107266438"/>
    <n v="0"/>
    <s v="Platos especiales"/>
    <s v="Personal"/>
    <s v="Platos Especiales"/>
  </r>
  <r>
    <x v="1"/>
    <x v="4"/>
    <x v="0"/>
    <s v="ADIC561"/>
    <s v="Adición Vegetales"/>
    <n v="1"/>
    <n v="6900"/>
    <n v="0"/>
    <n v="689"/>
    <n v="6211"/>
    <n v="0.90014492753623188"/>
    <n v="0"/>
    <s v="Adición"/>
    <s v="Adición"/>
    <s v="Adición"/>
  </r>
  <r>
    <x v="1"/>
    <x v="4"/>
    <x v="0"/>
    <s v="PESP05"/>
    <s v="WONG- Menú infantil"/>
    <n v="1"/>
    <n v="16900"/>
    <n v="0"/>
    <n v="7125"/>
    <n v="9775"/>
    <n v="0.57840236686390534"/>
    <n v="0"/>
    <s v="Platos especiales"/>
    <s v="Personal"/>
    <s v="Platos Especiales"/>
  </r>
  <r>
    <x v="1"/>
    <x v="4"/>
    <x v="0"/>
    <s v="BEB587"/>
    <s v="Agua Limón 600 Ml"/>
    <n v="1"/>
    <n v="4900"/>
    <n v="0"/>
    <n v="1373"/>
    <n v="3527"/>
    <n v="0.71979591836734691"/>
    <n v="0"/>
    <s v="Bebidas"/>
    <s v="Bebidas"/>
    <s v="Bebidas"/>
  </r>
  <r>
    <x v="1"/>
    <x v="4"/>
    <x v="0"/>
    <s v="BEB584"/>
    <s v="Quatro 400 Ml"/>
    <n v="1"/>
    <n v="4900"/>
    <n v="0"/>
    <n v="1330"/>
    <n v="3570"/>
    <n v="0.72857142857142854"/>
    <n v="0"/>
    <s v="Bebidas"/>
    <s v="Bebidas"/>
    <s v="Bebidas"/>
  </r>
  <r>
    <x v="1"/>
    <x v="4"/>
    <x v="0"/>
    <s v="ADIC490"/>
    <s v="Adicion - Pollo en trozos"/>
    <n v="1"/>
    <n v="6900"/>
    <n v="0"/>
    <n v="2245"/>
    <n v="4655"/>
    <n v="0.67463768115942024"/>
    <n v="0"/>
    <s v="Adición"/>
    <s v="Adición"/>
    <s v="Adición"/>
  </r>
  <r>
    <x v="1"/>
    <x v="4"/>
    <x v="0"/>
    <s v="BEB590"/>
    <s v="Jugo Del Valle Mandarina"/>
    <n v="1"/>
    <n v="4900"/>
    <n v="0"/>
    <n v="1560"/>
    <n v="3340"/>
    <n v="0.68163265306122445"/>
    <n v="0"/>
    <s v="Bebidas"/>
    <s v="Bebidas"/>
    <s v="Bebidas"/>
  </r>
  <r>
    <x v="1"/>
    <x v="4"/>
    <x v="0"/>
    <s v="MON123"/>
    <s v="Chow Fan Pollo megafamiliar"/>
    <n v="1"/>
    <n v="63900"/>
    <n v="0"/>
    <n v="32179"/>
    <n v="31721"/>
    <n v="0.49641627543035993"/>
    <n v="0"/>
    <s v="Platos mong"/>
    <s v="No Personal"/>
    <s v="Caja"/>
  </r>
  <r>
    <x v="1"/>
    <x v="4"/>
    <x v="0"/>
    <s v="BEB582"/>
    <s v="Kola Roman 400 Ml"/>
    <n v="1"/>
    <n v="4900"/>
    <n v="0"/>
    <n v="1330"/>
    <n v="3570"/>
    <n v="0.72857142857142854"/>
    <n v="0"/>
    <s v="Bebidas"/>
    <s v="Bebidas"/>
    <s v="Bebidas"/>
  </r>
  <r>
    <x v="1"/>
    <x v="4"/>
    <x v="0"/>
    <s v="MON133"/>
    <s v="Chow fan valenciano megafamiliar"/>
    <n v="1"/>
    <n v="85900"/>
    <n v="0"/>
    <n v="48608"/>
    <n v="37292"/>
    <n v="0.4341327124563446"/>
    <n v="0"/>
    <s v="Platos mong"/>
    <s v="No Personal"/>
    <s v="Caja"/>
  </r>
  <r>
    <x v="1"/>
    <x v="5"/>
    <x v="1"/>
    <s v="MON450"/>
    <s v="Arma tu plato"/>
    <n v="238"/>
    <n v="5918701"/>
    <n v="-7499"/>
    <n v="0"/>
    <n v="5918701"/>
    <n v="1"/>
    <n v="1.2670009855203024E-3"/>
    <s v="Arma tu plato"/>
    <s v="Personal"/>
    <s v="Caja"/>
  </r>
  <r>
    <x v="1"/>
    <x v="5"/>
    <x v="1"/>
    <s v="COMP01"/>
    <s v="COMBO 1- Valenciano personal"/>
    <n v="236"/>
    <n v="5628991"/>
    <n v="-11409"/>
    <n v="2271972"/>
    <n v="3357019"/>
    <n v="0.59638023937149665"/>
    <n v="2.0268286092480874E-3"/>
    <s v="Combos personales"/>
    <s v="Personal"/>
    <s v="Combo"/>
  </r>
  <r>
    <x v="1"/>
    <x v="5"/>
    <x v="1"/>
    <s v="ATP01"/>
    <s v="Pollo a la naranja (*Extra)"/>
    <n v="157"/>
    <n v="0"/>
    <n v="0"/>
    <n v="862087"/>
    <n v="-862087"/>
    <n v="0"/>
    <n v="0"/>
    <s v="Arma tu plato"/>
    <s v="Personal"/>
    <s v="Caja"/>
  </r>
  <r>
    <x v="1"/>
    <x v="5"/>
    <x v="1"/>
    <s v="ENT04"/>
    <s v="LUMPIAS X 2"/>
    <n v="102"/>
    <n v="906900"/>
    <n v="-900"/>
    <n v="320178"/>
    <n v="586722"/>
    <n v="0.64695335759179617"/>
    <n v="9.9239166391002311E-4"/>
    <s v="Entradas"/>
    <s v="Otro"/>
    <s v="Otro"/>
  </r>
  <r>
    <x v="1"/>
    <x v="5"/>
    <x v="1"/>
    <s v="COMP05"/>
    <s v="COMBO 5 - Chow Mein especial personal"/>
    <n v="86"/>
    <n v="2485400"/>
    <n v="0"/>
    <n v="967758"/>
    <n v="1517642"/>
    <n v="0.61062283737024226"/>
    <n v="0"/>
    <s v="Combos personales"/>
    <s v="Personal"/>
    <s v="Combo"/>
  </r>
  <r>
    <x v="1"/>
    <x v="5"/>
    <x v="1"/>
    <s v="ATP02"/>
    <s v="Camarones apanados 7 (*Extra)"/>
    <n v="84"/>
    <n v="167933"/>
    <n v="-67"/>
    <n v="261072"/>
    <n v="-93139"/>
    <n v="-0.55461999726081235"/>
    <n v="3.9896863630138211E-4"/>
    <s v="Arma tu plato"/>
    <s v="Personal"/>
    <s v="Caja"/>
  </r>
  <r>
    <x v="1"/>
    <x v="5"/>
    <x v="1"/>
    <s v="ATP10"/>
    <s v="Cerdo agridulce (*Extra)"/>
    <n v="83"/>
    <n v="0"/>
    <n v="0"/>
    <n v="453761"/>
    <n v="-453761"/>
    <n v="0"/>
    <n v="0"/>
    <s v="Arma tu plato"/>
    <s v="Personal"/>
    <s v="Caja"/>
  </r>
  <r>
    <x v="1"/>
    <x v="5"/>
    <x v="1"/>
    <s v="ATP09"/>
    <s v="Res brócoli (*Extra)"/>
    <n v="81"/>
    <n v="0"/>
    <n v="0"/>
    <n v="269082"/>
    <n v="-269082"/>
    <n v="0"/>
    <n v="0"/>
    <s v="Arma tu plato"/>
    <s v="Personal"/>
    <s v="Caja"/>
  </r>
  <r>
    <x v="1"/>
    <x v="5"/>
    <x v="1"/>
    <s v="COMP02"/>
    <s v="COMBO 2 - Chow fan especial personal"/>
    <n v="76"/>
    <n v="1953950"/>
    <n v="-14450"/>
    <n v="722076"/>
    <n v="1231874"/>
    <n v="0.63045318457483557"/>
    <n v="7.3952762353182017E-3"/>
    <s v="Combos personales"/>
    <s v="Personal"/>
    <s v="Combo"/>
  </r>
  <r>
    <x v="1"/>
    <x v="5"/>
    <x v="1"/>
    <s v="ATP04"/>
    <s v="Chop suey (*Extra)"/>
    <n v="73"/>
    <n v="0"/>
    <n v="0"/>
    <n v="192282"/>
    <n v="-192282"/>
    <n v="0"/>
    <n v="0"/>
    <s v="Arma tu plato"/>
    <s v="Personal"/>
    <s v="Caja"/>
  </r>
  <r>
    <x v="1"/>
    <x v="5"/>
    <x v="1"/>
    <s v="BEB581"/>
    <s v="Coca Cola 400 Ml Normal"/>
    <n v="67"/>
    <n v="394172"/>
    <n v="-1128"/>
    <n v="113565"/>
    <n v="280607"/>
    <n v="0.71188973341586925"/>
    <n v="2.8616948946145336E-3"/>
    <s v="Bebidas"/>
    <s v="Bebidas"/>
    <s v="Bebidas"/>
  </r>
  <r>
    <x v="1"/>
    <x v="5"/>
    <x v="1"/>
    <s v="COMP03"/>
    <s v="COMBO 3 - Chop suey especial personal"/>
    <n v="61"/>
    <n v="1762900"/>
    <n v="0"/>
    <n v="583770"/>
    <n v="1179130"/>
    <n v="0.66885813148788931"/>
    <n v="0"/>
    <s v="Combos personales"/>
    <s v="Personal"/>
    <s v="Combo"/>
  </r>
  <r>
    <x v="1"/>
    <x v="5"/>
    <x v="1"/>
    <s v="ATP06"/>
    <s v="Arroz Frito ATP (*Extra)"/>
    <n v="60"/>
    <n v="0"/>
    <n v="0"/>
    <n v="76920"/>
    <n v="-76920"/>
    <n v="0"/>
    <n v="0"/>
    <s v="Arma tu plato"/>
    <s v="Personal"/>
    <s v="Caja"/>
  </r>
  <r>
    <x v="1"/>
    <x v="5"/>
    <x v="1"/>
    <s v="BEB620"/>
    <s v="Agua 280 ml CB (*Extra)"/>
    <n v="57"/>
    <n v="0"/>
    <n v="0"/>
    <n v="49476"/>
    <n v="-49476"/>
    <n v="0"/>
    <n v="0"/>
    <s v="Bebidas"/>
    <s v="Bebidas Cambio de bebida"/>
    <s v="Bebidas"/>
  </r>
  <r>
    <x v="1"/>
    <x v="5"/>
    <x v="1"/>
    <s v="ATP03"/>
    <s v="Arroz vegetales (*Extra)"/>
    <n v="57"/>
    <n v="113784"/>
    <n v="-216"/>
    <n v="115995"/>
    <n v="-2211"/>
    <n v="-1.943155452436195E-2"/>
    <n v="1.8983336848766082E-3"/>
    <s v="Arma tu plato"/>
    <s v="Personal"/>
    <s v="Caja"/>
  </r>
  <r>
    <x v="1"/>
    <x v="5"/>
    <x v="1"/>
    <s v="BEB585"/>
    <s v="Agua Normal 600 Ml"/>
    <n v="57"/>
    <n v="279300"/>
    <n v="0"/>
    <n v="62415"/>
    <n v="216885"/>
    <n v="0.77653061224489794"/>
    <n v="0"/>
    <s v="Bebidas"/>
    <s v="Bebidas"/>
    <s v="Bebidas"/>
  </r>
  <r>
    <x v="1"/>
    <x v="5"/>
    <x v="1"/>
    <s v="BEB01"/>
    <s v="Coca Cola 250 Ml Normal CB (*Extra)"/>
    <n v="56"/>
    <n v="55551"/>
    <n v="-449"/>
    <n v="108920"/>
    <n v="-53369"/>
    <n v="-0.96072077910388654"/>
    <n v="8.0826627783478246E-3"/>
    <s v="Bebidas"/>
    <s v="Bebidas Cambio de bebida"/>
    <s v="Bebidas"/>
  </r>
  <r>
    <x v="1"/>
    <x v="5"/>
    <x v="1"/>
    <s v="PESP04"/>
    <s v="SUN KEE"/>
    <n v="53"/>
    <n v="1425700"/>
    <n v="0"/>
    <n v="722814"/>
    <n v="702886"/>
    <n v="0.4930111524163569"/>
    <n v="0"/>
    <s v="Platos especiales"/>
    <s v="Personal"/>
    <s v="Platos Especiales"/>
  </r>
  <r>
    <x v="1"/>
    <x v="5"/>
    <x v="1"/>
    <s v="ATP05"/>
    <s v="Chow mein (*Extra)"/>
    <n v="48"/>
    <n v="0"/>
    <n v="0"/>
    <n v="148656"/>
    <n v="-148656"/>
    <n v="0"/>
    <n v="0"/>
    <s v="Arma tu plato"/>
    <s v="Personal"/>
    <s v="Caja"/>
  </r>
  <r>
    <x v="1"/>
    <x v="5"/>
    <x v="1"/>
    <s v="ATP08"/>
    <s v="Pollo Apanado ATP (*Extra)"/>
    <n v="40"/>
    <n v="0"/>
    <n v="0"/>
    <n v="210520"/>
    <n v="-210520"/>
    <n v="0"/>
    <n v="0"/>
    <s v="Arma tu plato"/>
    <s v="Personal"/>
    <s v="Caja"/>
  </r>
  <r>
    <x v="1"/>
    <x v="5"/>
    <x v="1"/>
    <s v="BEB580"/>
    <s v="Coca Cola 250 Ml Normal"/>
    <n v="33"/>
    <n v="128700"/>
    <n v="0"/>
    <n v="38379"/>
    <n v="90321"/>
    <n v="0.70179487179487177"/>
    <n v="0"/>
    <s v="Bebidas"/>
    <s v="Bebidas"/>
    <s v="Bebidas"/>
  </r>
  <r>
    <x v="1"/>
    <x v="5"/>
    <x v="1"/>
    <s v="MON500"/>
    <s v="Arroz vegetales especial personal"/>
    <n v="30"/>
    <n v="687000"/>
    <n v="0"/>
    <n v="225420"/>
    <n v="461580"/>
    <n v="0.67187772925764189"/>
    <n v="0"/>
    <s v="Platos mong"/>
    <s v="Personal"/>
    <s v="Caja"/>
  </r>
  <r>
    <x v="1"/>
    <x v="5"/>
    <x v="1"/>
    <s v="BEB592"/>
    <s v="Coca Cola 400 Ml Zero"/>
    <n v="29"/>
    <n v="171100"/>
    <n v="0"/>
    <n v="41992"/>
    <n v="129108"/>
    <n v="0.75457627118644066"/>
    <n v="0"/>
    <s v="Bebidas"/>
    <s v="Bebidas"/>
    <s v="Bebidas"/>
  </r>
  <r>
    <x v="1"/>
    <x v="5"/>
    <x v="1"/>
    <s v="PESP03"/>
    <s v="LING"/>
    <n v="28"/>
    <n v="753200"/>
    <n v="0"/>
    <n v="379876"/>
    <n v="373324"/>
    <n v="0.49565055762081783"/>
    <n v="0"/>
    <s v="Platos especiales"/>
    <s v="Personal"/>
    <s v="Platos Especiales"/>
  </r>
  <r>
    <x v="1"/>
    <x v="5"/>
    <x v="1"/>
    <s v="PESP01"/>
    <s v="MING"/>
    <n v="23"/>
    <n v="664700"/>
    <n v="0"/>
    <n v="174915"/>
    <n v="489785"/>
    <n v="0.73685121107266438"/>
    <n v="0"/>
    <s v="Platos especiales"/>
    <s v="Personal"/>
    <s v="Platos Especiales"/>
  </r>
  <r>
    <x v="1"/>
    <x v="5"/>
    <x v="1"/>
    <s v="BEB599"/>
    <s v="Agua 280 ml"/>
    <n v="23"/>
    <n v="80500"/>
    <n v="0"/>
    <n v="19964"/>
    <n v="60536"/>
    <n v="0.752"/>
    <n v="0"/>
    <s v="Bebidas"/>
    <s v="Bebidas"/>
    <s v="Bebidas"/>
  </r>
  <r>
    <x v="1"/>
    <x v="5"/>
    <x v="1"/>
    <s v="ATP07"/>
    <s v="Pollo presa ATP (*Extra)"/>
    <n v="22"/>
    <n v="0"/>
    <n v="0"/>
    <n v="62678"/>
    <n v="-62678"/>
    <n v="0"/>
    <n v="0"/>
    <s v="Arma tu plato"/>
    <s v="Personal"/>
    <s v="Caja"/>
  </r>
  <r>
    <x v="1"/>
    <x v="5"/>
    <x v="1"/>
    <s v="ENT03"/>
    <s v="CAMARONES APANADOS"/>
    <n v="21"/>
    <n v="354900"/>
    <n v="0"/>
    <n v="130515"/>
    <n v="224385"/>
    <n v="0.63224852071005921"/>
    <n v="0"/>
    <s v="Entradas"/>
    <s v="Otro"/>
    <s v="Otro"/>
  </r>
  <r>
    <x v="1"/>
    <x v="5"/>
    <x v="1"/>
    <s v="COMP10"/>
    <s v="COMBO - Lumpia y Coca Cola 250 ml"/>
    <n v="20"/>
    <n v="158000"/>
    <n v="0"/>
    <n v="0"/>
    <n v="158000"/>
    <n v="1"/>
    <n v="0"/>
    <s v="Armalo en combo"/>
    <s v="Personal"/>
    <s v="Combo"/>
  </r>
  <r>
    <x v="1"/>
    <x v="5"/>
    <x v="1"/>
    <s v="PESP02"/>
    <s v="MONG"/>
    <n v="20"/>
    <n v="498000"/>
    <n v="0"/>
    <n v="254360"/>
    <n v="243640"/>
    <n v="0.48923694779116467"/>
    <n v="0"/>
    <s v="Platos especiales"/>
    <s v="Personal"/>
    <s v="Platos Especiales"/>
  </r>
  <r>
    <x v="1"/>
    <x v="5"/>
    <x v="1"/>
    <s v="BEB588"/>
    <s v="Fusetea Limon"/>
    <n v="19"/>
    <n v="93100"/>
    <n v="0"/>
    <n v="29640"/>
    <n v="63460"/>
    <n v="0.68163265306122445"/>
    <n v="0"/>
    <s v="Bebidas"/>
    <s v="Bebidas"/>
    <s v="Bebidas"/>
  </r>
  <r>
    <x v="1"/>
    <x v="5"/>
    <x v="1"/>
    <s v="MONE701"/>
    <s v="Mong Express Chow fan"/>
    <n v="19"/>
    <n v="316361"/>
    <n v="-61739"/>
    <n v="0"/>
    <n v="316361"/>
    <n v="1"/>
    <n v="0.19515363777456765"/>
    <s v="Mong Express"/>
    <s v="Personal"/>
    <s v="Caja"/>
  </r>
  <r>
    <x v="1"/>
    <x v="5"/>
    <x v="1"/>
    <s v="MON100"/>
    <s v="Chow Fan Especial Personal"/>
    <n v="19"/>
    <n v="378100"/>
    <n v="0"/>
    <n v="128592"/>
    <n v="249508"/>
    <n v="0.65989949748743715"/>
    <n v="0"/>
    <s v="Platos mong"/>
    <s v="Personal"/>
    <s v="Caja"/>
  </r>
  <r>
    <x v="1"/>
    <x v="5"/>
    <x v="1"/>
    <s v="BEB595"/>
    <s v="Agua Manzana 600 Ml"/>
    <n v="18"/>
    <n v="88200"/>
    <n v="0"/>
    <n v="24714"/>
    <n v="63486"/>
    <n v="0.71979591836734691"/>
    <n v="0"/>
    <s v="Bebidas"/>
    <s v="Bebidas"/>
    <s v="Bebidas"/>
  </r>
  <r>
    <x v="1"/>
    <x v="5"/>
    <x v="1"/>
    <s v="PESP05"/>
    <s v="WONG- Menú infantil"/>
    <n v="18"/>
    <n v="304200"/>
    <n v="0"/>
    <n v="128250"/>
    <n v="175950"/>
    <n v="0.57840236686390534"/>
    <n v="0"/>
    <s v="Platos especiales"/>
    <s v="Personal"/>
    <s v="Platos Especiales"/>
  </r>
  <r>
    <x v="1"/>
    <x v="5"/>
    <x v="1"/>
    <s v="ADIC563"/>
    <s v="Adición Arroz Frito"/>
    <n v="17"/>
    <n v="93100"/>
    <n v="-7200"/>
    <n v="21794"/>
    <n v="71306"/>
    <n v="0.76590762620837805"/>
    <n v="7.7336197636949516E-2"/>
    <s v="Adición"/>
    <s v="Adición"/>
    <s v="Adición"/>
  </r>
  <r>
    <x v="1"/>
    <x v="5"/>
    <x v="1"/>
    <s v="BEB586"/>
    <s v="Agua Gas 600 Ml"/>
    <n v="16"/>
    <n v="78400"/>
    <n v="0"/>
    <n v="20608"/>
    <n v="57792"/>
    <n v="0.7371428571428571"/>
    <n v="0"/>
    <s v="Bebidas"/>
    <s v="Bebidas"/>
    <s v="Bebidas"/>
  </r>
  <r>
    <x v="1"/>
    <x v="5"/>
    <x v="1"/>
    <s v="MON300"/>
    <s v="Chop suey especial personal"/>
    <n v="16"/>
    <n v="330365"/>
    <n v="-4035"/>
    <n v="109408"/>
    <n v="220957"/>
    <n v="0.66882690357634733"/>
    <n v="1.2213763564542249E-2"/>
    <s v="Platos mong"/>
    <s v="Personal"/>
    <s v="Caja"/>
  </r>
  <r>
    <x v="1"/>
    <x v="5"/>
    <x v="1"/>
    <s v="COMC02"/>
    <s v="COMBO AMIGOS"/>
    <n v="15"/>
    <n v="898500"/>
    <n v="0"/>
    <n v="354570"/>
    <n v="543930"/>
    <n v="0.60537562604340567"/>
    <n v="0"/>
    <s v="Combos para compartir"/>
    <s v="No Personal"/>
    <s v="Combo"/>
  </r>
  <r>
    <x v="1"/>
    <x v="5"/>
    <x v="1"/>
    <s v="MONE700"/>
    <s v="Mong Express Chop suey pollo"/>
    <n v="15"/>
    <n v="260181"/>
    <n v="-38319"/>
    <n v="122745"/>
    <n v="137436"/>
    <n v="0.52823226907422138"/>
    <n v="0.14727824091690017"/>
    <s v="Mong Express"/>
    <s v="Personal"/>
    <s v="Caja"/>
  </r>
  <r>
    <x v="1"/>
    <x v="5"/>
    <x v="1"/>
    <s v="BEB584"/>
    <s v="Quatro 400 Ml"/>
    <n v="14"/>
    <n v="68600"/>
    <n v="0"/>
    <n v="18620"/>
    <n v="49980"/>
    <n v="0.72857142857142854"/>
    <n v="0"/>
    <s v="Bebidas"/>
    <s v="Bebidas"/>
    <s v="Bebidas"/>
  </r>
  <r>
    <x v="1"/>
    <x v="5"/>
    <x v="1"/>
    <s v="BEB593"/>
    <s v="Coca Cola 250 Ml Zero"/>
    <n v="14"/>
    <n v="54457"/>
    <n v="-143"/>
    <n v="18074"/>
    <n v="36383"/>
    <n v="0.6681051104541198"/>
    <n v="2.6259250417760803E-3"/>
    <s v="Bebidas"/>
    <s v="Bebidas"/>
    <s v="Bebidas"/>
  </r>
  <r>
    <x v="1"/>
    <x v="5"/>
    <x v="1"/>
    <s v="ENT02"/>
    <s v="LUMPIA X 1"/>
    <n v="13"/>
    <n v="63523"/>
    <n v="-1477"/>
    <n v="20397"/>
    <n v="43126"/>
    <n v="0.67890370417014312"/>
    <n v="2.325142074524188E-2"/>
    <s v="Entradas"/>
    <s v="Otro"/>
    <s v="Otro"/>
  </r>
  <r>
    <x v="1"/>
    <x v="5"/>
    <x v="1"/>
    <s v="ADIC564"/>
    <s v="Adición Presa de pollo"/>
    <n v="13"/>
    <n v="89700"/>
    <n v="0"/>
    <n v="32032"/>
    <n v="57668"/>
    <n v="0.64289855072463764"/>
    <n v="0"/>
    <s v="Adición"/>
    <s v="Adición"/>
    <s v="Adición"/>
  </r>
  <r>
    <x v="1"/>
    <x v="5"/>
    <x v="1"/>
    <s v="MON120"/>
    <s v="Chow Fan Pollo Personal"/>
    <n v="12"/>
    <n v="190800"/>
    <n v="0"/>
    <n v="72768"/>
    <n v="118032"/>
    <n v="0.61861635220125788"/>
    <n v="0"/>
    <s v="Platos mong"/>
    <s v="Personal"/>
    <s v="Caja"/>
  </r>
  <r>
    <x v="1"/>
    <x v="5"/>
    <x v="1"/>
    <s v="BEB583"/>
    <s v="Sprite 400 Ml"/>
    <n v="12"/>
    <n v="58800"/>
    <n v="0"/>
    <n v="15960"/>
    <n v="42840"/>
    <n v="0.72857142857142854"/>
    <n v="0"/>
    <s v="Bebidas"/>
    <s v="Bebidas"/>
    <s v="Bebidas"/>
  </r>
  <r>
    <x v="1"/>
    <x v="5"/>
    <x v="1"/>
    <s v="BEB587"/>
    <s v="Agua Limón 600 Ml"/>
    <n v="12"/>
    <n v="58800"/>
    <n v="0"/>
    <n v="16476"/>
    <n v="42324"/>
    <n v="0.71979591836734691"/>
    <n v="0"/>
    <s v="Bebidas"/>
    <s v="Bebidas"/>
    <s v="Bebidas"/>
  </r>
  <r>
    <x v="1"/>
    <x v="5"/>
    <x v="1"/>
    <s v="BEB596"/>
    <s v="Fusetea mango"/>
    <n v="11"/>
    <n v="53900"/>
    <n v="0"/>
    <n v="20856"/>
    <n v="33044"/>
    <n v="0.61306122448979594"/>
    <n v="0"/>
    <s v="Bebidas"/>
    <s v="Bebidas"/>
    <s v="Bebidas"/>
  </r>
  <r>
    <x v="1"/>
    <x v="5"/>
    <x v="1"/>
    <s v="MON130"/>
    <s v="Chow Fan Valenciano Personal"/>
    <n v="11"/>
    <n v="219000"/>
    <n v="-21900"/>
    <n v="93104"/>
    <n v="125896"/>
    <n v="0.57486757990867576"/>
    <n v="0.1"/>
    <s v="Platos mong"/>
    <s v="Personal"/>
    <s v="Caja"/>
  </r>
  <r>
    <x v="1"/>
    <x v="5"/>
    <x v="1"/>
    <s v="COMP04"/>
    <s v="COMBO 4 - arroz vegetales especial"/>
    <n v="10"/>
    <n v="289000"/>
    <n v="0"/>
    <n v="102470"/>
    <n v="186530"/>
    <n v="0.64543252595155709"/>
    <n v="0"/>
    <s v="Combos personales"/>
    <s v="Personal"/>
    <s v="Combo"/>
  </r>
  <r>
    <x v="1"/>
    <x v="5"/>
    <x v="1"/>
    <s v="COMC07"/>
    <s v="COMBO ANTOJO"/>
    <n v="10"/>
    <n v="209000"/>
    <n v="0"/>
    <n v="79730"/>
    <n v="129270"/>
    <n v="0.61851674641148324"/>
    <n v="0"/>
    <s v="Combos para compartir"/>
    <s v="No Personal"/>
    <s v="Combo"/>
  </r>
  <r>
    <x v="1"/>
    <x v="5"/>
    <x v="1"/>
    <s v="MON131"/>
    <s v="Chow Fan Valenciano trio"/>
    <n v="10"/>
    <n v="589000"/>
    <n v="0"/>
    <n v="188180"/>
    <n v="400820"/>
    <n v="0.68050933786078094"/>
    <n v="0"/>
    <s v="Platos mong"/>
    <s v="No Personal"/>
    <s v="Caja"/>
  </r>
  <r>
    <x v="1"/>
    <x v="5"/>
    <x v="1"/>
    <s v="COMP08"/>
    <s v="COMBO - Papas 120 grs y Coca Cola 250 ml"/>
    <n v="8"/>
    <n v="63200"/>
    <n v="0"/>
    <n v="25696"/>
    <n v="37504"/>
    <n v="0.59341772151898731"/>
    <n v="0"/>
    <s v="Armalo en combo"/>
    <s v="Personal"/>
    <s v="Combo"/>
  </r>
  <r>
    <x v="1"/>
    <x v="5"/>
    <x v="1"/>
    <s v="MON200"/>
    <s v="Chow Mein Especial Personal"/>
    <n v="8"/>
    <n v="167200"/>
    <n v="0"/>
    <n v="68168"/>
    <n v="99032"/>
    <n v="0.59229665071770332"/>
    <n v="0"/>
    <s v="Platos mong"/>
    <s v="Personal"/>
    <s v="Caja"/>
  </r>
  <r>
    <x v="1"/>
    <x v="5"/>
    <x v="1"/>
    <s v="ADIC566"/>
    <s v="Pollo a la naranja"/>
    <n v="8"/>
    <n v="62312"/>
    <n v="-888"/>
    <n v="0"/>
    <n v="62312"/>
    <n v="1"/>
    <n v="1.4250866606753114E-2"/>
    <s v="Adición"/>
    <s v="Adición"/>
    <s v="Adición"/>
  </r>
  <r>
    <x v="1"/>
    <x v="5"/>
    <x v="1"/>
    <s v="BEB589"/>
    <s v="Fusetea Durazno"/>
    <n v="8"/>
    <n v="39200"/>
    <n v="0"/>
    <n v="12480"/>
    <n v="26720"/>
    <n v="0.68163265306122445"/>
    <n v="0"/>
    <s v="Bebidas"/>
    <s v="Bebidas"/>
    <s v="Bebidas"/>
  </r>
  <r>
    <x v="1"/>
    <x v="5"/>
    <x v="1"/>
    <s v="BEB590"/>
    <s v="Jugo Del Valle Mandarina"/>
    <n v="8"/>
    <n v="39200"/>
    <n v="0"/>
    <n v="12480"/>
    <n v="26720"/>
    <n v="0.68163265306122445"/>
    <n v="0"/>
    <s v="Bebidas"/>
    <s v="Bebidas"/>
    <s v="Bebidas"/>
  </r>
  <r>
    <x v="1"/>
    <x v="5"/>
    <x v="1"/>
    <s v="BEB594"/>
    <s v="Premio 400 Ml"/>
    <n v="7"/>
    <n v="29400"/>
    <n v="-4900"/>
    <n v="9310"/>
    <n v="20090"/>
    <n v="0.68333333333333335"/>
    <n v="0.16666666666666666"/>
    <s v="Bebidas"/>
    <s v="Bebidas"/>
    <s v="Bebidas"/>
  </r>
  <r>
    <x v="1"/>
    <x v="5"/>
    <x v="1"/>
    <s v="ADIC560"/>
    <s v="Adición Papa frita"/>
    <n v="7"/>
    <n v="41300"/>
    <n v="0"/>
    <n v="28686"/>
    <n v="12614"/>
    <n v="0.30542372881355934"/>
    <n v="0"/>
    <s v="Adición"/>
    <s v="Adición"/>
    <s v="Adición"/>
  </r>
  <r>
    <x v="1"/>
    <x v="5"/>
    <x v="1"/>
    <s v="ENT01"/>
    <s v="Deditos de Pollo"/>
    <n v="7"/>
    <n v="111300"/>
    <n v="0"/>
    <n v="70196"/>
    <n v="41104"/>
    <n v="0.36930817610062894"/>
    <n v="0"/>
    <s v="Entradas"/>
    <s v="Otro"/>
    <s v="Otro"/>
  </r>
  <r>
    <x v="1"/>
    <x v="5"/>
    <x v="1"/>
    <s v="MON121"/>
    <s v="Chow Fan Pollo trio"/>
    <n v="6"/>
    <n v="239400"/>
    <n v="0"/>
    <n v="85386"/>
    <n v="154014"/>
    <n v="0.64333333333333331"/>
    <n v="0"/>
    <s v="Platos mong"/>
    <s v="No Personal"/>
    <s v="Caja"/>
  </r>
  <r>
    <x v="1"/>
    <x v="5"/>
    <x v="1"/>
    <s v="BEB607"/>
    <s v="Agua Gas 600 Ml CB (*Extra)"/>
    <n v="6"/>
    <n v="9600"/>
    <n v="0"/>
    <n v="9660"/>
    <n v="-60"/>
    <n v="-6.2500000000000003E-3"/>
    <n v="0"/>
    <s v="Bebidas"/>
    <s v="Bebidas Cambio de bebida"/>
    <s v="Bebidas"/>
  </r>
  <r>
    <x v="1"/>
    <x v="5"/>
    <x v="1"/>
    <s v="MON320"/>
    <s v="Chop Suey Pollo Personal"/>
    <n v="6"/>
    <n v="113400"/>
    <n v="0"/>
    <n v="32766"/>
    <n v="80634"/>
    <n v="0.71105820105820106"/>
    <n v="0"/>
    <s v="Platos mong"/>
    <s v="Personal"/>
    <s v="Caja"/>
  </r>
  <r>
    <x v="1"/>
    <x v="5"/>
    <x v="1"/>
    <s v="MON330"/>
    <s v="Chop Suey Vegetariano Personal"/>
    <n v="6"/>
    <n v="107400"/>
    <n v="0"/>
    <n v="32796"/>
    <n v="74604"/>
    <n v="0.69463687150837994"/>
    <n v="0"/>
    <s v="Platos mong"/>
    <s v="Personal"/>
    <s v="Caja"/>
  </r>
  <r>
    <x v="1"/>
    <x v="5"/>
    <x v="1"/>
    <s v="BEB591"/>
    <s v="Jugo del valle naranja"/>
    <n v="6"/>
    <n v="29400"/>
    <n v="0"/>
    <n v="9360"/>
    <n v="20040"/>
    <n v="0.68163265306122445"/>
    <n v="0"/>
    <s v="Bebidas"/>
    <s v="Bebidas"/>
    <s v="Bebidas"/>
  </r>
  <r>
    <x v="1"/>
    <x v="5"/>
    <x v="1"/>
    <s v="BEB601"/>
    <s v="Coca Cola 400 Ml Normal CB (*Extra)"/>
    <n v="6"/>
    <n v="13800"/>
    <n v="0"/>
    <n v="13410"/>
    <n v="390"/>
    <n v="2.8260869565217391E-2"/>
    <n v="0"/>
    <s v="Bebidas"/>
    <s v="Bebidas Cambio de bebida"/>
    <s v="Bebidas"/>
  </r>
  <r>
    <x v="1"/>
    <x v="5"/>
    <x v="1"/>
    <s v="BEB597"/>
    <s v="Fusetea manzana"/>
    <n v="6"/>
    <n v="29400"/>
    <n v="0"/>
    <n v="9360"/>
    <n v="20040"/>
    <n v="0.68163265306122445"/>
    <n v="0"/>
    <s v="Bebidas"/>
    <s v="Bebidas"/>
    <s v="Bebidas"/>
  </r>
  <r>
    <x v="1"/>
    <x v="5"/>
    <x v="1"/>
    <s v="BEB598"/>
    <s v="Coca Cola 1,5 litros"/>
    <n v="5"/>
    <n v="39600"/>
    <n v="-9900"/>
    <n v="22505"/>
    <n v="17095"/>
    <n v="0.43169191919191918"/>
    <n v="0.25"/>
    <s v="Bebidas"/>
    <s v="Bebidas"/>
    <s v="Bebidas"/>
  </r>
  <r>
    <x v="1"/>
    <x v="5"/>
    <x v="1"/>
    <s v="BEB582"/>
    <s v="Kola Roman 400 Ml"/>
    <n v="5"/>
    <n v="24500"/>
    <n v="0"/>
    <n v="6650"/>
    <n v="17850"/>
    <n v="0.72857142857142854"/>
    <n v="0"/>
    <s v="Bebidas"/>
    <s v="Bebidas"/>
    <s v="Bebidas"/>
  </r>
  <r>
    <x v="1"/>
    <x v="5"/>
    <x v="1"/>
    <s v="MON110"/>
    <s v="Chow Fan Camarones Personal"/>
    <n v="5"/>
    <n v="114500"/>
    <n v="0"/>
    <n v="47020"/>
    <n v="67480"/>
    <n v="0.58934497816593889"/>
    <n v="0"/>
    <s v="Platos mong"/>
    <s v="Personal"/>
    <s v="Caja"/>
  </r>
  <r>
    <x v="1"/>
    <x v="5"/>
    <x v="1"/>
    <s v="MON101"/>
    <s v="Chow fan especial trio"/>
    <n v="4"/>
    <n v="187600"/>
    <n v="0"/>
    <n v="80212"/>
    <n v="107388"/>
    <n v="0.57243070362473347"/>
    <n v="0"/>
    <s v="Platos mong"/>
    <s v="No Personal"/>
    <s v="Platos Especiales"/>
  </r>
  <r>
    <x v="1"/>
    <x v="5"/>
    <x v="1"/>
    <s v="COMP11"/>
    <s v="COMBO - Lumpia y agua 280 ML"/>
    <n v="4"/>
    <n v="31600"/>
    <n v="0"/>
    <n v="0"/>
    <n v="31600"/>
    <n v="1"/>
    <n v="0"/>
    <s v="Armalo en combo"/>
    <s v="Personal"/>
    <s v="Combo"/>
  </r>
  <r>
    <x v="1"/>
    <x v="5"/>
    <x v="1"/>
    <s v="BEB609"/>
    <s v="Fusetea Limon CB (*Extra)"/>
    <n v="4"/>
    <n v="4919"/>
    <n v="-1481"/>
    <n v="7496"/>
    <n v="-2577"/>
    <n v="-0.52388696889611708"/>
    <n v="0.30107745476722914"/>
    <s v="Bebidas"/>
    <s v="Bebidas Cambio de bebida"/>
    <s v="Bebidas"/>
  </r>
  <r>
    <x v="1"/>
    <x v="5"/>
    <x v="1"/>
    <s v="MON504"/>
    <s v="Arroz vegetales camarones personal"/>
    <n v="4"/>
    <n v="111600"/>
    <n v="0"/>
    <n v="37912"/>
    <n v="73688"/>
    <n v="0.66028673835125451"/>
    <n v="0"/>
    <s v="Platos mong"/>
    <s v="Personal"/>
    <s v="Caja"/>
  </r>
  <r>
    <x v="1"/>
    <x v="5"/>
    <x v="1"/>
    <s v="MON310"/>
    <s v="Chop suey camarón personal"/>
    <n v="4"/>
    <n v="95600"/>
    <n v="0"/>
    <n v="35028"/>
    <n v="60572"/>
    <n v="0.6335983263598326"/>
    <n v="0"/>
    <s v="Platos mong"/>
    <s v="Personal"/>
    <s v="Caja"/>
  </r>
  <r>
    <x v="1"/>
    <x v="5"/>
    <x v="1"/>
    <s v="BEB616"/>
    <s v="Agua Manzana 600 Ml CB (*Extra)"/>
    <n v="3"/>
    <n v="4800"/>
    <n v="0"/>
    <n v="6417"/>
    <n v="-1617"/>
    <n v="-0.33687499999999998"/>
    <n v="0"/>
    <s v="Bebidas"/>
    <s v="Bebidas Cambio de bebida"/>
    <s v="Bebidas"/>
  </r>
  <r>
    <x v="1"/>
    <x v="5"/>
    <x v="1"/>
    <s v="BEB605"/>
    <s v="Quatro 400 Ml CB (*Extra)"/>
    <n v="3"/>
    <n v="4800"/>
    <n v="0"/>
    <n v="3990"/>
    <n v="810"/>
    <n v="0.16875000000000001"/>
    <n v="0"/>
    <s v="Bebidas"/>
    <s v="Bebidas Cambio de bebida"/>
    <s v="Bebidas"/>
  </r>
  <r>
    <x v="1"/>
    <x v="5"/>
    <x v="1"/>
    <s v="COMC04"/>
    <s v="COMBO FAMIAMIGOS"/>
    <n v="3"/>
    <n v="248700"/>
    <n v="0"/>
    <n v="117663"/>
    <n v="131037"/>
    <n v="0.52688781664656215"/>
    <n v="0"/>
    <s v="Combos para compartir"/>
    <s v="No Personal"/>
    <s v="Combo"/>
  </r>
  <r>
    <x v="1"/>
    <x v="5"/>
    <x v="1"/>
    <s v="ADIC568"/>
    <s v="Res brocoli"/>
    <n v="3"/>
    <n v="26700"/>
    <n v="0"/>
    <n v="0"/>
    <n v="26700"/>
    <n v="1"/>
    <n v="0"/>
    <s v="Adición"/>
    <s v="Adición"/>
    <s v="Adición"/>
  </r>
  <r>
    <x v="1"/>
    <x v="5"/>
    <x v="1"/>
    <s v="MON301"/>
    <s v="Chop Suey Especial trio"/>
    <n v="3"/>
    <n v="140700"/>
    <n v="0"/>
    <n v="33996"/>
    <n v="106704"/>
    <n v="0.7583795309168444"/>
    <n v="0"/>
    <s v="Platos mong"/>
    <s v="No Personal"/>
    <s v="Caja"/>
  </r>
  <r>
    <x v="1"/>
    <x v="5"/>
    <x v="1"/>
    <s v="BEB604"/>
    <s v="Sprite 400 Ml CB (*Extra)"/>
    <n v="3"/>
    <n v="4800"/>
    <n v="0"/>
    <n v="4548"/>
    <n v="252"/>
    <n v="5.2499999999999998E-2"/>
    <n v="0"/>
    <s v="Bebidas"/>
    <s v="Bebidas Cambio de bebida"/>
    <s v="Bebidas"/>
  </r>
  <r>
    <x v="1"/>
    <x v="5"/>
    <x v="1"/>
    <s v="MON132"/>
    <s v="Chow Fan Valenciano familiar"/>
    <n v="3"/>
    <n v="230700"/>
    <n v="0"/>
    <n v="103965"/>
    <n v="126735"/>
    <n v="0.54934980494148244"/>
    <n v="0"/>
    <s v="Platos mong"/>
    <s v="No Personal"/>
    <s v="Caja"/>
  </r>
  <r>
    <x v="1"/>
    <x v="5"/>
    <x v="1"/>
    <s v="COMC06"/>
    <s v="COMBO FAMILIAR"/>
    <n v="3"/>
    <n v="290700"/>
    <n v="0"/>
    <n v="140340"/>
    <n v="150360"/>
    <n v="0.51723426212590295"/>
    <n v="0"/>
    <s v="Combos para compartir"/>
    <s v="No Personal"/>
    <s v="Combo"/>
  </r>
  <r>
    <x v="1"/>
    <x v="5"/>
    <x v="1"/>
    <s v="BEB600"/>
    <s v="Fuze te limón 1.2"/>
    <n v="3"/>
    <n v="16000"/>
    <n v="-8000"/>
    <n v="0"/>
    <n v="16000"/>
    <n v="1"/>
    <n v="0.5"/>
    <s v="Bebidas"/>
    <s v="Bebidas"/>
    <s v="Bebidas"/>
  </r>
  <r>
    <x v="1"/>
    <x v="5"/>
    <x v="1"/>
    <s v="CAM04"/>
    <s v="Lumpia cambio (*Extra)"/>
    <n v="2"/>
    <n v="0"/>
    <n v="0"/>
    <n v="4098"/>
    <n v="-4098"/>
    <n v="0"/>
    <n v="0"/>
    <s v="Adición"/>
    <s v="Otro"/>
    <s v="Otro"/>
  </r>
  <r>
    <x v="1"/>
    <x v="5"/>
    <x v="1"/>
    <s v="MON102"/>
    <s v="Chow Fan Especial familiar"/>
    <n v="2"/>
    <n v="133800"/>
    <n v="0"/>
    <n v="64702"/>
    <n v="69098"/>
    <n v="0.51642750373692081"/>
    <n v="0"/>
    <s v="Platos mong"/>
    <s v="No Personal"/>
    <s v="Caja"/>
  </r>
  <r>
    <x v="1"/>
    <x v="5"/>
    <x v="1"/>
    <s v="ADIC561"/>
    <s v="Adición Vegetales"/>
    <n v="2"/>
    <n v="13800"/>
    <n v="0"/>
    <n v="1378"/>
    <n v="12422"/>
    <n v="0.90014492753623188"/>
    <n v="0"/>
    <s v="Adición"/>
    <s v="Adición"/>
    <s v="Adición"/>
  </r>
  <r>
    <x v="1"/>
    <x v="5"/>
    <x v="1"/>
    <s v="MON210"/>
    <s v="Chow Mein Camaron Personal"/>
    <n v="2"/>
    <n v="49800"/>
    <n v="0"/>
    <n v="20962"/>
    <n v="28838"/>
    <n v="0.57907630522088349"/>
    <n v="0"/>
    <s v="Platos mong"/>
    <s v="Personal"/>
    <s v="Caja"/>
  </r>
  <r>
    <x v="1"/>
    <x v="5"/>
    <x v="1"/>
    <s v="BEB617"/>
    <s v="Fusetea mango CB (*Extra)"/>
    <n v="2"/>
    <n v="3200"/>
    <n v="0"/>
    <n v="3792"/>
    <n v="-592"/>
    <n v="-0.185"/>
    <n v="0"/>
    <s v="Bebidas"/>
    <s v="Bebidas Cambio de bebida"/>
    <s v="Bebidas"/>
  </r>
  <r>
    <x v="1"/>
    <x v="5"/>
    <x v="1"/>
    <s v="BEB608"/>
    <s v="Agua Limón 600 Ml CB (*Extra)"/>
    <n v="2"/>
    <n v="3200"/>
    <n v="0"/>
    <n v="3422"/>
    <n v="-222"/>
    <n v="-6.9375000000000006E-2"/>
    <n v="0"/>
    <s v="Bebidas"/>
    <s v="Bebidas Cambio de bebida"/>
    <s v="Bebidas"/>
  </r>
  <r>
    <x v="1"/>
    <x v="5"/>
    <x v="1"/>
    <s v="ADIC565"/>
    <s v="Adición Camaron"/>
    <n v="2"/>
    <n v="13800"/>
    <n v="0"/>
    <n v="6216"/>
    <n v="7584"/>
    <n v="0.54956521739130437"/>
    <n v="0"/>
    <s v="Adición"/>
    <s v="Adición"/>
    <s v="Adición"/>
  </r>
  <r>
    <x v="1"/>
    <x v="5"/>
    <x v="1"/>
    <s v="ADIC490"/>
    <s v="Adicion - Pollo en trozos"/>
    <n v="2"/>
    <n v="13800"/>
    <n v="0"/>
    <n v="4490"/>
    <n v="9310"/>
    <n v="0.67463768115942024"/>
    <n v="0"/>
    <s v="Adición"/>
    <s v="Adición"/>
    <s v="Adición"/>
  </r>
  <r>
    <x v="1"/>
    <x v="5"/>
    <x v="1"/>
    <s v="BEB555"/>
    <s v="Coca Cola 1,5 litros CB COMBOSCOM (*Extra)"/>
    <n v="2"/>
    <n v="4000"/>
    <n v="0"/>
    <n v="0"/>
    <n v="4000"/>
    <n v="1"/>
    <n v="0"/>
    <s v="Bebidas"/>
    <s v="Bebidas Cambio de bebida"/>
    <s v="Bebidas"/>
  </r>
  <r>
    <x v="1"/>
    <x v="5"/>
    <x v="1"/>
    <s v="CAM03"/>
    <s v="Cambio Papas a la francesa 150 grs (*Extra)"/>
    <n v="2"/>
    <n v="1000"/>
    <n v="0"/>
    <n v="3138"/>
    <n v="-2138"/>
    <n v="-2.1379999999999999"/>
    <n v="0"/>
    <s v="Adición"/>
    <s v="Otro"/>
    <s v="Otro"/>
  </r>
  <r>
    <x v="1"/>
    <x v="5"/>
    <x v="1"/>
    <s v="BEB615"/>
    <s v="Premio 400 Ml CB (*Extra)"/>
    <n v="2"/>
    <n v="3200"/>
    <n v="0"/>
    <n v="3790"/>
    <n v="-590"/>
    <n v="-0.18437500000000001"/>
    <n v="0"/>
    <s v="Bebidas"/>
    <s v="Bebidas Cambio de bebida"/>
    <s v="Bebidas"/>
  </r>
  <r>
    <x v="1"/>
    <x v="5"/>
    <x v="1"/>
    <s v="MON123"/>
    <s v="Chow Fan Pollo megafamiliar"/>
    <n v="1"/>
    <n v="85900"/>
    <n v="0"/>
    <n v="32179"/>
    <n v="53721"/>
    <n v="0.62538998835855641"/>
    <n v="0"/>
    <s v="Platos mong"/>
    <s v="No Personal"/>
    <s v="Caja"/>
  </r>
  <r>
    <x v="1"/>
    <x v="5"/>
    <x v="1"/>
    <s v="BEB618"/>
    <s v="Fusetea manzana CB (*Extra)"/>
    <n v="1"/>
    <n v="1600"/>
    <n v="0"/>
    <n v="1896"/>
    <n v="-296"/>
    <n v="-0.185"/>
    <n v="0"/>
    <s v="Bebidas"/>
    <s v="Bebidas Cambio de bebida"/>
    <s v="Bebidas"/>
  </r>
  <r>
    <x v="1"/>
    <x v="5"/>
    <x v="1"/>
    <s v="MON103"/>
    <s v="Chow Fan Especial megafamiliar"/>
    <n v="1"/>
    <n v="94900"/>
    <n v="0"/>
    <n v="42704"/>
    <n v="52196"/>
    <n v="0.55001053740779771"/>
    <n v="0"/>
    <s v="Platos mong"/>
    <s v="No Personal"/>
    <s v="Caja"/>
  </r>
  <r>
    <x v="1"/>
    <x v="5"/>
    <x v="1"/>
    <s v="MON302"/>
    <s v="Chop Suey Especial Familiar"/>
    <n v="1"/>
    <n v="77900"/>
    <n v="0"/>
    <n v="28057"/>
    <n v="49843"/>
    <n v="0.63983311938382537"/>
    <n v="0"/>
    <s v="Platos mong"/>
    <s v="No Personal"/>
    <s v="Caja"/>
  </r>
  <r>
    <x v="1"/>
    <x v="5"/>
    <x v="1"/>
    <s v="BEB602"/>
    <s v="Kola Roman 400 Ml CB (*Extra)"/>
    <n v="1"/>
    <n v="1600"/>
    <n v="0"/>
    <n v="2235"/>
    <n v="-635"/>
    <n v="-0.39687499999999998"/>
    <n v="0"/>
    <s v="Bebidas"/>
    <s v="Bebidas Cambio de bebida"/>
    <s v="Bebidas"/>
  </r>
  <r>
    <x v="1"/>
    <x v="5"/>
    <x v="1"/>
    <s v="BEB612"/>
    <s v="Jugo del valle naranja CB (*Extra)"/>
    <n v="1"/>
    <n v="1600"/>
    <n v="0"/>
    <n v="950"/>
    <n v="650"/>
    <n v="0.40625"/>
    <n v="0"/>
    <s v="Bebidas"/>
    <s v="Bebidas Cambio de bebida"/>
    <s v="Bebidas"/>
  </r>
  <r>
    <x v="1"/>
    <x v="5"/>
    <x v="1"/>
    <s v="MON122"/>
    <s v="Chow Fan Pollo familiar"/>
    <n v="1"/>
    <n v="55900"/>
    <n v="0"/>
    <n v="24255"/>
    <n v="31645"/>
    <n v="0.5661001788908766"/>
    <n v="0"/>
    <s v="Platos mong"/>
    <s v="No Personal"/>
    <s v="Caja"/>
  </r>
  <r>
    <x v="1"/>
    <x v="5"/>
    <x v="1"/>
    <s v="BEB610"/>
    <s v="Fusetea Durazno CB (*Extra)"/>
    <n v="1"/>
    <n v="1600"/>
    <n v="0"/>
    <n v="1874"/>
    <n v="-274"/>
    <n v="-0.17125000000000001"/>
    <n v="0"/>
    <s v="Bebidas"/>
    <s v="Bebidas Cambio de bebida"/>
    <s v="Bebidas"/>
  </r>
  <r>
    <x v="1"/>
    <x v="5"/>
    <x v="1"/>
    <s v="MON201"/>
    <s v="Chow Mein Especial trio"/>
    <n v="1"/>
    <n v="45900"/>
    <n v="0"/>
    <n v="19441"/>
    <n v="26459"/>
    <n v="0.57644880174291935"/>
    <n v="0"/>
    <s v="Platos mong"/>
    <s v="No Personal"/>
    <s v="Caja"/>
  </r>
  <r>
    <x v="1"/>
    <x v="5"/>
    <x v="1"/>
    <s v="COMP09"/>
    <s v="COMBO - Papas 120 grs y agua 280 Ml"/>
    <n v="1"/>
    <n v="7900"/>
    <n v="0"/>
    <n v="2917"/>
    <n v="4983"/>
    <n v="0.63075949367088613"/>
    <n v="0"/>
    <s v="Armalo en combo"/>
    <s v="Personal"/>
    <s v="Combo"/>
  </r>
  <r>
    <x v="1"/>
    <x v="5"/>
    <x v="1"/>
    <s v="MON321"/>
    <s v="Chop Suey Pollo trio"/>
    <n v="1"/>
    <n v="41900"/>
    <n v="0"/>
    <n v="11217"/>
    <n v="30683"/>
    <n v="0.73229116945107398"/>
    <n v="0"/>
    <s v="Platos mong"/>
    <s v="No Personal"/>
    <s v="Caja"/>
  </r>
  <r>
    <x v="1"/>
    <x v="5"/>
    <x v="1"/>
    <s v="ADIC567"/>
    <s v="cerdo agridulce"/>
    <n v="1"/>
    <n v="7900"/>
    <n v="0"/>
    <n v="0"/>
    <n v="7900"/>
    <n v="1"/>
    <n v="0"/>
    <s v="Adición"/>
    <s v="Adición"/>
    <s v="Adición"/>
  </r>
  <r>
    <x v="1"/>
    <x v="5"/>
    <x v="1"/>
    <s v="ADIC562"/>
    <s v="Adición Pasta"/>
    <n v="1"/>
    <n v="4900"/>
    <n v="0"/>
    <n v="3010"/>
    <n v="1890"/>
    <n v="0.38571428571428573"/>
    <n v="0"/>
    <s v="Adición"/>
    <s v="Adición"/>
    <s v="Adición"/>
  </r>
  <r>
    <x v="1"/>
    <x v="5"/>
    <x v="1"/>
    <s v="MON111"/>
    <s v="Chow Fan Camarones trio"/>
    <n v="1"/>
    <n v="56900"/>
    <n v="0"/>
    <n v="20911"/>
    <n v="35989"/>
    <n v="0.63249560632688928"/>
    <n v="0"/>
    <s v="Platos mong"/>
    <s v="No Personal"/>
    <s v="Caja"/>
  </r>
  <r>
    <x v="1"/>
    <x v="5"/>
    <x v="1"/>
    <s v="MON505"/>
    <s v="Arroz vegetales pollo personal"/>
    <n v="1"/>
    <n v="19900"/>
    <n v="0"/>
    <n v="6138"/>
    <n v="13762"/>
    <n v="0.69155778894472364"/>
    <n v="0"/>
    <s v="Platos mong"/>
    <s v="Personal"/>
    <s v="Caja"/>
  </r>
  <r>
    <x v="1"/>
    <x v="5"/>
    <x v="2"/>
    <s v="BEB00"/>
    <s v="Coca Cola 250 Ml Zero CB (*Extra)"/>
    <n v="58"/>
    <n v="0"/>
    <n v="0"/>
    <n v="0"/>
    <n v="0"/>
    <n v="0"/>
    <n v="0"/>
    <s v="Bebidas"/>
    <s v="Bebidas Cambio de bebida"/>
    <s v="Bebidas"/>
  </r>
  <r>
    <x v="1"/>
    <x v="5"/>
    <x v="2"/>
    <s v="COMP01"/>
    <s v="COMBO 1- Valenciano personal"/>
    <n v="38"/>
    <n v="1047900"/>
    <n v="-164300"/>
    <n v="365826"/>
    <n v="682074"/>
    <n v="0.65089607787002579"/>
    <n v="0.15678977001622293"/>
    <s v="Combos personales"/>
    <s v="Personal"/>
    <s v="Combo"/>
  </r>
  <r>
    <x v="1"/>
    <x v="5"/>
    <x v="2"/>
    <s v="COMP14"/>
    <s v="COMBO ESTUDIANTIL- Chow fan 250 grs"/>
    <n v="33"/>
    <n v="805750"/>
    <n v="-81950"/>
    <n v="0"/>
    <n v="805750"/>
    <n v="1"/>
    <n v="0.10170648464163823"/>
    <s v="Combos personales"/>
    <s v="Personal"/>
    <s v="Caja"/>
  </r>
  <r>
    <x v="1"/>
    <x v="5"/>
    <x v="2"/>
    <s v="ADIC09"/>
    <s v="No deseo (*Extra)"/>
    <n v="18"/>
    <n v="0"/>
    <n v="0"/>
    <n v="0"/>
    <n v="0"/>
    <n v="0"/>
    <n v="0"/>
    <s v="Adición"/>
    <s v="Adición"/>
    <s v="Adición"/>
  </r>
  <r>
    <x v="1"/>
    <x v="5"/>
    <x v="2"/>
    <s v="ADIC02"/>
    <s v="Pollo presa ADIC (*Extra)"/>
    <n v="12"/>
    <n v="91200"/>
    <n v="0"/>
    <n v="34188"/>
    <n v="57012"/>
    <n v="0.62513157894736837"/>
    <n v="0"/>
    <s v="Adición"/>
    <s v="Adición"/>
    <s v="Adición"/>
  </r>
  <r>
    <x v="1"/>
    <x v="5"/>
    <x v="2"/>
    <s v="COMP05"/>
    <s v="COMBO 5 - Chow Mein especial personal"/>
    <n v="11"/>
    <n v="360850"/>
    <n v="-67050"/>
    <n v="123783"/>
    <n v="237067"/>
    <n v="0.65696826936400166"/>
    <n v="0.18581127892476099"/>
    <s v="Combos personales"/>
    <s v="Personal"/>
    <s v="Combo"/>
  </r>
  <r>
    <x v="1"/>
    <x v="5"/>
    <x v="2"/>
    <s v="ENT04"/>
    <s v="LUMPIAS X 2"/>
    <n v="9"/>
    <n v="116100"/>
    <n v="0"/>
    <n v="28251"/>
    <n v="87849"/>
    <n v="0.75666666666666671"/>
    <n v="0"/>
    <s v="Entradas"/>
    <s v="Otro"/>
    <s v="Otro"/>
  </r>
  <r>
    <x v="1"/>
    <x v="5"/>
    <x v="2"/>
    <s v="COMP02"/>
    <s v="COMBO 2 - Chow fan especial personal"/>
    <n v="8"/>
    <n v="254000"/>
    <n v="-25200"/>
    <n v="76008"/>
    <n v="177992"/>
    <n v="0.70075590551181099"/>
    <n v="9.9212598425196849E-2"/>
    <s v="Combos personales"/>
    <s v="Personal"/>
    <s v="Combo"/>
  </r>
  <r>
    <x v="1"/>
    <x v="5"/>
    <x v="2"/>
    <s v="CAM03"/>
    <s v="Cambio Papas a la francesa 150 grs (*Extra)"/>
    <n v="6"/>
    <n v="5400"/>
    <n v="0"/>
    <n v="9414"/>
    <n v="-4014"/>
    <n v="-0.74333333333333329"/>
    <n v="0"/>
    <s v="Adición"/>
    <s v="Otro"/>
    <s v="Otro"/>
  </r>
  <r>
    <x v="1"/>
    <x v="5"/>
    <x v="2"/>
    <s v="BEB01"/>
    <s v="Coca Cola 250 Ml Normal CB (*Extra)"/>
    <n v="6"/>
    <n v="6000"/>
    <n v="0"/>
    <n v="11670"/>
    <n v="-5670"/>
    <n v="-0.94499999999999995"/>
    <n v="0"/>
    <s v="Bebidas"/>
    <s v="Bebidas Cambio de bebida"/>
    <s v="Bebidas"/>
  </r>
  <r>
    <x v="1"/>
    <x v="5"/>
    <x v="2"/>
    <s v="COMP12"/>
    <s v="Combo Sunkee"/>
    <n v="6"/>
    <n v="219450"/>
    <n v="-19950"/>
    <n v="196806"/>
    <n v="22644"/>
    <n v="0.10318523581681477"/>
    <n v="9.0909090909090912E-2"/>
    <s v="Combos personales"/>
    <s v="Personal"/>
    <s v="Combo"/>
  </r>
  <r>
    <x v="1"/>
    <x v="5"/>
    <x v="2"/>
    <s v="ADIC06"/>
    <s v="Arroz Frito ADIC (*Extra)"/>
    <n v="6"/>
    <n v="28800"/>
    <n v="0"/>
    <n v="7692"/>
    <n v="21108"/>
    <n v="0.73291666666666666"/>
    <n v="0"/>
    <s v="Adición"/>
    <s v="Adición"/>
    <s v="Adición"/>
  </r>
  <r>
    <x v="1"/>
    <x v="5"/>
    <x v="2"/>
    <s v="MONE700"/>
    <s v="Mong Express Chop suey pollo"/>
    <n v="5"/>
    <n v="115600"/>
    <n v="-18900"/>
    <n v="40915"/>
    <n v="74685"/>
    <n v="0.64606401384083045"/>
    <n v="0.16349480968858132"/>
    <s v="Mong Express"/>
    <s v="Personal"/>
    <s v="Caja"/>
  </r>
  <r>
    <x v="1"/>
    <x v="5"/>
    <x v="2"/>
    <s v="BEB620"/>
    <s v="Agua 280 ml CB (*Extra)"/>
    <n v="5"/>
    <n v="0"/>
    <n v="0"/>
    <n v="4340"/>
    <n v="-4340"/>
    <n v="0"/>
    <n v="0"/>
    <s v="Bebidas"/>
    <s v="Bebidas Cambio de bebida"/>
    <s v="Bebidas"/>
  </r>
  <r>
    <x v="1"/>
    <x v="5"/>
    <x v="2"/>
    <s v="COMP13"/>
    <s v="COMBO ARMA TU PLATO"/>
    <n v="5"/>
    <n v="147700"/>
    <n v="-46800"/>
    <n v="0"/>
    <n v="147700"/>
    <n v="1"/>
    <n v="0.31685849695328366"/>
    <s v="Combos personales"/>
    <s v="Personal"/>
    <s v="Combo"/>
  </r>
  <r>
    <x v="1"/>
    <x v="5"/>
    <x v="2"/>
    <s v="COMC06"/>
    <s v="COMBO FAMILIAR"/>
    <n v="4"/>
    <n v="467300"/>
    <n v="-56300"/>
    <n v="187120"/>
    <n v="280180"/>
    <n v="0.59957200941579281"/>
    <n v="0.120479349454312"/>
    <s v="Combos para compartir"/>
    <s v="No Personal"/>
    <s v="Combo"/>
  </r>
  <r>
    <x v="1"/>
    <x v="5"/>
    <x v="2"/>
    <s v="CAM04"/>
    <s v="Lumpia cambio (*Extra)"/>
    <n v="4"/>
    <n v="0"/>
    <n v="0"/>
    <n v="8196"/>
    <n v="-8196"/>
    <n v="0"/>
    <n v="0"/>
    <s v="Adición"/>
    <s v="Otro"/>
    <s v="Otro"/>
  </r>
  <r>
    <x v="1"/>
    <x v="5"/>
    <x v="2"/>
    <s v="COMP04"/>
    <s v="COMBO 4 - arroz vegetales especial"/>
    <n v="4"/>
    <n v="137300"/>
    <n v="-18300"/>
    <n v="40988"/>
    <n v="96312"/>
    <n v="0.70147123088128183"/>
    <n v="0.13328477785870357"/>
    <s v="Combos personales"/>
    <s v="Personal"/>
    <s v="Combo"/>
  </r>
  <r>
    <x v="1"/>
    <x v="5"/>
    <x v="2"/>
    <s v="COMP03"/>
    <s v="COMBO 3 - Chop suey especial personal"/>
    <n v="4"/>
    <n v="137300"/>
    <n v="-18300"/>
    <n v="38280"/>
    <n v="99020"/>
    <n v="0.72119446467589221"/>
    <n v="0.13328477785870357"/>
    <s v="Combos personales"/>
    <s v="Personal"/>
    <s v="Combo"/>
  </r>
  <r>
    <x v="1"/>
    <x v="5"/>
    <x v="2"/>
    <s v="ADIC03"/>
    <s v="Camarones (*Extra)"/>
    <n v="4"/>
    <n v="30400"/>
    <n v="0"/>
    <n v="12432"/>
    <n v="17968"/>
    <n v="0.59105263157894739"/>
    <n v="0"/>
    <s v="Adición"/>
    <s v="Adición"/>
    <s v="Adición"/>
  </r>
  <r>
    <x v="1"/>
    <x v="5"/>
    <x v="2"/>
    <s v="ATP01"/>
    <s v="Pollo a la naranja (*Extra)"/>
    <n v="4"/>
    <n v="0"/>
    <n v="0"/>
    <n v="21964"/>
    <n v="-21964"/>
    <n v="0"/>
    <n v="0"/>
    <s v="Arma tu plato"/>
    <s v="Personal"/>
    <s v="Caja"/>
  </r>
  <r>
    <x v="1"/>
    <x v="5"/>
    <x v="2"/>
    <s v="COMC07"/>
    <s v="COMBO ANTOJO"/>
    <n v="3"/>
    <n v="89700"/>
    <n v="0"/>
    <n v="23919"/>
    <n v="65781"/>
    <n v="0.73334448160535115"/>
    <n v="0"/>
    <s v="Combos para compartir"/>
    <s v="No Personal"/>
    <s v="Combo"/>
  </r>
  <r>
    <x v="1"/>
    <x v="5"/>
    <x v="2"/>
    <s v="ADIC08"/>
    <s v="Salsa agridulce Roja (*Extra)"/>
    <n v="3"/>
    <n v="3000"/>
    <n v="0"/>
    <n v="177"/>
    <n v="2823"/>
    <n v="0.94099999999999995"/>
    <n v="0"/>
    <s v="Adición"/>
    <s v="Adición"/>
    <s v="Adición"/>
  </r>
  <r>
    <x v="1"/>
    <x v="5"/>
    <x v="2"/>
    <s v="BEB601"/>
    <s v="Coca Cola 400 Ml Normal CB (*Extra)"/>
    <n v="3"/>
    <n v="7800"/>
    <n v="0"/>
    <n v="6705"/>
    <n v="1095"/>
    <n v="0.14038461538461539"/>
    <n v="0"/>
    <s v="Bebidas"/>
    <s v="Bebidas Cambio de bebida"/>
    <s v="Bebidas"/>
  </r>
  <r>
    <x v="1"/>
    <x v="5"/>
    <x v="2"/>
    <s v="BEB605"/>
    <s v="Quatro 400 Ml CB (*Extra)"/>
    <n v="3"/>
    <n v="6000"/>
    <n v="0"/>
    <n v="3990"/>
    <n v="2010"/>
    <n v="0.33500000000000002"/>
    <n v="0"/>
    <s v="Bebidas"/>
    <s v="Bebidas Cambio de bebida"/>
    <s v="Bebidas"/>
  </r>
  <r>
    <x v="1"/>
    <x v="5"/>
    <x v="2"/>
    <s v="ADIC564"/>
    <s v="Adición Presa de pollo"/>
    <n v="2"/>
    <n v="17800"/>
    <n v="0"/>
    <n v="4928"/>
    <n v="12872"/>
    <n v="0.72314606741573029"/>
    <n v="0"/>
    <s v="Adición"/>
    <s v="Adición"/>
    <s v="Adición"/>
  </r>
  <r>
    <x v="1"/>
    <x v="5"/>
    <x v="2"/>
    <s v="ADIC560"/>
    <s v="Adición Papa frita"/>
    <n v="2"/>
    <n v="15800"/>
    <n v="0"/>
    <n v="8196"/>
    <n v="7604"/>
    <n v="0.48126582278481012"/>
    <n v="0"/>
    <s v="Adición"/>
    <s v="Adición"/>
    <s v="Adición"/>
  </r>
  <r>
    <x v="1"/>
    <x v="5"/>
    <x v="2"/>
    <s v="ADIC11"/>
    <s v="Salsa Teriyaki (*Extra)"/>
    <n v="2"/>
    <n v="2000"/>
    <n v="0"/>
    <n v="0"/>
    <n v="2000"/>
    <n v="1"/>
    <n v="0"/>
    <s v="Adición"/>
    <s v="Adición"/>
    <s v="Adición"/>
  </r>
  <r>
    <x v="1"/>
    <x v="5"/>
    <x v="2"/>
    <s v="BEB613"/>
    <s v="Coca Cola 400 Ml Zero CB (*Extra)"/>
    <n v="2"/>
    <n v="5200"/>
    <n v="0"/>
    <n v="4478"/>
    <n v="722"/>
    <n v="0.13884615384615384"/>
    <n v="0"/>
    <s v="Bebidas"/>
    <s v="Bebidas Cambio de bebida"/>
    <s v="Bebidas"/>
  </r>
  <r>
    <x v="1"/>
    <x v="5"/>
    <x v="2"/>
    <s v="ATP04"/>
    <s v="Chop suey (*Extra)"/>
    <n v="2"/>
    <n v="0"/>
    <n v="0"/>
    <n v="5268"/>
    <n v="-5268"/>
    <n v="0"/>
    <n v="0"/>
    <s v="Arma tu plato"/>
    <s v="Personal"/>
    <s v="Caja"/>
  </r>
  <r>
    <x v="1"/>
    <x v="5"/>
    <x v="2"/>
    <s v="PESP05"/>
    <s v="WONG- Menú infantil"/>
    <n v="2"/>
    <n v="34800"/>
    <n v="-5000"/>
    <n v="14250"/>
    <n v="20550"/>
    <n v="0.59051724137931039"/>
    <n v="0.14367816091954022"/>
    <s v="Platos especiales"/>
    <s v="Personal"/>
    <s v="Platos Especiales"/>
  </r>
  <r>
    <x v="1"/>
    <x v="5"/>
    <x v="2"/>
    <s v="COMC02"/>
    <s v="COMBO AMIGOS"/>
    <n v="2"/>
    <n v="141550"/>
    <n v="-20250"/>
    <n v="47276"/>
    <n v="94274"/>
    <n v="0.66601200989049802"/>
    <n v="0.14305898975626988"/>
    <s v="Combos para compartir"/>
    <s v="No Personal"/>
    <s v="Combo"/>
  </r>
  <r>
    <x v="1"/>
    <x v="5"/>
    <x v="2"/>
    <s v="BEB602"/>
    <s v="Kola Roman 400 Ml CB (*Extra)"/>
    <n v="2"/>
    <n v="4000"/>
    <n v="0"/>
    <n v="4470"/>
    <n v="-470"/>
    <n v="-0.11749999999999999"/>
    <n v="0"/>
    <s v="Bebidas"/>
    <s v="Bebidas Cambio de bebida"/>
    <s v="Bebidas"/>
  </r>
  <r>
    <x v="1"/>
    <x v="5"/>
    <x v="2"/>
    <s v="ATP03"/>
    <s v="Arroz vegetales (*Extra)"/>
    <n v="2"/>
    <n v="4000"/>
    <n v="0"/>
    <n v="4070"/>
    <n v="-70"/>
    <n v="-1.7500000000000002E-2"/>
    <n v="0"/>
    <s v="Arma tu plato"/>
    <s v="Personal"/>
    <s v="Caja"/>
  </r>
  <r>
    <x v="1"/>
    <x v="5"/>
    <x v="2"/>
    <s v="ATP08"/>
    <s v="Pollo Apanado ATP (*Extra)"/>
    <n v="2"/>
    <n v="0"/>
    <n v="0"/>
    <n v="10526"/>
    <n v="-10526"/>
    <n v="0"/>
    <n v="0"/>
    <s v="Arma tu plato"/>
    <s v="Personal"/>
    <s v="Caja"/>
  </r>
  <r>
    <x v="1"/>
    <x v="5"/>
    <x v="2"/>
    <s v="ADIC561"/>
    <s v="Adición Vegetales"/>
    <n v="2"/>
    <n v="17800"/>
    <n v="0"/>
    <n v="1378"/>
    <n v="16422"/>
    <n v="0.9225842696629214"/>
    <n v="0"/>
    <s v="Adición"/>
    <s v="Adición"/>
    <s v="Adición"/>
  </r>
  <r>
    <x v="1"/>
    <x v="5"/>
    <x v="2"/>
    <s v="ADIC04"/>
    <s v="Pollo picado (*Extra)"/>
    <n v="2"/>
    <n v="16000"/>
    <n v="0"/>
    <n v="3494"/>
    <n v="12506"/>
    <n v="0.78162500000000001"/>
    <n v="0"/>
    <s v="Adición"/>
    <s v="Adición"/>
    <s v="Adición"/>
  </r>
  <r>
    <x v="1"/>
    <x v="5"/>
    <x v="2"/>
    <s v="ADIC05"/>
    <s v="Vegetales salteados (*Extra)"/>
    <n v="2"/>
    <n v="13400"/>
    <n v="0"/>
    <n v="14"/>
    <n v="13386"/>
    <n v="0.99895522388059699"/>
    <n v="0"/>
    <s v="Adición"/>
    <s v="Adición"/>
    <s v="Adición"/>
  </r>
  <r>
    <x v="1"/>
    <x v="5"/>
    <x v="2"/>
    <s v="ADIC490"/>
    <s v="Adicion - Pollo en trozos"/>
    <n v="1"/>
    <n v="8899"/>
    <n v="0"/>
    <n v="2245"/>
    <n v="6654"/>
    <n v="0.74772446342285648"/>
    <n v="0"/>
    <s v="Adición"/>
    <s v="Adición"/>
    <s v="Adición"/>
  </r>
  <r>
    <x v="1"/>
    <x v="5"/>
    <x v="2"/>
    <s v="BEB607"/>
    <s v="Agua Gas 600 Ml CB (*Extra)"/>
    <n v="1"/>
    <n v="2000"/>
    <n v="0"/>
    <n v="1610"/>
    <n v="390"/>
    <n v="0.19500000000000001"/>
    <n v="0"/>
    <s v="Bebidas"/>
    <s v="Bebidas Cambio de bebida"/>
    <s v="Bebidas"/>
  </r>
  <r>
    <x v="1"/>
    <x v="5"/>
    <x v="2"/>
    <s v="BEB608"/>
    <s v="Agua Limón 600 Ml CB (*Extra)"/>
    <n v="1"/>
    <n v="2000"/>
    <n v="0"/>
    <n v="1711"/>
    <n v="289"/>
    <n v="0.14449999999999999"/>
    <n v="0"/>
    <s v="Bebidas"/>
    <s v="Bebidas Cambio de bebida"/>
    <s v="Bebidas"/>
  </r>
  <r>
    <x v="1"/>
    <x v="5"/>
    <x v="2"/>
    <s v="BEB581"/>
    <s v="Coca Cola 400 Ml Normal"/>
    <n v="1"/>
    <n v="6500"/>
    <n v="0"/>
    <n v="1695"/>
    <n v="4805"/>
    <n v="0.73923076923076925"/>
    <n v="0"/>
    <s v="Bebidas"/>
    <s v="Bebidas"/>
    <s v="Bebidas"/>
  </r>
  <r>
    <x v="1"/>
    <x v="5"/>
    <x v="2"/>
    <s v="BEB609"/>
    <s v="Fusetea Limon CB (*Extra)"/>
    <n v="1"/>
    <n v="2000"/>
    <n v="0"/>
    <n v="1874"/>
    <n v="126"/>
    <n v="6.3E-2"/>
    <n v="0"/>
    <s v="Bebidas"/>
    <s v="Bebidas Cambio de bebida"/>
    <s v="Bebidas"/>
  </r>
  <r>
    <x v="1"/>
    <x v="5"/>
    <x v="2"/>
    <s v="BEB587"/>
    <s v="Agua Limón 600 Ml"/>
    <n v="1"/>
    <n v="5900"/>
    <n v="0"/>
    <n v="1373"/>
    <n v="4527"/>
    <n v="0.76728813559322029"/>
    <n v="0"/>
    <s v="Bebidas"/>
    <s v="Bebidas"/>
    <s v="Bebidas"/>
  </r>
  <r>
    <x v="1"/>
    <x v="5"/>
    <x v="2"/>
    <s v="BEB604"/>
    <s v="Sprite 400 Ml CB (*Extra)"/>
    <n v="1"/>
    <n v="2000"/>
    <n v="0"/>
    <n v="1516"/>
    <n v="484"/>
    <n v="0.24199999999999999"/>
    <n v="0"/>
    <s v="Bebidas"/>
    <s v="Bebidas Cambio de bebida"/>
    <s v="Bebidas"/>
  </r>
  <r>
    <x v="1"/>
    <x v="5"/>
    <x v="2"/>
    <s v="BEB596"/>
    <s v="Fusetea mango"/>
    <n v="1"/>
    <n v="5900"/>
    <n v="0"/>
    <n v="1896"/>
    <n v="4004"/>
    <n v="0.67864406779661013"/>
    <n v="0"/>
    <s v="Bebidas"/>
    <s v="Bebidas"/>
    <s v="Bebidas"/>
  </r>
  <r>
    <x v="1"/>
    <x v="5"/>
    <x v="2"/>
    <s v="BEB594"/>
    <s v="Premio 400 Ml"/>
    <n v="1"/>
    <n v="5900"/>
    <n v="0"/>
    <n v="1330"/>
    <n v="4570"/>
    <n v="0.77457627118644068"/>
    <n v="0"/>
    <s v="Bebidas"/>
    <s v="Bebidas"/>
    <s v="Bebidas"/>
  </r>
  <r>
    <x v="1"/>
    <x v="5"/>
    <x v="2"/>
    <s v="BEB616"/>
    <s v="Agua Manzana 600 Ml CB (*Extra)"/>
    <n v="1"/>
    <n v="2000"/>
    <n v="0"/>
    <n v="2139"/>
    <n v="-139"/>
    <n v="-6.9500000000000006E-2"/>
    <n v="0"/>
    <s v="Bebidas"/>
    <s v="Bebidas Cambio de bebida"/>
    <s v="Bebidas"/>
  </r>
  <r>
    <x v="1"/>
    <x v="5"/>
    <x v="2"/>
    <s v="BEB617"/>
    <s v="Fusetea mango CB (*Extra)"/>
    <n v="1"/>
    <n v="2000"/>
    <n v="0"/>
    <n v="1896"/>
    <n v="104"/>
    <n v="5.1999999999999998E-2"/>
    <n v="0"/>
    <s v="Bebidas"/>
    <s v="Bebidas Cambio de bebida"/>
    <s v="Bebidas"/>
  </r>
  <r>
    <x v="1"/>
    <x v="5"/>
    <x v="2"/>
    <s v="BEB590"/>
    <s v="Jugo Del Valle Mandarina"/>
    <n v="1"/>
    <n v="5900"/>
    <n v="0"/>
    <n v="1560"/>
    <n v="4340"/>
    <n v="0.735593220338983"/>
    <n v="0"/>
    <s v="Bebidas"/>
    <s v="Bebidas"/>
    <s v="Bebidas"/>
  </r>
  <r>
    <x v="1"/>
    <x v="5"/>
    <x v="2"/>
    <s v="ATP10"/>
    <s v="Cerdo agridulce (*Extra)"/>
    <n v="1"/>
    <n v="0"/>
    <n v="0"/>
    <n v="5467"/>
    <n v="-5467"/>
    <n v="0"/>
    <n v="0"/>
    <s v="Arma tu plato"/>
    <s v="Personal"/>
    <s v="Caja"/>
  </r>
  <r>
    <x v="1"/>
    <x v="5"/>
    <x v="2"/>
    <s v="COMC04"/>
    <s v="COMBO FAMIAMIGOS"/>
    <n v="1"/>
    <n v="83900"/>
    <n v="-28000"/>
    <n v="39221"/>
    <n v="44679"/>
    <n v="0.53252681764004772"/>
    <n v="0.33373063170441003"/>
    <s v="Combos para compartir"/>
    <s v="No Personal"/>
    <s v="Combo"/>
  </r>
  <r>
    <x v="1"/>
    <x v="5"/>
    <x v="2"/>
    <s v="ADIC12"/>
    <s v="Salsa Soya (*Extra)"/>
    <n v="1"/>
    <n v="1000"/>
    <n v="0"/>
    <n v="0"/>
    <n v="1000"/>
    <n v="1"/>
    <n v="0"/>
    <s v="Adición"/>
    <s v="Adición"/>
    <s v="Adición"/>
  </r>
  <r>
    <x v="1"/>
    <x v="5"/>
    <x v="2"/>
    <s v="BEB618"/>
    <s v="Fusetea manzana CB (*Extra)"/>
    <n v="1"/>
    <n v="2000"/>
    <n v="0"/>
    <n v="1896"/>
    <n v="104"/>
    <n v="5.1999999999999998E-2"/>
    <n v="0"/>
    <s v="Bebidas"/>
    <s v="Bebidas Cambio de bebida"/>
    <s v="Bebidas"/>
  </r>
  <r>
    <x v="1"/>
    <x v="5"/>
    <x v="2"/>
    <s v="ADIC562"/>
    <s v="Adición Pasta"/>
    <n v="1"/>
    <n v="5900"/>
    <n v="0"/>
    <n v="3010"/>
    <n v="2890"/>
    <n v="0.48983050847457626"/>
    <n v="0"/>
    <s v="Adición"/>
    <s v="Adición"/>
    <s v="Adición"/>
  </r>
  <r>
    <x v="1"/>
    <x v="5"/>
    <x v="2"/>
    <s v="ADIC566"/>
    <s v="Pollo a la naranja"/>
    <n v="1"/>
    <n v="9900"/>
    <n v="0"/>
    <n v="0"/>
    <n v="9900"/>
    <n v="1"/>
    <n v="0"/>
    <s v="Adición"/>
    <s v="Adición"/>
    <s v="Adición"/>
  </r>
  <r>
    <x v="1"/>
    <x v="5"/>
    <x v="2"/>
    <s v="ATP05"/>
    <s v="Chow mein (*Extra)"/>
    <n v="1"/>
    <n v="0"/>
    <n v="0"/>
    <n v="3097"/>
    <n v="-3097"/>
    <n v="0"/>
    <n v="0"/>
    <s v="Arma tu plato"/>
    <s v="Personal"/>
    <s v="Caja"/>
  </r>
  <r>
    <x v="1"/>
    <x v="5"/>
    <x v="2"/>
    <s v="ATP07"/>
    <s v="Pollo presa ATP (*Extra)"/>
    <n v="1"/>
    <n v="0"/>
    <n v="0"/>
    <n v="2849"/>
    <n v="-2849"/>
    <n v="0"/>
    <n v="0"/>
    <s v="Arma tu plato"/>
    <s v="Personal"/>
    <s v="Caja"/>
  </r>
  <r>
    <x v="1"/>
    <x v="5"/>
    <x v="2"/>
    <s v="ADIC563"/>
    <s v="Adición Arroz Frito"/>
    <n v="1"/>
    <n v="7900"/>
    <n v="0"/>
    <n v="1282"/>
    <n v="6618"/>
    <n v="0.83772151898734182"/>
    <n v="0"/>
    <s v="Adición"/>
    <s v="Adición"/>
    <s v="Adición"/>
  </r>
  <r>
    <x v="1"/>
    <x v="5"/>
    <x v="2"/>
    <s v="ADIC565"/>
    <s v="Adición Camaron"/>
    <n v="1"/>
    <n v="8900"/>
    <n v="0"/>
    <n v="3108"/>
    <n v="5792"/>
    <n v="0.65078651685393263"/>
    <n v="0"/>
    <s v="Adición"/>
    <s v="Adición"/>
    <s v="Adición"/>
  </r>
  <r>
    <x v="1"/>
    <x v="5"/>
    <x v="0"/>
    <s v="ENT04"/>
    <s v="LUMPIAS X 2"/>
    <n v="47"/>
    <n v="407821"/>
    <n v="-10479"/>
    <n v="147533"/>
    <n v="260288"/>
    <n v="0.63824079682017354"/>
    <n v="2.5695096623273447E-2"/>
    <s v="Entradas"/>
    <s v="Otro"/>
    <s v="Otro"/>
  </r>
  <r>
    <x v="1"/>
    <x v="5"/>
    <x v="0"/>
    <s v="COMP01"/>
    <s v="COMBO 1- Valenciano personal"/>
    <n v="44"/>
    <n v="1042449"/>
    <n v="-9151"/>
    <n v="423588"/>
    <n v="618861"/>
    <n v="0.59366069707007252"/>
    <n v="8.7783670951768391E-3"/>
    <s v="Combos personales"/>
    <s v="Personal"/>
    <s v="Combo"/>
  </r>
  <r>
    <x v="1"/>
    <x v="5"/>
    <x v="0"/>
    <s v="MON301"/>
    <s v="Chop Suey Especial trio"/>
    <n v="34"/>
    <n v="1374706"/>
    <n v="-83894"/>
    <n v="385288"/>
    <n v="989418"/>
    <n v="0.71973061876503053"/>
    <n v="6.1026866835527015E-2"/>
    <s v="Platos mong"/>
    <s v="No Personal"/>
    <s v="Caja"/>
  </r>
  <r>
    <x v="1"/>
    <x v="5"/>
    <x v="0"/>
    <s v="ENT02"/>
    <s v="LUMPIA X 1"/>
    <n v="31"/>
    <n v="140151"/>
    <n v="-14849"/>
    <n v="48639"/>
    <n v="91512"/>
    <n v="0.65295288652952888"/>
    <n v="0.10595001105950011"/>
    <s v="Entradas"/>
    <s v="Otro"/>
    <s v="Otro"/>
  </r>
  <r>
    <x v="1"/>
    <x v="5"/>
    <x v="0"/>
    <s v="MONE700"/>
    <s v="Mong Express Chop suey pollo"/>
    <n v="25"/>
    <n v="487500"/>
    <n v="-10000"/>
    <n v="204575"/>
    <n v="282925"/>
    <n v="0.58035897435897432"/>
    <n v="2.0512820512820513E-2"/>
    <s v="Mong Express"/>
    <s v="Personal"/>
    <s v="Caja"/>
  </r>
  <r>
    <x v="1"/>
    <x v="5"/>
    <x v="0"/>
    <s v="MONE701"/>
    <s v="Mong Express Chow fan"/>
    <n v="23"/>
    <n v="422844"/>
    <n v="-34856"/>
    <n v="0"/>
    <n v="422844"/>
    <n v="1"/>
    <n v="8.2432291814475311E-2"/>
    <s v="Mong Express"/>
    <s v="Personal"/>
    <s v="Caja"/>
  </r>
  <r>
    <x v="1"/>
    <x v="5"/>
    <x v="0"/>
    <s v="MON101"/>
    <s v="Chow fan especial trio"/>
    <n v="22"/>
    <n v="869521"/>
    <n v="-8279"/>
    <n v="441166"/>
    <n v="428355"/>
    <n v="0.49263330040332554"/>
    <n v="9.5213341598420279E-3"/>
    <s v="Platos mong"/>
    <s v="No Personal"/>
    <s v="Platos Especiales"/>
  </r>
  <r>
    <x v="1"/>
    <x v="5"/>
    <x v="0"/>
    <s v="MON450"/>
    <s v="Arma tu plato"/>
    <n v="21"/>
    <n v="519198"/>
    <n v="-3702"/>
    <n v="0"/>
    <n v="519198"/>
    <n v="1"/>
    <n v="7.1302277743750938E-3"/>
    <s v="Arma tu plato"/>
    <s v="Personal"/>
    <s v="Caja"/>
  </r>
  <r>
    <x v="1"/>
    <x v="5"/>
    <x v="0"/>
    <s v="MON132"/>
    <s v="Chow Fan Valenciano familiar"/>
    <n v="20"/>
    <n v="1292561"/>
    <n v="-45439"/>
    <n v="693100"/>
    <n v="599461"/>
    <n v="0.46377772499711811"/>
    <n v="3.515424030277875E-2"/>
    <s v="Platos mong"/>
    <s v="No Personal"/>
    <s v="Caja"/>
  </r>
  <r>
    <x v="1"/>
    <x v="5"/>
    <x v="0"/>
    <s v="MON100"/>
    <s v="Chow Fan Especial Personal"/>
    <n v="19"/>
    <n v="377723"/>
    <n v="-377"/>
    <n v="128592"/>
    <n v="249131"/>
    <n v="0.65956004797166179"/>
    <n v="9.9808589892593251E-4"/>
    <s v="Platos mong"/>
    <s v="Personal"/>
    <s v="Caja"/>
  </r>
  <r>
    <x v="1"/>
    <x v="5"/>
    <x v="0"/>
    <s v="ATP01"/>
    <s v="Pollo a la naranja (*Extra)"/>
    <n v="15"/>
    <n v="0"/>
    <n v="0"/>
    <n v="82365"/>
    <n v="-82365"/>
    <n v="0"/>
    <n v="0"/>
    <s v="Arma tu plato"/>
    <s v="Personal"/>
    <s v="Caja"/>
  </r>
  <r>
    <x v="1"/>
    <x v="5"/>
    <x v="0"/>
    <s v="MON200"/>
    <s v="Chow Mein Especial Personal"/>
    <n v="14"/>
    <n v="254505"/>
    <n v="-38095"/>
    <n v="119294"/>
    <n v="135211"/>
    <n v="0.53127050549105126"/>
    <n v="0.14968271743187755"/>
    <s v="Platos mong"/>
    <s v="Personal"/>
    <s v="Caja"/>
  </r>
  <r>
    <x v="1"/>
    <x v="5"/>
    <x v="0"/>
    <s v="MON300"/>
    <s v="Chop suey especial personal"/>
    <n v="13"/>
    <n v="259595"/>
    <n v="-12105"/>
    <n v="88894"/>
    <n v="170701"/>
    <n v="0.65756659411776031"/>
    <n v="4.6630328010940116E-2"/>
    <s v="Platos mong"/>
    <s v="Personal"/>
    <s v="Caja"/>
  </r>
  <r>
    <x v="1"/>
    <x v="5"/>
    <x v="0"/>
    <s v="BEB598"/>
    <s v="Coca Cola 1,5 litros"/>
    <n v="12"/>
    <n v="115627"/>
    <n v="-3173"/>
    <n v="54012"/>
    <n v="61615"/>
    <n v="0.53287726914993905"/>
    <n v="2.744168749513522E-2"/>
    <s v="Bebidas"/>
    <s v="Bebidas"/>
    <s v="Bebidas"/>
  </r>
  <r>
    <x v="1"/>
    <x v="5"/>
    <x v="0"/>
    <s v="MON103"/>
    <s v="Chow Fan Especial megafamiliar"/>
    <n v="11"/>
    <n v="863550"/>
    <n v="-37350"/>
    <n v="469744"/>
    <n v="393806"/>
    <n v="0.45603149788663078"/>
    <n v="4.3251693590411672E-2"/>
    <s v="Platos mong"/>
    <s v="No Personal"/>
    <s v="Caja"/>
  </r>
  <r>
    <x v="1"/>
    <x v="5"/>
    <x v="0"/>
    <s v="MON102"/>
    <s v="Chow Fan Especial familiar"/>
    <n v="11"/>
    <n v="536904"/>
    <n v="-11996"/>
    <n v="355861"/>
    <n v="181043"/>
    <n v="0.33719808382876643"/>
    <n v="2.2342914189501288E-2"/>
    <s v="Platos mong"/>
    <s v="No Personal"/>
    <s v="Caja"/>
  </r>
  <r>
    <x v="1"/>
    <x v="5"/>
    <x v="0"/>
    <s v="ATP06"/>
    <s v="Arroz Frito ATP (*Extra)"/>
    <n v="9"/>
    <n v="0"/>
    <n v="0"/>
    <n v="11538"/>
    <n v="-11538"/>
    <n v="0"/>
    <n v="0"/>
    <s v="Arma tu plato"/>
    <s v="Personal"/>
    <s v="Caja"/>
  </r>
  <r>
    <x v="1"/>
    <x v="5"/>
    <x v="0"/>
    <s v="ATP10"/>
    <s v="Cerdo agridulce (*Extra)"/>
    <n v="9"/>
    <n v="0"/>
    <n v="0"/>
    <n v="49203"/>
    <n v="-49203"/>
    <n v="0"/>
    <n v="0"/>
    <s v="Arma tu plato"/>
    <s v="Personal"/>
    <s v="Caja"/>
  </r>
  <r>
    <x v="1"/>
    <x v="5"/>
    <x v="0"/>
    <s v="ADIC560"/>
    <s v="Adición Papa frita"/>
    <n v="9"/>
    <n v="53100"/>
    <n v="0"/>
    <n v="36882"/>
    <n v="16218"/>
    <n v="0.30542372881355934"/>
    <n v="0"/>
    <s v="Adición"/>
    <s v="Adición"/>
    <s v="Adición"/>
  </r>
  <r>
    <x v="1"/>
    <x v="5"/>
    <x v="0"/>
    <s v="ATP02"/>
    <s v="Camarones apanados 7 (*Extra)"/>
    <n v="8"/>
    <n v="16000"/>
    <n v="0"/>
    <n v="24864"/>
    <n v="-8864"/>
    <n v="-0.55400000000000005"/>
    <n v="0"/>
    <s v="Arma tu plato"/>
    <s v="Personal"/>
    <s v="Caja"/>
  </r>
  <r>
    <x v="1"/>
    <x v="5"/>
    <x v="0"/>
    <s v="MON130"/>
    <s v="Chow Fan Valenciano Personal"/>
    <n v="8"/>
    <n v="175200"/>
    <n v="0"/>
    <n v="67712"/>
    <n v="107488"/>
    <n v="0.61351598173515987"/>
    <n v="0"/>
    <s v="Platos mong"/>
    <s v="Personal"/>
    <s v="Caja"/>
  </r>
  <r>
    <x v="1"/>
    <x v="5"/>
    <x v="0"/>
    <s v="MON120"/>
    <s v="Chow Fan Pollo Personal"/>
    <n v="7"/>
    <n v="111300"/>
    <n v="0"/>
    <n v="42448"/>
    <n v="68852"/>
    <n v="0.61861635220125788"/>
    <n v="0"/>
    <s v="Platos mong"/>
    <s v="Personal"/>
    <s v="Caja"/>
  </r>
  <r>
    <x v="1"/>
    <x v="5"/>
    <x v="0"/>
    <s v="COMP02"/>
    <s v="COMBO 2 - Chow fan especial personal"/>
    <n v="7"/>
    <n v="179300"/>
    <n v="-2000"/>
    <n v="66507"/>
    <n v="112793"/>
    <n v="0.62907417735638593"/>
    <n v="1.1154489682097044E-2"/>
    <s v="Combos personales"/>
    <s v="Personal"/>
    <s v="Combo"/>
  </r>
  <r>
    <x v="1"/>
    <x v="5"/>
    <x v="0"/>
    <s v="ADIC564"/>
    <s v="Adición Presa de pollo"/>
    <n v="7"/>
    <n v="45901"/>
    <n v="-2399"/>
    <n v="17248"/>
    <n v="28653"/>
    <n v="0.62423476612709961"/>
    <n v="5.2264656543430425E-2"/>
    <s v="Adición"/>
    <s v="Adición"/>
    <s v="Adición"/>
  </r>
  <r>
    <x v="1"/>
    <x v="5"/>
    <x v="0"/>
    <s v="ATP09"/>
    <s v="Res brócoli (*Extra)"/>
    <n v="7"/>
    <n v="0"/>
    <n v="0"/>
    <n v="23254"/>
    <n v="-23254"/>
    <n v="0"/>
    <n v="0"/>
    <s v="Arma tu plato"/>
    <s v="Personal"/>
    <s v="Caja"/>
  </r>
  <r>
    <x v="1"/>
    <x v="5"/>
    <x v="0"/>
    <s v="ATP04"/>
    <s v="Chop suey (*Extra)"/>
    <n v="7"/>
    <n v="0"/>
    <n v="0"/>
    <n v="18438"/>
    <n v="-18438"/>
    <n v="0"/>
    <n v="0"/>
    <s v="Arma tu plato"/>
    <s v="Personal"/>
    <s v="Caja"/>
  </r>
  <r>
    <x v="1"/>
    <x v="5"/>
    <x v="0"/>
    <s v="COMC02"/>
    <s v="COMBO AMIGOS"/>
    <n v="7"/>
    <n v="377300"/>
    <n v="0"/>
    <n v="165466"/>
    <n v="211834"/>
    <n v="0.56144712430426713"/>
    <n v="0"/>
    <s v="Combos para compartir"/>
    <s v="No Personal"/>
    <s v="Combo"/>
  </r>
  <r>
    <x v="1"/>
    <x v="5"/>
    <x v="0"/>
    <s v="COMP03"/>
    <s v="COMBO 3 - Chop suey especial personal"/>
    <n v="7"/>
    <n v="196500"/>
    <n v="-5800"/>
    <n v="66990"/>
    <n v="129510"/>
    <n v="0.65908396946564884"/>
    <n v="2.9516539440203562E-2"/>
    <s v="Combos personales"/>
    <s v="Personal"/>
    <s v="Combo"/>
  </r>
  <r>
    <x v="1"/>
    <x v="5"/>
    <x v="0"/>
    <s v="MON121"/>
    <s v="Chow Fan Pollo trio"/>
    <n v="6"/>
    <n v="201981"/>
    <n v="-1419"/>
    <n v="85386"/>
    <n v="116595"/>
    <n v="0.57725726677261724"/>
    <n v="7.0254132814472651E-3"/>
    <s v="Platos mong"/>
    <s v="No Personal"/>
    <s v="Caja"/>
  </r>
  <r>
    <x v="1"/>
    <x v="5"/>
    <x v="0"/>
    <s v="COMP05"/>
    <s v="COMBO 5 - Chow Mein especial personal"/>
    <n v="6"/>
    <n v="161300"/>
    <n v="-12100"/>
    <n v="67518"/>
    <n v="93782"/>
    <n v="0.58141351518908868"/>
    <n v="7.5015499070055794E-2"/>
    <s v="Combos personales"/>
    <s v="Personal"/>
    <s v="Combo"/>
  </r>
  <r>
    <x v="1"/>
    <x v="5"/>
    <x v="0"/>
    <s v="MON131"/>
    <s v="Chow Fan Valenciano trio"/>
    <n v="6"/>
    <n v="299400"/>
    <n v="0"/>
    <n v="112908"/>
    <n v="186492"/>
    <n v="0.62288577154308622"/>
    <n v="0"/>
    <s v="Platos mong"/>
    <s v="No Personal"/>
    <s v="Caja"/>
  </r>
  <r>
    <x v="1"/>
    <x v="5"/>
    <x v="0"/>
    <s v="MON320"/>
    <s v="Chop Suey Pollo Personal"/>
    <n v="6"/>
    <n v="113400"/>
    <n v="0"/>
    <n v="32766"/>
    <n v="80634"/>
    <n v="0.71105820105820106"/>
    <n v="0"/>
    <s v="Platos mong"/>
    <s v="Personal"/>
    <s v="Caja"/>
  </r>
  <r>
    <x v="1"/>
    <x v="5"/>
    <x v="0"/>
    <s v="BEB620"/>
    <s v="Agua 280 ml CB (*Extra)"/>
    <n v="5"/>
    <n v="0"/>
    <n v="0"/>
    <n v="4340"/>
    <n v="-4340"/>
    <n v="0"/>
    <n v="0"/>
    <s v="Bebidas"/>
    <s v="Bebidas Cambio de bebida"/>
    <s v="Bebidas"/>
  </r>
  <r>
    <x v="1"/>
    <x v="5"/>
    <x v="0"/>
    <s v="COMC04"/>
    <s v="COMBO FAMIAMIGOS"/>
    <n v="5"/>
    <n v="347285"/>
    <n v="-2215"/>
    <n v="196105"/>
    <n v="151180"/>
    <n v="0.43531969419928879"/>
    <n v="6.3780468491296772E-3"/>
    <s v="Combos para compartir"/>
    <s v="No Personal"/>
    <s v="Combo"/>
  </r>
  <r>
    <x v="1"/>
    <x v="5"/>
    <x v="0"/>
    <s v="ATP03"/>
    <s v="Arroz vegetales (*Extra)"/>
    <n v="5"/>
    <n v="9702"/>
    <n v="-298"/>
    <n v="10175"/>
    <n v="-473"/>
    <n v="-4.8752834467120185E-2"/>
    <n v="3.0715316429602145E-2"/>
    <s v="Arma tu plato"/>
    <s v="Personal"/>
    <s v="Caja"/>
  </r>
  <r>
    <x v="1"/>
    <x v="5"/>
    <x v="0"/>
    <s v="ENT03"/>
    <s v="CAMARONES APANADOS"/>
    <n v="5"/>
    <n v="83965"/>
    <n v="-535"/>
    <n v="31075"/>
    <n v="52890"/>
    <n v="0.62990531769189539"/>
    <n v="6.3717024950872385E-3"/>
    <s v="Entradas"/>
    <s v="Otro"/>
    <s v="Otro"/>
  </r>
  <r>
    <x v="1"/>
    <x v="5"/>
    <x v="0"/>
    <s v="MON302"/>
    <s v="Chop Suey Especial Familiar"/>
    <n v="4"/>
    <n v="231600"/>
    <n v="0"/>
    <n v="112228"/>
    <n v="119372"/>
    <n v="0.51542314335060446"/>
    <n v="0"/>
    <s v="Platos mong"/>
    <s v="No Personal"/>
    <s v="Caja"/>
  </r>
  <r>
    <x v="1"/>
    <x v="5"/>
    <x v="0"/>
    <s v="BEB01"/>
    <s v="Coca Cola 250 Ml Normal CB (*Extra)"/>
    <n v="4"/>
    <n v="3826"/>
    <n v="-174"/>
    <n v="7780"/>
    <n v="-3954"/>
    <n v="-1.0334553058024045"/>
    <n v="4.5478306325143755E-2"/>
    <s v="Bebidas"/>
    <s v="Bebidas Cambio de bebida"/>
    <s v="Bebidas"/>
  </r>
  <r>
    <x v="1"/>
    <x v="5"/>
    <x v="0"/>
    <s v="MON122"/>
    <s v="Chow Fan Pollo familiar"/>
    <n v="4"/>
    <n v="167600"/>
    <n v="0"/>
    <n v="97020"/>
    <n v="70580"/>
    <n v="0.42112171837708828"/>
    <n v="0"/>
    <s v="Platos mong"/>
    <s v="No Personal"/>
    <s v="Caja"/>
  </r>
  <r>
    <x v="1"/>
    <x v="5"/>
    <x v="0"/>
    <s v="MON110"/>
    <s v="Chow Fan Camarones Personal"/>
    <n v="4"/>
    <n v="91600"/>
    <n v="0"/>
    <n v="37616"/>
    <n v="53984"/>
    <n v="0.58934497816593889"/>
    <n v="0"/>
    <s v="Platos mong"/>
    <s v="Personal"/>
    <s v="Caja"/>
  </r>
  <r>
    <x v="1"/>
    <x v="5"/>
    <x v="0"/>
    <s v="BEB580"/>
    <s v="Coca Cola 250 Ml Normal"/>
    <n v="4"/>
    <n v="15600"/>
    <n v="0"/>
    <n v="4652"/>
    <n v="10948"/>
    <n v="0.70179487179487177"/>
    <n v="0"/>
    <s v="Bebidas"/>
    <s v="Bebidas"/>
    <s v="Bebidas"/>
  </r>
  <r>
    <x v="1"/>
    <x v="5"/>
    <x v="0"/>
    <s v="COMC06"/>
    <s v="COMBO FAMILIAR"/>
    <n v="4"/>
    <n v="372700"/>
    <n v="-14900"/>
    <n v="187120"/>
    <n v="185580"/>
    <n v="0.49793399517037834"/>
    <n v="3.9978535014757177E-2"/>
    <s v="Combos para compartir"/>
    <s v="No Personal"/>
    <s v="Combo"/>
  </r>
  <r>
    <x v="1"/>
    <x v="5"/>
    <x v="0"/>
    <s v="COMC07"/>
    <s v="COMBO ANTOJO"/>
    <n v="3"/>
    <n v="62700"/>
    <n v="0"/>
    <n v="23919"/>
    <n v="38781"/>
    <n v="0.61851674641148324"/>
    <n v="0"/>
    <s v="Combos para compartir"/>
    <s v="No Personal"/>
    <s v="Combo"/>
  </r>
  <r>
    <x v="1"/>
    <x v="5"/>
    <x v="0"/>
    <s v="MON133"/>
    <s v="Chow fan valenciano megafamiliar"/>
    <n v="3"/>
    <n v="239914"/>
    <n v="-17786"/>
    <n v="145824"/>
    <n v="94090"/>
    <n v="0.3921821986211726"/>
    <n v="7.4134898338571315E-2"/>
    <s v="Platos mong"/>
    <s v="No Personal"/>
    <s v="Caja"/>
  </r>
  <r>
    <x v="1"/>
    <x v="5"/>
    <x v="0"/>
    <s v="COMP10"/>
    <s v="COMBO - Lumpia y Coca Cola 250 ml"/>
    <n v="3"/>
    <n v="23700"/>
    <n v="0"/>
    <n v="0"/>
    <n v="23700"/>
    <n v="1"/>
    <n v="0"/>
    <s v="Armalo en combo"/>
    <s v="Personal"/>
    <s v="Combo"/>
  </r>
  <r>
    <x v="1"/>
    <x v="5"/>
    <x v="0"/>
    <s v="ADIC563"/>
    <s v="Adición Arroz Frito"/>
    <n v="3"/>
    <n v="17700"/>
    <n v="0"/>
    <n v="3846"/>
    <n v="13854"/>
    <n v="0.78271186440677964"/>
    <n v="0"/>
    <s v="Adición"/>
    <s v="Adición"/>
    <s v="Adición"/>
  </r>
  <r>
    <x v="1"/>
    <x v="5"/>
    <x v="0"/>
    <s v="ATP08"/>
    <s v="Pollo Apanado ATP (*Extra)"/>
    <n v="3"/>
    <n v="0"/>
    <n v="0"/>
    <n v="15789"/>
    <n v="-15789"/>
    <n v="0"/>
    <n v="0"/>
    <s v="Arma tu plato"/>
    <s v="Personal"/>
    <s v="Caja"/>
  </r>
  <r>
    <x v="1"/>
    <x v="5"/>
    <x v="0"/>
    <s v="ADIC566"/>
    <s v="Pollo a la naranja"/>
    <n v="3"/>
    <n v="23450"/>
    <n v="-250"/>
    <n v="0"/>
    <n v="23450"/>
    <n v="1"/>
    <n v="1.0660980810234541E-2"/>
    <s v="Adición"/>
    <s v="Adición"/>
    <s v="Adición"/>
  </r>
  <r>
    <x v="1"/>
    <x v="5"/>
    <x v="0"/>
    <s v="MON201"/>
    <s v="Chow Mein Especial trio"/>
    <n v="3"/>
    <n v="128700"/>
    <n v="0"/>
    <n v="58323"/>
    <n v="70377"/>
    <n v="0.54682983682983688"/>
    <n v="0"/>
    <s v="Platos mong"/>
    <s v="No Personal"/>
    <s v="Caja"/>
  </r>
  <r>
    <x v="1"/>
    <x v="5"/>
    <x v="0"/>
    <s v="BEB600"/>
    <s v="Fuze te limón 1.2"/>
    <n v="3"/>
    <n v="23012"/>
    <n v="-988"/>
    <n v="0"/>
    <n v="23012"/>
    <n v="1"/>
    <n v="4.2934121328002783E-2"/>
    <s v="Bebidas"/>
    <s v="Bebidas"/>
    <s v="Bebidas"/>
  </r>
  <r>
    <x v="1"/>
    <x v="5"/>
    <x v="0"/>
    <s v="PESP04"/>
    <s v="SUN KEE"/>
    <n v="3"/>
    <n v="80700"/>
    <n v="0"/>
    <n v="40914"/>
    <n v="39786"/>
    <n v="0.4930111524163569"/>
    <n v="0"/>
    <s v="Platos especiales"/>
    <s v="Personal"/>
    <s v="Platos Especiales"/>
  </r>
  <r>
    <x v="1"/>
    <x v="5"/>
    <x v="0"/>
    <s v="BEB581"/>
    <s v="Coca Cola 400 Ml Normal"/>
    <n v="3"/>
    <n v="17700"/>
    <n v="0"/>
    <n v="5085"/>
    <n v="12615"/>
    <n v="0.71271186440677969"/>
    <n v="0"/>
    <s v="Bebidas"/>
    <s v="Bebidas"/>
    <s v="Bebidas"/>
  </r>
  <r>
    <x v="1"/>
    <x v="5"/>
    <x v="0"/>
    <s v="MON310"/>
    <s v="Chop suey camarón personal"/>
    <n v="2"/>
    <n v="47800"/>
    <n v="0"/>
    <n v="17514"/>
    <n v="30286"/>
    <n v="0.6335983263598326"/>
    <n v="0"/>
    <s v="Platos mong"/>
    <s v="Personal"/>
    <s v="Caja"/>
  </r>
  <r>
    <x v="1"/>
    <x v="5"/>
    <x v="0"/>
    <s v="MON112"/>
    <s v="Chow Fan Camarones Familiar"/>
    <n v="2"/>
    <n v="103800"/>
    <n v="0"/>
    <n v="57630"/>
    <n v="46170"/>
    <n v="0.44479768786127166"/>
    <n v="0"/>
    <s v="Platos mong"/>
    <s v="No Personal"/>
    <s v="Caja"/>
  </r>
  <r>
    <x v="1"/>
    <x v="5"/>
    <x v="0"/>
    <s v="PESP05"/>
    <s v="WONG- Menú infantil"/>
    <n v="2"/>
    <n v="33800"/>
    <n v="0"/>
    <n v="14250"/>
    <n v="19550"/>
    <n v="0.57840236686390534"/>
    <n v="0"/>
    <s v="Platos especiales"/>
    <s v="Personal"/>
    <s v="Platos Especiales"/>
  </r>
  <r>
    <x v="1"/>
    <x v="5"/>
    <x v="0"/>
    <s v="BEB583"/>
    <s v="Sprite 400 Ml"/>
    <n v="2"/>
    <n v="9800"/>
    <n v="0"/>
    <n v="2660"/>
    <n v="7140"/>
    <n v="0.72857142857142854"/>
    <n v="0"/>
    <s v="Bebidas"/>
    <s v="Bebidas"/>
    <s v="Bebidas"/>
  </r>
  <r>
    <x v="1"/>
    <x v="5"/>
    <x v="0"/>
    <s v="BEB593"/>
    <s v="Coca Cola 250 Ml Zero"/>
    <n v="2"/>
    <n v="7800"/>
    <n v="0"/>
    <n v="2582"/>
    <n v="5218"/>
    <n v="0.66897435897435897"/>
    <n v="0"/>
    <s v="Bebidas"/>
    <s v="Bebidas"/>
    <s v="Bebidas"/>
  </r>
  <r>
    <x v="1"/>
    <x v="5"/>
    <x v="0"/>
    <s v="PESP03"/>
    <s v="LING"/>
    <n v="2"/>
    <n v="53800"/>
    <n v="0"/>
    <n v="27134"/>
    <n v="26666"/>
    <n v="0.49565055762081783"/>
    <n v="0"/>
    <s v="Platos especiales"/>
    <s v="Personal"/>
    <s v="Platos Especiales"/>
  </r>
  <r>
    <x v="1"/>
    <x v="5"/>
    <x v="0"/>
    <s v="BEB592"/>
    <s v="Coca Cola 400 Ml Zero"/>
    <n v="2"/>
    <n v="11800"/>
    <n v="0"/>
    <n v="2896"/>
    <n v="8904"/>
    <n v="0.75457627118644066"/>
    <n v="0"/>
    <s v="Bebidas"/>
    <s v="Bebidas"/>
    <s v="Bebidas"/>
  </r>
  <r>
    <x v="1"/>
    <x v="5"/>
    <x v="0"/>
    <s v="MON500"/>
    <s v="Arroz vegetales especial personal"/>
    <n v="2"/>
    <n v="45800"/>
    <n v="0"/>
    <n v="15028"/>
    <n v="30772"/>
    <n v="0.67187772925764189"/>
    <n v="0"/>
    <s v="Platos mong"/>
    <s v="Personal"/>
    <s v="Caja"/>
  </r>
  <r>
    <x v="1"/>
    <x v="5"/>
    <x v="0"/>
    <s v="MONFIT"/>
    <s v="Mong fit"/>
    <n v="1"/>
    <n v="11900"/>
    <n v="0"/>
    <n v="0"/>
    <n v="11900"/>
    <n v="1"/>
    <n v="0"/>
    <s v="Platos especiales"/>
    <s v="Personal"/>
    <s v="Platos Especiales"/>
  </r>
  <r>
    <x v="1"/>
    <x v="5"/>
    <x v="0"/>
    <s v="BEB555"/>
    <s v="Coca Cola 1,5 litros CB COMBOSCOM (*Extra)"/>
    <n v="1"/>
    <n v="2000"/>
    <n v="0"/>
    <n v="0"/>
    <n v="2000"/>
    <n v="1"/>
    <n v="0"/>
    <s v="Bebidas"/>
    <s v="Bebidas Cambio de bebida"/>
    <s v="Bebidas"/>
  </r>
  <r>
    <x v="1"/>
    <x v="5"/>
    <x v="0"/>
    <s v="MON111"/>
    <s v="Chow Fan Camarones trio"/>
    <n v="1"/>
    <n v="47900"/>
    <n v="0"/>
    <n v="20911"/>
    <n v="26989"/>
    <n v="0.56344467640918583"/>
    <n v="0"/>
    <s v="Platos mong"/>
    <s v="No Personal"/>
    <s v="Caja"/>
  </r>
  <r>
    <x v="1"/>
    <x v="5"/>
    <x v="0"/>
    <s v="MON312"/>
    <s v="Chop Suey Camaron Familiar"/>
    <n v="1"/>
    <n v="59900"/>
    <n v="0"/>
    <n v="33677"/>
    <n v="26223"/>
    <n v="0.43777963272120202"/>
    <n v="0"/>
    <s v="Platos mong"/>
    <s v="No Personal"/>
    <s v="Caja"/>
  </r>
  <r>
    <x v="1"/>
    <x v="5"/>
    <x v="0"/>
    <s v="MON322"/>
    <s v="Chop Suey Pollo familiar"/>
    <n v="1"/>
    <n v="50900"/>
    <n v="0"/>
    <n v="21117"/>
    <n v="29783"/>
    <n v="0.58512770137524561"/>
    <n v="0"/>
    <s v="Platos mong"/>
    <s v="No Personal"/>
    <s v="Caja"/>
  </r>
  <r>
    <x v="1"/>
    <x v="5"/>
    <x v="0"/>
    <s v="MON123"/>
    <s v="Chow Fan Pollo megafamiliar"/>
    <n v="1"/>
    <n v="63900"/>
    <n v="0"/>
    <n v="32179"/>
    <n v="31721"/>
    <n v="0.49641627543035993"/>
    <n v="0"/>
    <s v="Platos mong"/>
    <s v="No Personal"/>
    <s v="Caja"/>
  </r>
  <r>
    <x v="1"/>
    <x v="5"/>
    <x v="0"/>
    <s v="BEB585"/>
    <s v="Agua Normal 600 Ml"/>
    <n v="1"/>
    <n v="4900"/>
    <n v="0"/>
    <n v="1095"/>
    <n v="3805"/>
    <n v="0.77653061224489794"/>
    <n v="0"/>
    <s v="Bebidas"/>
    <s v="Bebidas"/>
    <s v="Bebidas"/>
  </r>
  <r>
    <x v="1"/>
    <x v="5"/>
    <x v="0"/>
    <s v="BEB588"/>
    <s v="Fusetea Limon"/>
    <n v="1"/>
    <n v="4900"/>
    <n v="0"/>
    <n v="1560"/>
    <n v="3340"/>
    <n v="0.68163265306122445"/>
    <n v="0"/>
    <s v="Bebidas"/>
    <s v="Bebidas"/>
    <s v="Bebidas"/>
  </r>
  <r>
    <x v="1"/>
    <x v="5"/>
    <x v="0"/>
    <s v="ADIC567"/>
    <s v="cerdo agridulce"/>
    <n v="1"/>
    <n v="7900"/>
    <n v="0"/>
    <n v="0"/>
    <n v="7900"/>
    <n v="1"/>
    <n v="0"/>
    <s v="Adición"/>
    <s v="Adición"/>
    <s v="Adición"/>
  </r>
  <r>
    <x v="1"/>
    <x v="5"/>
    <x v="0"/>
    <s v="ADIC561"/>
    <s v="Adición Vegetales"/>
    <n v="1"/>
    <n v="6900"/>
    <n v="0"/>
    <n v="689"/>
    <n v="6211"/>
    <n v="0.90014492753623188"/>
    <n v="0"/>
    <s v="Adición"/>
    <s v="Adición"/>
    <s v="Adición"/>
  </r>
  <r>
    <x v="1"/>
    <x v="5"/>
    <x v="0"/>
    <s v="CAM03"/>
    <s v="Cambio Papas a la francesa 150 grs (*Extra)"/>
    <n v="1"/>
    <n v="500"/>
    <n v="0"/>
    <n v="1569"/>
    <n v="-1069"/>
    <n v="-2.1379999999999999"/>
    <n v="0"/>
    <s v="Adición"/>
    <s v="Otro"/>
    <s v="Otro"/>
  </r>
  <r>
    <x v="1"/>
    <x v="5"/>
    <x v="0"/>
    <s v="ADIC562"/>
    <s v="Adición Pasta"/>
    <n v="1"/>
    <n v="4900"/>
    <n v="0"/>
    <n v="3010"/>
    <n v="1890"/>
    <n v="0.38571428571428573"/>
    <n v="0"/>
    <s v="Adición"/>
    <s v="Adición"/>
    <s v="Adición"/>
  </r>
  <r>
    <x v="1"/>
    <x v="5"/>
    <x v="0"/>
    <s v="ADIC565"/>
    <s v="Adición Camaron"/>
    <n v="1"/>
    <n v="6900"/>
    <n v="0"/>
    <n v="3108"/>
    <n v="3792"/>
    <n v="0.54956521739130437"/>
    <n v="0"/>
    <s v="Adición"/>
    <s v="Adición"/>
    <s v="Adición"/>
  </r>
  <r>
    <x v="1"/>
    <x v="5"/>
    <x v="0"/>
    <s v="MON321"/>
    <s v="Chop Suey Pollo trio"/>
    <n v="1"/>
    <n v="30609"/>
    <n v="-4291"/>
    <n v="11217"/>
    <n v="19392"/>
    <n v="0.6335391551504459"/>
    <n v="0.14018752654448038"/>
    <s v="Platos mong"/>
    <s v="No Personal"/>
    <s v="Caja"/>
  </r>
  <r>
    <x v="1"/>
    <x v="5"/>
    <x v="0"/>
    <s v="BEB599"/>
    <s v="Agua 280 ml"/>
    <n v="1"/>
    <n v="3500"/>
    <n v="0"/>
    <n v="868"/>
    <n v="2632"/>
    <n v="0.752"/>
    <n v="0"/>
    <s v="Bebidas"/>
    <s v="Bebidas"/>
    <s v="Bebidas"/>
  </r>
  <r>
    <x v="1"/>
    <x v="5"/>
    <x v="0"/>
    <s v="BEB595"/>
    <s v="Agua Manzana 600 Ml"/>
    <n v="1"/>
    <n v="4900"/>
    <n v="0"/>
    <n v="1373"/>
    <n v="3527"/>
    <n v="0.71979591836734691"/>
    <n v="0"/>
    <s v="Bebidas"/>
    <s v="Bebidas"/>
    <s v="Bebidas"/>
  </r>
  <r>
    <x v="1"/>
    <x v="5"/>
    <x v="0"/>
    <s v="ENT01"/>
    <s v="Deditos de Pollo"/>
    <n v="1"/>
    <n v="15900"/>
    <n v="0"/>
    <n v="10028"/>
    <n v="5872"/>
    <n v="0.36930817610062894"/>
    <n v="0"/>
    <s v="Entradas"/>
    <s v="Otro"/>
    <s v="Otro"/>
  </r>
  <r>
    <x v="1"/>
    <x v="5"/>
    <x v="0"/>
    <s v="MON505"/>
    <s v="Arroz vegetales pollo personal"/>
    <n v="1"/>
    <n v="19900"/>
    <n v="0"/>
    <n v="6138"/>
    <n v="13762"/>
    <n v="0.69155778894472364"/>
    <n v="0"/>
    <s v="Platos mong"/>
    <s v="Personal"/>
    <s v="Caja"/>
  </r>
  <r>
    <x v="1"/>
    <x v="6"/>
    <x v="1"/>
    <s v="COMP01"/>
    <s v="COMBO 1- Valenciano personal"/>
    <n v="234"/>
    <n v="5589600"/>
    <n v="-3000"/>
    <n v="2252718"/>
    <n v="3336882"/>
    <n v="0.59698046371833402"/>
    <n v="5.3671103477887503E-4"/>
    <s v="Combos personales"/>
    <s v="Personal"/>
    <s v="Combo"/>
  </r>
  <r>
    <x v="1"/>
    <x v="6"/>
    <x v="1"/>
    <s v="MON450"/>
    <s v="Arma tu plato"/>
    <n v="200"/>
    <n v="4952693"/>
    <n v="-27307"/>
    <n v="0"/>
    <n v="4952693"/>
    <n v="1"/>
    <n v="5.5135660538620096E-3"/>
    <s v="Arma tu plato"/>
    <s v="Personal"/>
    <s v="Caja"/>
  </r>
  <r>
    <x v="1"/>
    <x v="6"/>
    <x v="1"/>
    <s v="ATP01"/>
    <s v="Pollo a la naranja (*Extra)"/>
    <n v="125"/>
    <n v="0"/>
    <n v="0"/>
    <n v="686375"/>
    <n v="-686375"/>
    <n v="0"/>
    <n v="0"/>
    <s v="Arma tu plato"/>
    <s v="Personal"/>
    <s v="Caja"/>
  </r>
  <r>
    <x v="1"/>
    <x v="6"/>
    <x v="1"/>
    <s v="COMP02"/>
    <s v="COMBO 2 - Chow fan especial personal"/>
    <n v="81"/>
    <n v="2093900"/>
    <n v="-4000"/>
    <n v="769581"/>
    <n v="1324319"/>
    <n v="0.63246525622044991"/>
    <n v="1.9103109030994794E-3"/>
    <s v="Combos personales"/>
    <s v="Personal"/>
    <s v="Combo"/>
  </r>
  <r>
    <x v="1"/>
    <x v="6"/>
    <x v="1"/>
    <s v="ATP10"/>
    <s v="Cerdo agridulce (*Extra)"/>
    <n v="80"/>
    <n v="0"/>
    <n v="0"/>
    <n v="437360"/>
    <n v="-437360"/>
    <n v="0"/>
    <n v="0"/>
    <s v="Arma tu plato"/>
    <s v="Personal"/>
    <s v="Caja"/>
  </r>
  <r>
    <x v="1"/>
    <x v="6"/>
    <x v="1"/>
    <s v="ENT04"/>
    <s v="LUMPIAS X 2"/>
    <n v="74"/>
    <n v="656758"/>
    <n v="-1842"/>
    <n v="232286"/>
    <n v="424472"/>
    <n v="0.64631416747112336"/>
    <n v="2.8046860487424591E-3"/>
    <s v="Entradas"/>
    <s v="Otro"/>
    <s v="Otro"/>
  </r>
  <r>
    <x v="1"/>
    <x v="6"/>
    <x v="1"/>
    <s v="ATP09"/>
    <s v="Res brócoli (*Extra)"/>
    <n v="71"/>
    <n v="0"/>
    <n v="0"/>
    <n v="235862"/>
    <n v="-235862"/>
    <n v="0"/>
    <n v="0"/>
    <s v="Arma tu plato"/>
    <s v="Personal"/>
    <s v="Caja"/>
  </r>
  <r>
    <x v="1"/>
    <x v="6"/>
    <x v="1"/>
    <s v="ATP03"/>
    <s v="Arroz vegetales (*Extra)"/>
    <n v="68"/>
    <n v="135807"/>
    <n v="-193"/>
    <n v="138380"/>
    <n v="-2573"/>
    <n v="-1.894600425603982E-2"/>
    <n v="1.4211344039703404E-3"/>
    <s v="Arma tu plato"/>
    <s v="Personal"/>
    <s v="Caja"/>
  </r>
  <r>
    <x v="1"/>
    <x v="6"/>
    <x v="1"/>
    <s v="ATP02"/>
    <s v="Camarones apanados 7 (*Extra)"/>
    <n v="65"/>
    <n v="128000"/>
    <n v="-2000"/>
    <n v="202020"/>
    <n v="-74020"/>
    <n v="-0.57828124999999997"/>
    <n v="1.5625E-2"/>
    <s v="Arma tu plato"/>
    <s v="Personal"/>
    <s v="Caja"/>
  </r>
  <r>
    <x v="1"/>
    <x v="6"/>
    <x v="1"/>
    <s v="COMP03"/>
    <s v="COMBO 3 - Chop suey especial personal"/>
    <n v="60"/>
    <n v="1734000"/>
    <n v="0"/>
    <n v="574200"/>
    <n v="1159800"/>
    <n v="0.66885813148788931"/>
    <n v="0"/>
    <s v="Combos personales"/>
    <s v="Personal"/>
    <s v="Combo"/>
  </r>
  <r>
    <x v="1"/>
    <x v="6"/>
    <x v="1"/>
    <s v="BEB581"/>
    <s v="Coca Cola 400 Ml Normal"/>
    <n v="54"/>
    <n v="318600"/>
    <n v="0"/>
    <n v="91530"/>
    <n v="227070"/>
    <n v="0.71271186440677969"/>
    <n v="0"/>
    <s v="Bebidas"/>
    <s v="Bebidas"/>
    <s v="Bebidas"/>
  </r>
  <r>
    <x v="1"/>
    <x v="6"/>
    <x v="1"/>
    <s v="BEB01"/>
    <s v="Coca Cola 250 Ml Normal CB (*Extra)"/>
    <n v="51"/>
    <n v="50904"/>
    <n v="-96"/>
    <n v="99195"/>
    <n v="-48291"/>
    <n v="-0.94866808109382372"/>
    <n v="1.8859028760018859E-3"/>
    <s v="Bebidas"/>
    <s v="Bebidas Cambio de bebida"/>
    <s v="Bebidas"/>
  </r>
  <r>
    <x v="1"/>
    <x v="6"/>
    <x v="1"/>
    <s v="COMP05"/>
    <s v="COMBO 5 - Chow Mein especial personal"/>
    <n v="48"/>
    <n v="1387200"/>
    <n v="0"/>
    <n v="540144"/>
    <n v="847056"/>
    <n v="0.61062283737024226"/>
    <n v="0"/>
    <s v="Combos personales"/>
    <s v="Personal"/>
    <s v="Combo"/>
  </r>
  <r>
    <x v="1"/>
    <x v="6"/>
    <x v="1"/>
    <s v="ATP04"/>
    <s v="Chop suey (*Extra)"/>
    <n v="48"/>
    <n v="0"/>
    <n v="0"/>
    <n v="126432"/>
    <n v="-126432"/>
    <n v="0"/>
    <n v="0"/>
    <s v="Arma tu plato"/>
    <s v="Personal"/>
    <s v="Caja"/>
  </r>
  <r>
    <x v="1"/>
    <x v="6"/>
    <x v="1"/>
    <s v="BEB620"/>
    <s v="Agua 280 ml CB (*Extra)"/>
    <n v="47"/>
    <n v="0"/>
    <n v="0"/>
    <n v="40796"/>
    <n v="-40796"/>
    <n v="0"/>
    <n v="0"/>
    <s v="Bebidas"/>
    <s v="Bebidas Cambio de bebida"/>
    <s v="Bebidas"/>
  </r>
  <r>
    <x v="1"/>
    <x v="6"/>
    <x v="1"/>
    <s v="BEB585"/>
    <s v="Agua Normal 600 Ml"/>
    <n v="46"/>
    <n v="225400"/>
    <n v="0"/>
    <n v="50370"/>
    <n v="175030"/>
    <n v="0.77653061224489794"/>
    <n v="0"/>
    <s v="Bebidas"/>
    <s v="Bebidas"/>
    <s v="Bebidas"/>
  </r>
  <r>
    <x v="1"/>
    <x v="6"/>
    <x v="1"/>
    <s v="ATP06"/>
    <s v="Arroz Frito ATP (*Extra)"/>
    <n v="42"/>
    <n v="0"/>
    <n v="0"/>
    <n v="53844"/>
    <n v="-53844"/>
    <n v="0"/>
    <n v="0"/>
    <s v="Arma tu plato"/>
    <s v="Personal"/>
    <s v="Caja"/>
  </r>
  <r>
    <x v="1"/>
    <x v="6"/>
    <x v="1"/>
    <s v="ATP05"/>
    <s v="Chow mein (*Extra)"/>
    <n v="42"/>
    <n v="0"/>
    <n v="0"/>
    <n v="130074"/>
    <n v="-130074"/>
    <n v="0"/>
    <n v="0"/>
    <s v="Arma tu plato"/>
    <s v="Personal"/>
    <s v="Caja"/>
  </r>
  <r>
    <x v="1"/>
    <x v="6"/>
    <x v="1"/>
    <s v="PESP04"/>
    <s v="SUN KEE"/>
    <n v="38"/>
    <n v="1022200"/>
    <n v="0"/>
    <n v="518244"/>
    <n v="503956"/>
    <n v="0.4930111524163569"/>
    <n v="0"/>
    <s v="Platos especiales"/>
    <s v="Personal"/>
    <s v="Platos Especiales"/>
  </r>
  <r>
    <x v="1"/>
    <x v="6"/>
    <x v="1"/>
    <s v="ADIC563"/>
    <s v="Adición Arroz Frito"/>
    <n v="31"/>
    <n v="163013"/>
    <n v="-19887"/>
    <n v="39742"/>
    <n v="123271"/>
    <n v="0.75620349297295308"/>
    <n v="0.12199640519467772"/>
    <s v="Adición"/>
    <s v="Adición"/>
    <s v="Adición"/>
  </r>
  <r>
    <x v="1"/>
    <x v="6"/>
    <x v="1"/>
    <s v="ATP08"/>
    <s v="Pollo Apanado ATP (*Extra)"/>
    <n v="29"/>
    <n v="0"/>
    <n v="0"/>
    <n v="152627"/>
    <n v="-152627"/>
    <n v="0"/>
    <n v="0"/>
    <s v="Arma tu plato"/>
    <s v="Personal"/>
    <s v="Caja"/>
  </r>
  <r>
    <x v="1"/>
    <x v="6"/>
    <x v="1"/>
    <s v="ATP07"/>
    <s v="Pollo presa ATP (*Extra)"/>
    <n v="25"/>
    <n v="0"/>
    <n v="0"/>
    <n v="71225"/>
    <n v="-71225"/>
    <n v="0"/>
    <n v="0"/>
    <s v="Arma tu plato"/>
    <s v="Personal"/>
    <s v="Caja"/>
  </r>
  <r>
    <x v="1"/>
    <x v="6"/>
    <x v="1"/>
    <s v="BEB592"/>
    <s v="Coca Cola 400 Ml Zero"/>
    <n v="21"/>
    <n v="113781"/>
    <n v="-10119"/>
    <n v="30408"/>
    <n v="83373"/>
    <n v="0.7327497561104227"/>
    <n v="8.8934004798692221E-2"/>
    <s v="Bebidas"/>
    <s v="Bebidas"/>
    <s v="Bebidas"/>
  </r>
  <r>
    <x v="1"/>
    <x v="6"/>
    <x v="1"/>
    <s v="PESP02"/>
    <s v="MONG"/>
    <n v="21"/>
    <n v="522900"/>
    <n v="0"/>
    <n v="267078"/>
    <n v="255822"/>
    <n v="0.48923694779116467"/>
    <n v="0"/>
    <s v="Platos especiales"/>
    <s v="Personal"/>
    <s v="Platos Especiales"/>
  </r>
  <r>
    <x v="1"/>
    <x v="6"/>
    <x v="1"/>
    <s v="BEB593"/>
    <s v="Coca Cola 250 Ml Zero"/>
    <n v="21"/>
    <n v="81900"/>
    <n v="0"/>
    <n v="27111"/>
    <n v="54789"/>
    <n v="0.66897435897435897"/>
    <n v="0"/>
    <s v="Bebidas"/>
    <s v="Bebidas"/>
    <s v="Bebidas"/>
  </r>
  <r>
    <x v="1"/>
    <x v="6"/>
    <x v="1"/>
    <s v="MONE701"/>
    <s v="Mong Express Chow fan"/>
    <n v="21"/>
    <n v="396096"/>
    <n v="-21804"/>
    <n v="0"/>
    <n v="396096"/>
    <n v="1"/>
    <n v="5.5047261269995151E-2"/>
    <s v="Mong Express"/>
    <s v="Personal"/>
    <s v="Caja"/>
  </r>
  <r>
    <x v="1"/>
    <x v="6"/>
    <x v="1"/>
    <s v="COMP10"/>
    <s v="COMBO - Lumpia y Coca Cola 250 ml"/>
    <n v="20"/>
    <n v="158000"/>
    <n v="0"/>
    <n v="0"/>
    <n v="158000"/>
    <n v="1"/>
    <n v="0"/>
    <s v="Armalo en combo"/>
    <s v="Personal"/>
    <s v="Combo"/>
  </r>
  <r>
    <x v="1"/>
    <x v="6"/>
    <x v="1"/>
    <s v="BEB580"/>
    <s v="Coca Cola 250 Ml Normal"/>
    <n v="20"/>
    <n v="72422"/>
    <n v="-5578"/>
    <n v="23260"/>
    <n v="49162"/>
    <n v="0.67882687581121759"/>
    <n v="7.7020794786114719E-2"/>
    <s v="Bebidas"/>
    <s v="Bebidas"/>
    <s v="Bebidas"/>
  </r>
  <r>
    <x v="1"/>
    <x v="6"/>
    <x v="1"/>
    <s v="MON100"/>
    <s v="Chow Fan Especial Personal"/>
    <n v="19"/>
    <n v="354976"/>
    <n v="-23124"/>
    <n v="128592"/>
    <n v="226384"/>
    <n v="0.6377445235734247"/>
    <n v="6.5142432164428013E-2"/>
    <s v="Platos mong"/>
    <s v="Personal"/>
    <s v="Caja"/>
  </r>
  <r>
    <x v="1"/>
    <x v="6"/>
    <x v="1"/>
    <s v="BEB595"/>
    <s v="Agua Manzana 600 Ml"/>
    <n v="18"/>
    <n v="88200"/>
    <n v="0"/>
    <n v="24714"/>
    <n v="63486"/>
    <n v="0.71979591836734691"/>
    <n v="0"/>
    <s v="Bebidas"/>
    <s v="Bebidas"/>
    <s v="Bebidas"/>
  </r>
  <r>
    <x v="1"/>
    <x v="6"/>
    <x v="1"/>
    <s v="PESP05"/>
    <s v="WONG- Menú infantil"/>
    <n v="18"/>
    <n v="287300"/>
    <n v="-16900"/>
    <n v="128250"/>
    <n v="159050"/>
    <n v="0.55360250609119388"/>
    <n v="5.8823529411764705E-2"/>
    <s v="Platos especiales"/>
    <s v="Personal"/>
    <s v="Platos Especiales"/>
  </r>
  <r>
    <x v="1"/>
    <x v="6"/>
    <x v="1"/>
    <s v="MON120"/>
    <s v="Chow Fan Pollo Personal"/>
    <n v="17"/>
    <n v="267724"/>
    <n v="-2576"/>
    <n v="103088"/>
    <n v="164636"/>
    <n v="0.61494673619100271"/>
    <n v="9.6218493672588189E-3"/>
    <s v="Platos mong"/>
    <s v="Personal"/>
    <s v="Caja"/>
  </r>
  <r>
    <x v="1"/>
    <x v="6"/>
    <x v="1"/>
    <s v="BEB586"/>
    <s v="Agua Gas 600 Ml"/>
    <n v="17"/>
    <n v="83300"/>
    <n v="0"/>
    <n v="21896"/>
    <n v="61404"/>
    <n v="0.7371428571428571"/>
    <n v="0"/>
    <s v="Bebidas"/>
    <s v="Bebidas"/>
    <s v="Bebidas"/>
  </r>
  <r>
    <x v="1"/>
    <x v="6"/>
    <x v="1"/>
    <s v="MONE700"/>
    <s v="Mong Express Chop suey pollo"/>
    <n v="17"/>
    <n v="334300"/>
    <n v="-4000"/>
    <n v="139111"/>
    <n v="195189"/>
    <n v="0.58387376607837271"/>
    <n v="1.1965300628178284E-2"/>
    <s v="Mong Express"/>
    <s v="Personal"/>
    <s v="Caja"/>
  </r>
  <r>
    <x v="1"/>
    <x v="6"/>
    <x v="1"/>
    <s v="PESP03"/>
    <s v="LING"/>
    <n v="17"/>
    <n v="457300"/>
    <n v="0"/>
    <n v="230639"/>
    <n v="226661"/>
    <n v="0.49565055762081783"/>
    <n v="0"/>
    <s v="Platos especiales"/>
    <s v="Personal"/>
    <s v="Platos Especiales"/>
  </r>
  <r>
    <x v="1"/>
    <x v="6"/>
    <x v="1"/>
    <s v="ENT02"/>
    <s v="LUMPIA X 1"/>
    <n v="17"/>
    <n v="84587"/>
    <n v="-413"/>
    <n v="26673"/>
    <n v="57914"/>
    <n v="0.68466785676285957"/>
    <n v="4.8825469634813864E-3"/>
    <s v="Entradas"/>
    <s v="Otro"/>
    <s v="Otro"/>
  </r>
  <r>
    <x v="1"/>
    <x v="6"/>
    <x v="1"/>
    <s v="MON320"/>
    <s v="Chop Suey Pollo Personal"/>
    <n v="15"/>
    <n v="283500"/>
    <n v="0"/>
    <n v="81915"/>
    <n v="201585"/>
    <n v="0.71105820105820106"/>
    <n v="0"/>
    <s v="Platos mong"/>
    <s v="Personal"/>
    <s v="Caja"/>
  </r>
  <r>
    <x v="1"/>
    <x v="6"/>
    <x v="1"/>
    <s v="BEB596"/>
    <s v="Fusetea mango"/>
    <n v="15"/>
    <n v="73247"/>
    <n v="-253"/>
    <n v="28440"/>
    <n v="44807"/>
    <n v="0.61172471227490544"/>
    <n v="3.4540663781451801E-3"/>
    <s v="Bebidas"/>
    <s v="Bebidas"/>
    <s v="Bebidas"/>
  </r>
  <r>
    <x v="1"/>
    <x v="6"/>
    <x v="1"/>
    <s v="ENT03"/>
    <s v="CAMARONES APANADOS"/>
    <n v="15"/>
    <n v="253500"/>
    <n v="0"/>
    <n v="93225"/>
    <n v="160275"/>
    <n v="0.63224852071005921"/>
    <n v="0"/>
    <s v="Entradas"/>
    <s v="Otro"/>
    <s v="Otro"/>
  </r>
  <r>
    <x v="1"/>
    <x v="6"/>
    <x v="1"/>
    <s v="BEB599"/>
    <s v="Agua 280 ml"/>
    <n v="15"/>
    <n v="49997"/>
    <n v="-2503"/>
    <n v="13020"/>
    <n v="36977"/>
    <n v="0.73958437506250374"/>
    <n v="5.0063003780226815E-2"/>
    <s v="Bebidas"/>
    <s v="Bebidas"/>
    <s v="Bebidas"/>
  </r>
  <r>
    <x v="1"/>
    <x v="6"/>
    <x v="1"/>
    <s v="BEB588"/>
    <s v="Fusetea Limon"/>
    <n v="14"/>
    <n v="68600"/>
    <n v="0"/>
    <n v="21840"/>
    <n v="46760"/>
    <n v="0.68163265306122445"/>
    <n v="0"/>
    <s v="Bebidas"/>
    <s v="Bebidas"/>
    <s v="Bebidas"/>
  </r>
  <r>
    <x v="1"/>
    <x v="6"/>
    <x v="1"/>
    <s v="COMC02"/>
    <s v="COMBO AMIGOS"/>
    <n v="13"/>
    <n v="778700"/>
    <n v="0"/>
    <n v="307294"/>
    <n v="471406"/>
    <n v="0.60537562604340567"/>
    <n v="0"/>
    <s v="Combos para compartir"/>
    <s v="No Personal"/>
    <s v="Combo"/>
  </r>
  <r>
    <x v="1"/>
    <x v="6"/>
    <x v="1"/>
    <s v="BEB587"/>
    <s v="Agua Limón 600 Ml"/>
    <n v="12"/>
    <n v="56836"/>
    <n v="-1964"/>
    <n v="16476"/>
    <n v="40360"/>
    <n v="0.71011330846646492"/>
    <n v="3.4555563375325497E-2"/>
    <s v="Bebidas"/>
    <s v="Bebidas"/>
    <s v="Bebidas"/>
  </r>
  <r>
    <x v="1"/>
    <x v="6"/>
    <x v="1"/>
    <s v="PESP01"/>
    <s v="MING"/>
    <n v="12"/>
    <n v="346800"/>
    <n v="0"/>
    <n v="91260"/>
    <n v="255540"/>
    <n v="0.73685121107266438"/>
    <n v="0"/>
    <s v="Platos especiales"/>
    <s v="Personal"/>
    <s v="Platos Especiales"/>
  </r>
  <r>
    <x v="1"/>
    <x v="6"/>
    <x v="1"/>
    <s v="BEB583"/>
    <s v="Sprite 400 Ml"/>
    <n v="11"/>
    <n v="53900"/>
    <n v="0"/>
    <n v="14630"/>
    <n v="39270"/>
    <n v="0.72857142857142854"/>
    <n v="0"/>
    <s v="Bebidas"/>
    <s v="Bebidas"/>
    <s v="Bebidas"/>
  </r>
  <r>
    <x v="1"/>
    <x v="6"/>
    <x v="1"/>
    <s v="MON500"/>
    <s v="Arroz vegetales especial personal"/>
    <n v="11"/>
    <n v="251900"/>
    <n v="0"/>
    <n v="82654"/>
    <n v="169246"/>
    <n v="0.67187772925764189"/>
    <n v="0"/>
    <s v="Platos mong"/>
    <s v="Personal"/>
    <s v="Caja"/>
  </r>
  <r>
    <x v="1"/>
    <x v="6"/>
    <x v="1"/>
    <s v="BEB589"/>
    <s v="Fusetea Durazno"/>
    <n v="11"/>
    <n v="53900"/>
    <n v="0"/>
    <n v="17160"/>
    <n v="36740"/>
    <n v="0.68163265306122445"/>
    <n v="0"/>
    <s v="Bebidas"/>
    <s v="Bebidas"/>
    <s v="Bebidas"/>
  </r>
  <r>
    <x v="1"/>
    <x v="6"/>
    <x v="1"/>
    <s v="BEB601"/>
    <s v="Coca Cola 400 Ml Normal CB (*Extra)"/>
    <n v="11"/>
    <n v="25300"/>
    <n v="0"/>
    <n v="24585"/>
    <n v="715"/>
    <n v="2.8260869565217391E-2"/>
    <n v="0"/>
    <s v="Bebidas"/>
    <s v="Bebidas Cambio de bebida"/>
    <s v="Bebidas"/>
  </r>
  <r>
    <x v="1"/>
    <x v="6"/>
    <x v="1"/>
    <s v="MON300"/>
    <s v="Chop suey especial personal"/>
    <n v="10"/>
    <n v="209000"/>
    <n v="0"/>
    <n v="68380"/>
    <n v="140620"/>
    <n v="0.67282296650717699"/>
    <n v="0"/>
    <s v="Platos mong"/>
    <s v="Personal"/>
    <s v="Caja"/>
  </r>
  <r>
    <x v="1"/>
    <x v="6"/>
    <x v="1"/>
    <s v="ADIC564"/>
    <s v="Adición Presa de pollo"/>
    <n v="9"/>
    <n v="62100"/>
    <n v="0"/>
    <n v="22176"/>
    <n v="39924"/>
    <n v="0.64289855072463764"/>
    <n v="0"/>
    <s v="Adición"/>
    <s v="Adición"/>
    <s v="Adición"/>
  </r>
  <r>
    <x v="1"/>
    <x v="6"/>
    <x v="1"/>
    <s v="BEB594"/>
    <s v="Premio 400 Ml"/>
    <n v="9"/>
    <n v="44100"/>
    <n v="0"/>
    <n v="11970"/>
    <n v="32130"/>
    <n v="0.72857142857142854"/>
    <n v="0"/>
    <s v="Bebidas"/>
    <s v="Bebidas"/>
    <s v="Bebidas"/>
  </r>
  <r>
    <x v="1"/>
    <x v="6"/>
    <x v="1"/>
    <s v="COMC07"/>
    <s v="COMBO ANTOJO"/>
    <n v="9"/>
    <n v="188100"/>
    <n v="0"/>
    <n v="71757"/>
    <n v="116343"/>
    <n v="0.61851674641148324"/>
    <n v="0"/>
    <s v="Combos para compartir"/>
    <s v="No Personal"/>
    <s v="Combo"/>
  </r>
  <r>
    <x v="1"/>
    <x v="6"/>
    <x v="1"/>
    <s v="MON101"/>
    <s v="Chow fan especial trio"/>
    <n v="9"/>
    <n v="422100"/>
    <n v="0"/>
    <n v="180477"/>
    <n v="241623"/>
    <n v="0.57243070362473347"/>
    <n v="0"/>
    <s v="Platos mong"/>
    <s v="No Personal"/>
    <s v="Platos Especiales"/>
  </r>
  <r>
    <x v="1"/>
    <x v="6"/>
    <x v="1"/>
    <s v="MON130"/>
    <s v="Chow Fan Valenciano Personal"/>
    <n v="8"/>
    <n v="172300"/>
    <n v="-2900"/>
    <n v="67712"/>
    <n v="104588"/>
    <n v="0.60701102727800349"/>
    <n v="1.6831108531630876E-2"/>
    <s v="Platos mong"/>
    <s v="Personal"/>
    <s v="Caja"/>
  </r>
  <r>
    <x v="1"/>
    <x v="6"/>
    <x v="1"/>
    <s v="COMP04"/>
    <s v="COMBO 4 - arroz vegetales especial"/>
    <n v="8"/>
    <n v="231200"/>
    <n v="0"/>
    <n v="81976"/>
    <n v="149224"/>
    <n v="0.64543252595155709"/>
    <n v="0"/>
    <s v="Combos personales"/>
    <s v="Personal"/>
    <s v="Combo"/>
  </r>
  <r>
    <x v="1"/>
    <x v="6"/>
    <x v="1"/>
    <s v="COMP08"/>
    <s v="COMBO - Papas 120 grs y Coca Cola 250 ml"/>
    <n v="8"/>
    <n v="63200"/>
    <n v="0"/>
    <n v="25696"/>
    <n v="37504"/>
    <n v="0.59341772151898731"/>
    <n v="0"/>
    <s v="Armalo en combo"/>
    <s v="Personal"/>
    <s v="Combo"/>
  </r>
  <r>
    <x v="1"/>
    <x v="6"/>
    <x v="1"/>
    <s v="MON131"/>
    <s v="Chow Fan Valenciano trio"/>
    <n v="8"/>
    <n v="469200"/>
    <n v="-2000"/>
    <n v="150544"/>
    <n v="318656"/>
    <n v="0.67914748508098888"/>
    <n v="4.2625745950554137E-3"/>
    <s v="Platos mong"/>
    <s v="No Personal"/>
    <s v="Caja"/>
  </r>
  <r>
    <x v="1"/>
    <x v="6"/>
    <x v="1"/>
    <s v="BEB598"/>
    <s v="Coca Cola 1,5 litros"/>
    <n v="7"/>
    <n v="61364"/>
    <n v="-7936"/>
    <n v="31507"/>
    <n v="29857"/>
    <n v="0.48655563522586531"/>
    <n v="0.12932664102731242"/>
    <s v="Bebidas"/>
    <s v="Bebidas"/>
    <s v="Bebidas"/>
  </r>
  <r>
    <x v="1"/>
    <x v="6"/>
    <x v="1"/>
    <s v="BEB584"/>
    <s v="Quatro 400 Ml"/>
    <n v="7"/>
    <n v="34300"/>
    <n v="0"/>
    <n v="9310"/>
    <n v="24990"/>
    <n v="0.72857142857142854"/>
    <n v="0"/>
    <s v="Bebidas"/>
    <s v="Bebidas"/>
    <s v="Bebidas"/>
  </r>
  <r>
    <x v="1"/>
    <x v="6"/>
    <x v="1"/>
    <s v="ADIC560"/>
    <s v="Adición Papa frita"/>
    <n v="7"/>
    <n v="40095"/>
    <n v="-1205"/>
    <n v="28686"/>
    <n v="11409"/>
    <n v="0.28454919566030679"/>
    <n v="3.005362264621524E-2"/>
    <s v="Adición"/>
    <s v="Adición"/>
    <s v="Adición"/>
  </r>
  <r>
    <x v="1"/>
    <x v="6"/>
    <x v="1"/>
    <s v="BEB590"/>
    <s v="Jugo Del Valle Mandarina"/>
    <n v="7"/>
    <n v="34300"/>
    <n v="0"/>
    <n v="10920"/>
    <n v="23380"/>
    <n v="0.68163265306122445"/>
    <n v="0"/>
    <s v="Bebidas"/>
    <s v="Bebidas"/>
    <s v="Bebidas"/>
  </r>
  <r>
    <x v="1"/>
    <x v="6"/>
    <x v="1"/>
    <s v="MON200"/>
    <s v="Chow Mein Especial Personal"/>
    <n v="6"/>
    <n v="123400"/>
    <n v="-2000"/>
    <n v="51126"/>
    <n v="72274"/>
    <n v="0.58568881685575369"/>
    <n v="1.6207455429497569E-2"/>
    <s v="Platos mong"/>
    <s v="Personal"/>
    <s v="Caja"/>
  </r>
  <r>
    <x v="1"/>
    <x v="6"/>
    <x v="1"/>
    <s v="MON102"/>
    <s v="Chow Fan Especial familiar"/>
    <n v="6"/>
    <n v="401400"/>
    <n v="0"/>
    <n v="194106"/>
    <n v="207294"/>
    <n v="0.51642750373692081"/>
    <n v="0"/>
    <s v="Platos mong"/>
    <s v="No Personal"/>
    <s v="Caja"/>
  </r>
  <r>
    <x v="1"/>
    <x v="6"/>
    <x v="1"/>
    <s v="BEB591"/>
    <s v="Jugo del valle naranja"/>
    <n v="6"/>
    <n v="29400"/>
    <n v="0"/>
    <n v="9360"/>
    <n v="20040"/>
    <n v="0.68163265306122445"/>
    <n v="0"/>
    <s v="Bebidas"/>
    <s v="Bebidas"/>
    <s v="Bebidas"/>
  </r>
  <r>
    <x v="1"/>
    <x v="6"/>
    <x v="1"/>
    <s v="MON110"/>
    <s v="Chow Fan Camarones Personal"/>
    <n v="6"/>
    <n v="137400"/>
    <n v="0"/>
    <n v="56424"/>
    <n v="80976"/>
    <n v="0.58934497816593889"/>
    <n v="0"/>
    <s v="Platos mong"/>
    <s v="Personal"/>
    <s v="Caja"/>
  </r>
  <r>
    <x v="1"/>
    <x v="6"/>
    <x v="1"/>
    <s v="BEB604"/>
    <s v="Sprite 400 Ml CB (*Extra)"/>
    <n v="6"/>
    <n v="9600"/>
    <n v="0"/>
    <n v="9096"/>
    <n v="504"/>
    <n v="5.2499999999999998E-2"/>
    <n v="0"/>
    <s v="Bebidas"/>
    <s v="Bebidas Cambio de bebida"/>
    <s v="Bebidas"/>
  </r>
  <r>
    <x v="1"/>
    <x v="6"/>
    <x v="1"/>
    <s v="BEB597"/>
    <s v="Fusetea manzana"/>
    <n v="6"/>
    <n v="29400"/>
    <n v="0"/>
    <n v="9360"/>
    <n v="20040"/>
    <n v="0.68163265306122445"/>
    <n v="0"/>
    <s v="Bebidas"/>
    <s v="Bebidas"/>
    <s v="Bebidas"/>
  </r>
  <r>
    <x v="1"/>
    <x v="6"/>
    <x v="1"/>
    <s v="MON121"/>
    <s v="Chow Fan Pollo trio"/>
    <n v="5"/>
    <n v="195600"/>
    <n v="-3900"/>
    <n v="71155"/>
    <n v="124445"/>
    <n v="0.6362218813905931"/>
    <n v="1.9938650306748466E-2"/>
    <s v="Platos mong"/>
    <s v="No Personal"/>
    <s v="Caja"/>
  </r>
  <r>
    <x v="1"/>
    <x v="6"/>
    <x v="1"/>
    <s v="COMC06"/>
    <s v="COMBO FAMILIAR"/>
    <n v="5"/>
    <n v="484500"/>
    <n v="0"/>
    <n v="233900"/>
    <n v="250600"/>
    <n v="0.51723426212590295"/>
    <n v="0"/>
    <s v="Combos para compartir"/>
    <s v="No Personal"/>
    <s v="Combo"/>
  </r>
  <r>
    <x v="1"/>
    <x v="6"/>
    <x v="1"/>
    <s v="BEB600"/>
    <s v="Fuze te limón 1.2"/>
    <n v="5"/>
    <n v="40000"/>
    <n v="0"/>
    <n v="0"/>
    <n v="40000"/>
    <n v="1"/>
    <n v="0"/>
    <s v="Bebidas"/>
    <s v="Bebidas"/>
    <s v="Bebidas"/>
  </r>
  <r>
    <x v="1"/>
    <x v="6"/>
    <x v="1"/>
    <s v="ADIC565"/>
    <s v="Adición Camaron"/>
    <n v="5"/>
    <n v="34500"/>
    <n v="0"/>
    <n v="15540"/>
    <n v="18960"/>
    <n v="0.54956521739130437"/>
    <n v="0"/>
    <s v="Adición"/>
    <s v="Adición"/>
    <s v="Adición"/>
  </r>
  <r>
    <x v="1"/>
    <x v="6"/>
    <x v="1"/>
    <s v="BEB582"/>
    <s v="Kola Roman 400 Ml"/>
    <n v="4"/>
    <n v="19600"/>
    <n v="0"/>
    <n v="5320"/>
    <n v="14280"/>
    <n v="0.72857142857142854"/>
    <n v="0"/>
    <s v="Bebidas"/>
    <s v="Bebidas"/>
    <s v="Bebidas"/>
  </r>
  <r>
    <x v="1"/>
    <x v="6"/>
    <x v="1"/>
    <s v="MON201"/>
    <s v="Chow Mein Especial trio"/>
    <n v="4"/>
    <n v="178742"/>
    <n v="-4858"/>
    <n v="77764"/>
    <n v="100978"/>
    <n v="0.56493717201329285"/>
    <n v="2.7178838773203835E-2"/>
    <s v="Platos mong"/>
    <s v="No Personal"/>
    <s v="Caja"/>
  </r>
  <r>
    <x v="1"/>
    <x v="6"/>
    <x v="1"/>
    <s v="BEB608"/>
    <s v="Agua Limón 600 Ml CB (*Extra)"/>
    <n v="4"/>
    <n v="6400"/>
    <n v="0"/>
    <n v="6844"/>
    <n v="-444"/>
    <n v="-6.9375000000000006E-2"/>
    <n v="0"/>
    <s v="Bebidas"/>
    <s v="Bebidas Cambio de bebida"/>
    <s v="Bebidas"/>
  </r>
  <r>
    <x v="1"/>
    <x v="6"/>
    <x v="1"/>
    <s v="BEB616"/>
    <s v="Agua Manzana 600 Ml CB (*Extra)"/>
    <n v="4"/>
    <n v="6400"/>
    <n v="0"/>
    <n v="8556"/>
    <n v="-2156"/>
    <n v="-0.33687499999999998"/>
    <n v="0"/>
    <s v="Bebidas"/>
    <s v="Bebidas Cambio de bebida"/>
    <s v="Bebidas"/>
  </r>
  <r>
    <x v="1"/>
    <x v="6"/>
    <x v="1"/>
    <s v="COMC04"/>
    <s v="COMBO FAMIAMIGOS"/>
    <n v="4"/>
    <n v="331600"/>
    <n v="0"/>
    <n v="156884"/>
    <n v="174716"/>
    <n v="0.52688781664656215"/>
    <n v="0"/>
    <s v="Combos para compartir"/>
    <s v="No Personal"/>
    <s v="Combo"/>
  </r>
  <r>
    <x v="1"/>
    <x v="6"/>
    <x v="1"/>
    <s v="ADIC566"/>
    <s v="Pollo a la naranja"/>
    <n v="4"/>
    <n v="31600"/>
    <n v="0"/>
    <n v="0"/>
    <n v="31600"/>
    <n v="1"/>
    <n v="0"/>
    <s v="Adición"/>
    <s v="Adición"/>
    <s v="Adición"/>
  </r>
  <r>
    <x v="1"/>
    <x v="6"/>
    <x v="1"/>
    <s v="BEB605"/>
    <s v="Quatro 400 Ml CB (*Extra)"/>
    <n v="3"/>
    <n v="4800"/>
    <n v="0"/>
    <n v="3990"/>
    <n v="810"/>
    <n v="0.16875000000000001"/>
    <n v="0"/>
    <s v="Bebidas"/>
    <s v="Bebidas Cambio de bebida"/>
    <s v="Bebidas"/>
  </r>
  <r>
    <x v="1"/>
    <x v="6"/>
    <x v="1"/>
    <s v="ADIC561"/>
    <s v="Adición Vegetales"/>
    <n v="3"/>
    <n v="20700"/>
    <n v="0"/>
    <n v="2067"/>
    <n v="18633"/>
    <n v="0.90014492753623188"/>
    <n v="0"/>
    <s v="Adición"/>
    <s v="Adición"/>
    <s v="Adición"/>
  </r>
  <r>
    <x v="1"/>
    <x v="6"/>
    <x v="1"/>
    <s v="CAM03"/>
    <s v="Cambio Papas a la francesa 150 grs (*Extra)"/>
    <n v="3"/>
    <n v="1500"/>
    <n v="0"/>
    <n v="4707"/>
    <n v="-3207"/>
    <n v="-2.1379999999999999"/>
    <n v="0"/>
    <s v="Adición"/>
    <s v="Otro"/>
    <s v="Otro"/>
  </r>
  <r>
    <x v="1"/>
    <x v="6"/>
    <x v="1"/>
    <s v="MON210"/>
    <s v="Chow Mein Camaron Personal"/>
    <n v="3"/>
    <n v="72700"/>
    <n v="-2000"/>
    <n v="31443"/>
    <n v="41257"/>
    <n v="0.56749656121045389"/>
    <n v="2.7510316368638238E-2"/>
    <s v="Platos mong"/>
    <s v="Personal"/>
    <s v="Caja"/>
  </r>
  <r>
    <x v="1"/>
    <x v="6"/>
    <x v="1"/>
    <s v="ADIC562"/>
    <s v="Adición Pasta"/>
    <n v="3"/>
    <n v="14700"/>
    <n v="0"/>
    <n v="9030"/>
    <n v="5670"/>
    <n v="0.38571428571428573"/>
    <n v="0"/>
    <s v="Adición"/>
    <s v="Adición"/>
    <s v="Adición"/>
  </r>
  <r>
    <x v="1"/>
    <x v="6"/>
    <x v="1"/>
    <s v="MON133"/>
    <s v="Chow fan valenciano megafamiliar"/>
    <n v="3"/>
    <n v="341700"/>
    <n v="0"/>
    <n v="145824"/>
    <n v="195876"/>
    <n v="0.57323968393327485"/>
    <n v="0"/>
    <s v="Platos mong"/>
    <s v="No Personal"/>
    <s v="Caja"/>
  </r>
  <r>
    <x v="1"/>
    <x v="6"/>
    <x v="1"/>
    <s v="MON505"/>
    <s v="Arroz vegetales pollo personal"/>
    <n v="2"/>
    <n v="39800"/>
    <n v="0"/>
    <n v="12276"/>
    <n v="27524"/>
    <n v="0.69155778894472364"/>
    <n v="0"/>
    <s v="Platos mong"/>
    <s v="Personal"/>
    <s v="Caja"/>
  </r>
  <r>
    <x v="1"/>
    <x v="6"/>
    <x v="1"/>
    <s v="BEB555"/>
    <s v="Coca Cola 1,5 litros CB COMBOSCOM (*Extra)"/>
    <n v="2"/>
    <n v="4000"/>
    <n v="0"/>
    <n v="0"/>
    <n v="4000"/>
    <n v="1"/>
    <n v="0"/>
    <s v="Bebidas"/>
    <s v="Bebidas Cambio de bebida"/>
    <s v="Bebidas"/>
  </r>
  <r>
    <x v="1"/>
    <x v="6"/>
    <x v="1"/>
    <s v="MON220"/>
    <s v="Chow Mein Pollo Personal"/>
    <n v="2"/>
    <n v="35800"/>
    <n v="0"/>
    <n v="14282"/>
    <n v="21518"/>
    <n v="0.60106145251396648"/>
    <n v="0"/>
    <s v="Platos mong"/>
    <s v="Personal"/>
    <s v="Caja"/>
  </r>
  <r>
    <x v="1"/>
    <x v="6"/>
    <x v="1"/>
    <s v="BEB610"/>
    <s v="Fusetea Durazno CB (*Extra)"/>
    <n v="2"/>
    <n v="3200"/>
    <n v="0"/>
    <n v="3748"/>
    <n v="-548"/>
    <n v="-0.17125000000000001"/>
    <n v="0"/>
    <s v="Bebidas"/>
    <s v="Bebidas Cambio de bebida"/>
    <s v="Bebidas"/>
  </r>
  <r>
    <x v="1"/>
    <x v="6"/>
    <x v="1"/>
    <s v="MON502"/>
    <s v="Arroz vegetales especial dúo"/>
    <n v="2"/>
    <n v="119800"/>
    <n v="0"/>
    <n v="36390"/>
    <n v="83410"/>
    <n v="0.69624373956594321"/>
    <n v="0"/>
    <s v="Platos mong"/>
    <s v="No Personal"/>
    <s v="Caja"/>
  </r>
  <r>
    <x v="1"/>
    <x v="6"/>
    <x v="1"/>
    <s v="MON310"/>
    <s v="Chop suey camarón personal"/>
    <n v="2"/>
    <n v="47800"/>
    <n v="0"/>
    <n v="17514"/>
    <n v="30286"/>
    <n v="0.6335983263598326"/>
    <n v="0"/>
    <s v="Platos mong"/>
    <s v="Personal"/>
    <s v="Caja"/>
  </r>
  <r>
    <x v="1"/>
    <x v="6"/>
    <x v="1"/>
    <s v="BEB607"/>
    <s v="Agua Gas 600 Ml CB (*Extra)"/>
    <n v="2"/>
    <n v="3200"/>
    <n v="0"/>
    <n v="3220"/>
    <n v="-20"/>
    <n v="-6.2500000000000003E-3"/>
    <n v="0"/>
    <s v="Bebidas"/>
    <s v="Bebidas Cambio de bebida"/>
    <s v="Bebidas"/>
  </r>
  <r>
    <x v="1"/>
    <x v="6"/>
    <x v="1"/>
    <s v="BEB602"/>
    <s v="Kola Roman 400 Ml CB (*Extra)"/>
    <n v="2"/>
    <n v="3200"/>
    <n v="0"/>
    <n v="4470"/>
    <n v="-1270"/>
    <n v="-0.39687499999999998"/>
    <n v="0"/>
    <s v="Bebidas"/>
    <s v="Bebidas Cambio de bebida"/>
    <s v="Bebidas"/>
  </r>
  <r>
    <x v="1"/>
    <x v="6"/>
    <x v="1"/>
    <s v="MON330"/>
    <s v="Chop Suey Vegetariano Personal"/>
    <n v="2"/>
    <n v="35800"/>
    <n v="0"/>
    <n v="10932"/>
    <n v="24868"/>
    <n v="0.69463687150837994"/>
    <n v="0"/>
    <s v="Platos mong"/>
    <s v="Personal"/>
    <s v="Caja"/>
  </r>
  <r>
    <x v="1"/>
    <x v="6"/>
    <x v="1"/>
    <s v="CAM04"/>
    <s v="Lumpia cambio (*Extra)"/>
    <n v="2"/>
    <n v="0"/>
    <n v="0"/>
    <n v="4098"/>
    <n v="-4098"/>
    <n v="0"/>
    <n v="0"/>
    <s v="Adición"/>
    <s v="Otro"/>
    <s v="Otro"/>
  </r>
  <r>
    <x v="1"/>
    <x v="6"/>
    <x v="1"/>
    <s v="BEB613"/>
    <s v="Coca Cola 400 Ml Zero CB (*Extra)"/>
    <n v="2"/>
    <n v="4600"/>
    <n v="0"/>
    <n v="4478"/>
    <n v="122"/>
    <n v="2.6521739130434784E-2"/>
    <n v="0"/>
    <s v="Bebidas"/>
    <s v="Bebidas Cambio de bebida"/>
    <s v="Bebidas"/>
  </r>
  <r>
    <x v="1"/>
    <x v="6"/>
    <x v="1"/>
    <s v="ADIC490"/>
    <s v="Adicion - Pollo en trozos"/>
    <n v="2"/>
    <n v="13800"/>
    <n v="0"/>
    <n v="4490"/>
    <n v="9310"/>
    <n v="0.67463768115942024"/>
    <n v="0"/>
    <s v="Adición"/>
    <s v="Adición"/>
    <s v="Adición"/>
  </r>
  <r>
    <x v="1"/>
    <x v="6"/>
    <x v="1"/>
    <s v="COMP11"/>
    <s v="COMBO - Lumpia y agua 280 ML"/>
    <n v="2"/>
    <n v="15800"/>
    <n v="0"/>
    <n v="0"/>
    <n v="15800"/>
    <n v="1"/>
    <n v="0"/>
    <s v="Armalo en combo"/>
    <s v="Personal"/>
    <s v="Combo"/>
  </r>
  <r>
    <x v="1"/>
    <x v="6"/>
    <x v="1"/>
    <s v="BEB609"/>
    <s v="Fusetea Limon CB (*Extra)"/>
    <n v="2"/>
    <n v="3200"/>
    <n v="0"/>
    <n v="3748"/>
    <n v="-548"/>
    <n v="-0.17125000000000001"/>
    <n v="0"/>
    <s v="Bebidas"/>
    <s v="Bebidas Cambio de bebida"/>
    <s v="Bebidas"/>
  </r>
  <r>
    <x v="1"/>
    <x v="6"/>
    <x v="1"/>
    <s v="BEB617"/>
    <s v="Fusetea mango CB (*Extra)"/>
    <n v="2"/>
    <n v="3200"/>
    <n v="0"/>
    <n v="3792"/>
    <n v="-592"/>
    <n v="-0.185"/>
    <n v="0"/>
    <s v="Bebidas"/>
    <s v="Bebidas Cambio de bebida"/>
    <s v="Bebidas"/>
  </r>
  <r>
    <x v="1"/>
    <x v="6"/>
    <x v="1"/>
    <s v="MON301"/>
    <s v="Chop Suey Especial trio"/>
    <n v="2"/>
    <n v="93800"/>
    <n v="0"/>
    <n v="22664"/>
    <n v="71136"/>
    <n v="0.7583795309168444"/>
    <n v="0"/>
    <s v="Platos mong"/>
    <s v="No Personal"/>
    <s v="Caja"/>
  </r>
  <r>
    <x v="1"/>
    <x v="6"/>
    <x v="1"/>
    <s v="MON321"/>
    <s v="Chop Suey Pollo trio"/>
    <n v="2"/>
    <n v="83800"/>
    <n v="0"/>
    <n v="22434"/>
    <n v="61366"/>
    <n v="0.73229116945107398"/>
    <n v="0"/>
    <s v="Platos mong"/>
    <s v="No Personal"/>
    <s v="Caja"/>
  </r>
  <r>
    <x v="1"/>
    <x v="6"/>
    <x v="1"/>
    <s v="COMP09"/>
    <s v="COMBO - Papas 120 grs y agua 280 Ml"/>
    <n v="1"/>
    <n v="7900"/>
    <n v="0"/>
    <n v="2917"/>
    <n v="4983"/>
    <n v="0.63075949367088613"/>
    <n v="0"/>
    <s v="Armalo en combo"/>
    <s v="Personal"/>
    <s v="Combo"/>
  </r>
  <r>
    <x v="1"/>
    <x v="6"/>
    <x v="1"/>
    <s v="ADIC09"/>
    <s v="No deseo (*Extra)"/>
    <n v="1"/>
    <n v="0"/>
    <n v="0"/>
    <n v="0"/>
    <n v="0"/>
    <n v="0"/>
    <n v="0"/>
    <s v="Adición"/>
    <s v="Adición"/>
    <s v="Adición"/>
  </r>
  <r>
    <x v="1"/>
    <x v="6"/>
    <x v="1"/>
    <s v="BEB618"/>
    <s v="Fusetea manzana CB (*Extra)"/>
    <n v="1"/>
    <n v="1600"/>
    <n v="0"/>
    <n v="1896"/>
    <n v="-296"/>
    <n v="-0.185"/>
    <n v="0"/>
    <s v="Bebidas"/>
    <s v="Bebidas Cambio de bebida"/>
    <s v="Bebidas"/>
  </r>
  <r>
    <x v="1"/>
    <x v="6"/>
    <x v="1"/>
    <s v="MON132"/>
    <s v="Chow Fan Valenciano familiar"/>
    <n v="1"/>
    <n v="76900"/>
    <n v="0"/>
    <n v="34655"/>
    <n v="42245"/>
    <n v="0.54934980494148244"/>
    <n v="0"/>
    <s v="Platos mong"/>
    <s v="No Personal"/>
    <s v="Caja"/>
  </r>
  <r>
    <x v="1"/>
    <x v="6"/>
    <x v="1"/>
    <s v="MON221"/>
    <s v="Chow Mein Pollo trio"/>
    <n v="1"/>
    <n v="39900"/>
    <n v="0"/>
    <n v="15895"/>
    <n v="24005"/>
    <n v="0.60162907268170429"/>
    <n v="0"/>
    <s v="Platos mong"/>
    <s v="No Personal"/>
    <s v="Caja"/>
  </r>
  <r>
    <x v="1"/>
    <x v="6"/>
    <x v="1"/>
    <s v="MONFIT"/>
    <s v="Mong fit"/>
    <n v="1"/>
    <n v="11900"/>
    <n v="0"/>
    <n v="0"/>
    <n v="11900"/>
    <n v="1"/>
    <n v="0"/>
    <s v="Platos especiales"/>
    <s v="Personal"/>
    <s v="Platos Especiales"/>
  </r>
  <r>
    <x v="1"/>
    <x v="6"/>
    <x v="1"/>
    <s v="MON504"/>
    <s v="Arroz vegetales camarones personal"/>
    <n v="1"/>
    <n v="26458"/>
    <n v="-1442"/>
    <n v="9478"/>
    <n v="16980"/>
    <n v="0.64177186484239168"/>
    <n v="5.4501474034318542E-2"/>
    <s v="Platos mong"/>
    <s v="Personal"/>
    <s v="Caja"/>
  </r>
  <r>
    <x v="1"/>
    <x v="6"/>
    <x v="1"/>
    <s v="BEB615"/>
    <s v="Premio 400 Ml CB (*Extra)"/>
    <n v="1"/>
    <n v="1600"/>
    <n v="0"/>
    <n v="1895"/>
    <n v="-295"/>
    <n v="-0.18437500000000001"/>
    <n v="0"/>
    <s v="Bebidas"/>
    <s v="Bebidas Cambio de bebida"/>
    <s v="Bebidas"/>
  </r>
  <r>
    <x v="1"/>
    <x v="6"/>
    <x v="1"/>
    <s v="ADIC567"/>
    <s v="cerdo agridulce"/>
    <n v="1"/>
    <n v="7900"/>
    <n v="0"/>
    <n v="0"/>
    <n v="7900"/>
    <n v="1"/>
    <n v="0"/>
    <s v="Adición"/>
    <s v="Adición"/>
    <s v="Adición"/>
  </r>
  <r>
    <x v="1"/>
    <x v="6"/>
    <x v="1"/>
    <s v="ENT01"/>
    <s v="Deditos de Pollo"/>
    <n v="1"/>
    <n v="15900"/>
    <n v="0"/>
    <n v="10028"/>
    <n v="5872"/>
    <n v="0.36930817610062894"/>
    <n v="0"/>
    <s v="Entradas"/>
    <s v="Otro"/>
    <s v="Otro"/>
  </r>
  <r>
    <x v="1"/>
    <x v="6"/>
    <x v="1"/>
    <s v="ADIC568"/>
    <s v="Res brocoli"/>
    <n v="1"/>
    <n v="8900"/>
    <n v="0"/>
    <n v="0"/>
    <n v="8900"/>
    <n v="1"/>
    <n v="0"/>
    <s v="Adición"/>
    <s v="Adición"/>
    <s v="Adición"/>
  </r>
  <r>
    <x v="1"/>
    <x v="6"/>
    <x v="1"/>
    <s v="MON123"/>
    <s v="Chow Fan Pollo megafamiliar"/>
    <n v="1"/>
    <n v="85900"/>
    <n v="0"/>
    <n v="32179"/>
    <n v="53721"/>
    <n v="0.62538998835855641"/>
    <n v="0"/>
    <s v="Platos mong"/>
    <s v="No Personal"/>
    <s v="Caja"/>
  </r>
  <r>
    <x v="1"/>
    <x v="6"/>
    <x v="2"/>
    <s v="BEB00"/>
    <s v="Coca Cola 250 Ml Zero CB (*Extra)"/>
    <n v="51"/>
    <n v="0"/>
    <n v="0"/>
    <n v="0"/>
    <n v="0"/>
    <n v="0"/>
    <n v="0"/>
    <s v="Bebidas"/>
    <s v="Bebidas Cambio de bebida"/>
    <s v="Bebidas"/>
  </r>
  <r>
    <x v="1"/>
    <x v="6"/>
    <x v="2"/>
    <s v="COMP01"/>
    <s v="COMBO 1- Valenciano personal"/>
    <n v="43"/>
    <n v="1098300"/>
    <n v="-273400"/>
    <n v="413961"/>
    <n v="684339"/>
    <n v="0.62308931985796234"/>
    <n v="0.24893016480014568"/>
    <s v="Combos personales"/>
    <s v="Personal"/>
    <s v="Combo"/>
  </r>
  <r>
    <x v="1"/>
    <x v="6"/>
    <x v="2"/>
    <s v="ADIC09"/>
    <s v="No deseo (*Extra)"/>
    <n v="15"/>
    <n v="0"/>
    <n v="0"/>
    <n v="0"/>
    <n v="0"/>
    <n v="0"/>
    <n v="0"/>
    <s v="Adición"/>
    <s v="Adición"/>
    <s v="Adición"/>
  </r>
  <r>
    <x v="1"/>
    <x v="6"/>
    <x v="2"/>
    <s v="COMP14"/>
    <s v="COMBO ESTUDIANTIL- Chow fan 250 grs"/>
    <n v="14"/>
    <n v="349650"/>
    <n v="-26950"/>
    <n v="0"/>
    <n v="349650"/>
    <n v="1"/>
    <n v="7.7077077077077075E-2"/>
    <s v="Combos personales"/>
    <s v="Personal"/>
    <s v="Caja"/>
  </r>
  <r>
    <x v="1"/>
    <x v="6"/>
    <x v="2"/>
    <s v="COMP02"/>
    <s v="COMBO 2 - Chow fan especial personal"/>
    <n v="12"/>
    <n v="319050"/>
    <n v="-99750"/>
    <n v="114012"/>
    <n v="205038"/>
    <n v="0.64265162200282089"/>
    <n v="0.31264692054536908"/>
    <s v="Combos personales"/>
    <s v="Personal"/>
    <s v="Combo"/>
  </r>
  <r>
    <x v="1"/>
    <x v="6"/>
    <x v="2"/>
    <s v="COMP05"/>
    <s v="COMBO 5 - Chow Mein especial personal"/>
    <n v="11"/>
    <n v="330400"/>
    <n v="-97500"/>
    <n v="123783"/>
    <n v="206617"/>
    <n v="0.62535411622276027"/>
    <n v="0.29509685230024213"/>
    <s v="Combos personales"/>
    <s v="Personal"/>
    <s v="Combo"/>
  </r>
  <r>
    <x v="1"/>
    <x v="6"/>
    <x v="2"/>
    <s v="COMP04"/>
    <s v="COMBO 4 - arroz vegetales especial"/>
    <n v="10"/>
    <n v="291500"/>
    <n v="-97500"/>
    <n v="102470"/>
    <n v="189030"/>
    <n v="0.64847341337907372"/>
    <n v="0.33447684391080618"/>
    <s v="Combos personales"/>
    <s v="Personal"/>
    <s v="Combo"/>
  </r>
  <r>
    <x v="1"/>
    <x v="6"/>
    <x v="2"/>
    <s v="BEB620"/>
    <s v="Agua 280 ml CB (*Extra)"/>
    <n v="10"/>
    <n v="0"/>
    <n v="0"/>
    <n v="8680"/>
    <n v="-8680"/>
    <n v="0"/>
    <n v="0"/>
    <s v="Bebidas"/>
    <s v="Bebidas Cambio de bebida"/>
    <s v="Bebidas"/>
  </r>
  <r>
    <x v="1"/>
    <x v="6"/>
    <x v="2"/>
    <s v="COMP03"/>
    <s v="COMBO 3 - Chop suey especial personal"/>
    <n v="9"/>
    <n v="311100"/>
    <n v="-39000"/>
    <n v="86130"/>
    <n v="224970"/>
    <n v="0.72314368370298943"/>
    <n v="0.1253616200578592"/>
    <s v="Combos personales"/>
    <s v="Personal"/>
    <s v="Combo"/>
  </r>
  <r>
    <x v="1"/>
    <x v="6"/>
    <x v="2"/>
    <s v="ADIC03"/>
    <s v="Camarones (*Extra)"/>
    <n v="7"/>
    <n v="53200"/>
    <n v="0"/>
    <n v="21756"/>
    <n v="31444"/>
    <n v="0.59105263157894739"/>
    <n v="0"/>
    <s v="Adición"/>
    <s v="Adición"/>
    <s v="Adición"/>
  </r>
  <r>
    <x v="1"/>
    <x v="6"/>
    <x v="2"/>
    <s v="BEB601"/>
    <s v="Coca Cola 400 Ml Normal CB (*Extra)"/>
    <n v="6"/>
    <n v="15600"/>
    <n v="0"/>
    <n v="13410"/>
    <n v="2190"/>
    <n v="0.14038461538461539"/>
    <n v="0"/>
    <s v="Bebidas"/>
    <s v="Bebidas Cambio de bebida"/>
    <s v="Bebidas"/>
  </r>
  <r>
    <x v="1"/>
    <x v="6"/>
    <x v="2"/>
    <s v="ADIC02"/>
    <s v="Pollo presa ADIC (*Extra)"/>
    <n v="6"/>
    <n v="45600"/>
    <n v="0"/>
    <n v="17094"/>
    <n v="28506"/>
    <n v="0.62513157894736837"/>
    <n v="0"/>
    <s v="Adición"/>
    <s v="Adición"/>
    <s v="Adición"/>
  </r>
  <r>
    <x v="1"/>
    <x v="6"/>
    <x v="2"/>
    <s v="BEB01"/>
    <s v="Coca Cola 250 Ml Normal CB (*Extra)"/>
    <n v="5"/>
    <n v="5000"/>
    <n v="0"/>
    <n v="9725"/>
    <n v="-4725"/>
    <n v="-0.94499999999999995"/>
    <n v="0"/>
    <s v="Bebidas"/>
    <s v="Bebidas Cambio de bebida"/>
    <s v="Bebidas"/>
  </r>
  <r>
    <x v="1"/>
    <x v="6"/>
    <x v="2"/>
    <s v="CAM04"/>
    <s v="Lumpia cambio (*Extra)"/>
    <n v="5"/>
    <n v="0"/>
    <n v="0"/>
    <n v="10245"/>
    <n v="-10245"/>
    <n v="0"/>
    <n v="0"/>
    <s v="Adición"/>
    <s v="Otro"/>
    <s v="Otro"/>
  </r>
  <r>
    <x v="1"/>
    <x v="6"/>
    <x v="2"/>
    <s v="ADIC06"/>
    <s v="Arroz Frito ADIC (*Extra)"/>
    <n v="5"/>
    <n v="24000"/>
    <n v="0"/>
    <n v="6410"/>
    <n v="17590"/>
    <n v="0.73291666666666666"/>
    <n v="0"/>
    <s v="Adición"/>
    <s v="Adición"/>
    <s v="Adición"/>
  </r>
  <r>
    <x v="1"/>
    <x v="6"/>
    <x v="2"/>
    <s v="ENT04"/>
    <s v="LUMPIAS X 2"/>
    <n v="5"/>
    <n v="64500"/>
    <n v="0"/>
    <n v="15695"/>
    <n v="48805"/>
    <n v="0.75666666666666671"/>
    <n v="0"/>
    <s v="Entradas"/>
    <s v="Otro"/>
    <s v="Otro"/>
  </r>
  <r>
    <x v="1"/>
    <x v="6"/>
    <x v="2"/>
    <s v="PESP05"/>
    <s v="WONG- Menú infantil"/>
    <n v="4"/>
    <n v="64600"/>
    <n v="-15000"/>
    <n v="28500"/>
    <n v="36100"/>
    <n v="0.55882352941176472"/>
    <n v="0.23219814241486067"/>
    <s v="Platos especiales"/>
    <s v="Personal"/>
    <s v="Platos Especiales"/>
  </r>
  <r>
    <x v="1"/>
    <x v="6"/>
    <x v="2"/>
    <s v="ADIC08"/>
    <s v="Salsa agridulce Roja (*Extra)"/>
    <n v="4"/>
    <n v="4000"/>
    <n v="0"/>
    <n v="236"/>
    <n v="3764"/>
    <n v="0.94099999999999995"/>
    <n v="0"/>
    <s v="Adición"/>
    <s v="Adición"/>
    <s v="Adición"/>
  </r>
  <r>
    <x v="1"/>
    <x v="6"/>
    <x v="2"/>
    <s v="COMP13"/>
    <s v="COMBO ARMA TU PLATO"/>
    <n v="4"/>
    <n v="126350"/>
    <n v="-29250"/>
    <n v="0"/>
    <n v="126350"/>
    <n v="1"/>
    <n v="0.23149980213692126"/>
    <s v="Combos personales"/>
    <s v="Personal"/>
    <s v="Combo"/>
  </r>
  <r>
    <x v="1"/>
    <x v="6"/>
    <x v="2"/>
    <s v="COMP12"/>
    <s v="Combo Sunkee"/>
    <n v="3"/>
    <n v="119700"/>
    <n v="0"/>
    <n v="98403"/>
    <n v="21297"/>
    <n v="0.17791979949874687"/>
    <n v="0"/>
    <s v="Combos personales"/>
    <s v="Personal"/>
    <s v="Combo"/>
  </r>
  <r>
    <x v="1"/>
    <x v="6"/>
    <x v="2"/>
    <s v="ADIC560"/>
    <s v="Adición Papa frita"/>
    <n v="3"/>
    <n v="23700"/>
    <n v="0"/>
    <n v="12294"/>
    <n v="11406"/>
    <n v="0.48126582278481012"/>
    <n v="0"/>
    <s v="Adición"/>
    <s v="Adición"/>
    <s v="Adición"/>
  </r>
  <r>
    <x v="1"/>
    <x v="6"/>
    <x v="2"/>
    <s v="ATP09"/>
    <s v="Res brócoli (*Extra)"/>
    <n v="3"/>
    <n v="0"/>
    <n v="0"/>
    <n v="9966"/>
    <n v="-9966"/>
    <n v="0"/>
    <n v="0"/>
    <s v="Arma tu plato"/>
    <s v="Personal"/>
    <s v="Caja"/>
  </r>
  <r>
    <x v="1"/>
    <x v="6"/>
    <x v="2"/>
    <s v="ATP04"/>
    <s v="Chop suey (*Extra)"/>
    <n v="3"/>
    <n v="0"/>
    <n v="0"/>
    <n v="7902"/>
    <n v="-7902"/>
    <n v="0"/>
    <n v="0"/>
    <s v="Arma tu plato"/>
    <s v="Personal"/>
    <s v="Caja"/>
  </r>
  <r>
    <x v="1"/>
    <x v="6"/>
    <x v="2"/>
    <s v="ATP01"/>
    <s v="Pollo a la naranja (*Extra)"/>
    <n v="3"/>
    <n v="0"/>
    <n v="0"/>
    <n v="16473"/>
    <n v="-16473"/>
    <n v="0"/>
    <n v="0"/>
    <s v="Arma tu plato"/>
    <s v="Personal"/>
    <s v="Caja"/>
  </r>
  <r>
    <x v="1"/>
    <x v="6"/>
    <x v="2"/>
    <s v="ADIC04"/>
    <s v="Pollo picado (*Extra)"/>
    <n v="2"/>
    <n v="16000"/>
    <n v="0"/>
    <n v="3494"/>
    <n v="12506"/>
    <n v="0.78162500000000001"/>
    <n v="0"/>
    <s v="Adición"/>
    <s v="Adición"/>
    <s v="Adición"/>
  </r>
  <r>
    <x v="1"/>
    <x v="6"/>
    <x v="2"/>
    <s v="MONE700"/>
    <s v="Mong Express Chop suey pollo"/>
    <n v="2"/>
    <n v="47050"/>
    <n v="-6750"/>
    <n v="16366"/>
    <n v="30684"/>
    <n v="0.65215727948990432"/>
    <n v="0.1434643995749203"/>
    <s v="Mong Express"/>
    <s v="Personal"/>
    <s v="Caja"/>
  </r>
  <r>
    <x v="1"/>
    <x v="6"/>
    <x v="2"/>
    <s v="ADIC11"/>
    <s v="Salsa Teriyaki (*Extra)"/>
    <n v="2"/>
    <n v="2000"/>
    <n v="0"/>
    <n v="0"/>
    <n v="2000"/>
    <n v="1"/>
    <n v="0"/>
    <s v="Adición"/>
    <s v="Adición"/>
    <s v="Adición"/>
  </r>
  <r>
    <x v="1"/>
    <x v="6"/>
    <x v="2"/>
    <s v="COMC02"/>
    <s v="COMBO AMIGOS"/>
    <n v="2"/>
    <n v="161800"/>
    <n v="0"/>
    <n v="47276"/>
    <n v="114524"/>
    <n v="0.70781211372064279"/>
    <n v="0"/>
    <s v="Combos para compartir"/>
    <s v="No Personal"/>
    <s v="Combo"/>
  </r>
  <r>
    <x v="1"/>
    <x v="6"/>
    <x v="2"/>
    <s v="BEB604"/>
    <s v="Sprite 400 Ml CB (*Extra)"/>
    <n v="1"/>
    <n v="2000"/>
    <n v="0"/>
    <n v="1516"/>
    <n v="484"/>
    <n v="0.24199999999999999"/>
    <n v="0"/>
    <s v="Bebidas"/>
    <s v="Bebidas Cambio de bebida"/>
    <s v="Bebidas"/>
  </r>
  <r>
    <x v="1"/>
    <x v="6"/>
    <x v="2"/>
    <s v="ENT03"/>
    <s v="CAMARONES APANADOS"/>
    <n v="1"/>
    <n v="18300"/>
    <n v="-4600"/>
    <n v="6215"/>
    <n v="12085"/>
    <n v="0.66038251366120215"/>
    <n v="0.25136612021857924"/>
    <s v="Entradas"/>
    <s v="Otro"/>
    <s v="Otro"/>
  </r>
  <r>
    <x v="1"/>
    <x v="6"/>
    <x v="2"/>
    <s v="ATP10"/>
    <s v="Cerdo agridulce (*Extra)"/>
    <n v="1"/>
    <n v="0"/>
    <n v="0"/>
    <n v="5467"/>
    <n v="-5467"/>
    <n v="0"/>
    <n v="0"/>
    <s v="Arma tu plato"/>
    <s v="Personal"/>
    <s v="Caja"/>
  </r>
  <r>
    <x v="1"/>
    <x v="6"/>
    <x v="2"/>
    <s v="COMC06"/>
    <s v="COMBO FAMILIAR"/>
    <n v="1"/>
    <n v="130900"/>
    <n v="0"/>
    <n v="46780"/>
    <n v="84120"/>
    <n v="0.64262796027501912"/>
    <n v="0"/>
    <s v="Combos para compartir"/>
    <s v="No Personal"/>
    <s v="Combo"/>
  </r>
  <r>
    <x v="1"/>
    <x v="6"/>
    <x v="2"/>
    <s v="ADIC561"/>
    <s v="Adición Vegetales"/>
    <n v="1"/>
    <n v="8900"/>
    <n v="0"/>
    <n v="689"/>
    <n v="8211"/>
    <n v="0.9225842696629214"/>
    <n v="0"/>
    <s v="Adición"/>
    <s v="Adición"/>
    <s v="Adición"/>
  </r>
  <r>
    <x v="1"/>
    <x v="6"/>
    <x v="2"/>
    <s v="ATP05"/>
    <s v="Chow mein (*Extra)"/>
    <n v="1"/>
    <n v="0"/>
    <n v="0"/>
    <n v="3097"/>
    <n v="-3097"/>
    <n v="0"/>
    <n v="0"/>
    <s v="Arma tu plato"/>
    <s v="Personal"/>
    <s v="Caja"/>
  </r>
  <r>
    <x v="1"/>
    <x v="6"/>
    <x v="2"/>
    <s v="ATP08"/>
    <s v="Pollo Apanado ATP (*Extra)"/>
    <n v="1"/>
    <n v="0"/>
    <n v="0"/>
    <n v="5263"/>
    <n v="-5263"/>
    <n v="0"/>
    <n v="0"/>
    <s v="Arma tu plato"/>
    <s v="Personal"/>
    <s v="Caja"/>
  </r>
  <r>
    <x v="1"/>
    <x v="6"/>
    <x v="2"/>
    <s v="COMC07"/>
    <s v="COMBO ANTOJO"/>
    <n v="1"/>
    <n v="29900"/>
    <n v="0"/>
    <n v="7973"/>
    <n v="21927"/>
    <n v="0.73334448160535115"/>
    <n v="0"/>
    <s v="Combos para compartir"/>
    <s v="No Personal"/>
    <s v="Combo"/>
  </r>
  <r>
    <x v="1"/>
    <x v="6"/>
    <x v="0"/>
    <s v="ENT04"/>
    <s v="LUMPIAS X 2"/>
    <n v="38"/>
    <n v="334033"/>
    <n v="-4167"/>
    <n v="119282"/>
    <n v="214751"/>
    <n v="0.64290354545808348"/>
    <n v="1.2474815362553999E-2"/>
    <s v="Entradas"/>
    <s v="Otro"/>
    <s v="Otro"/>
  </r>
  <r>
    <x v="1"/>
    <x v="6"/>
    <x v="0"/>
    <s v="MON301"/>
    <s v="Chop Suey Especial trio"/>
    <n v="35"/>
    <n v="1490957"/>
    <n v="-10543"/>
    <n v="396620"/>
    <n v="1094337"/>
    <n v="0.73398293847508678"/>
    <n v="7.071297160146134E-3"/>
    <s v="Platos mong"/>
    <s v="No Personal"/>
    <s v="Caja"/>
  </r>
  <r>
    <x v="1"/>
    <x v="6"/>
    <x v="0"/>
    <s v="MON101"/>
    <s v="Chow fan especial trio"/>
    <n v="24"/>
    <n v="950689"/>
    <n v="-6911"/>
    <n v="481272"/>
    <n v="469417"/>
    <n v="0.49376504829655121"/>
    <n v="7.269464567276996E-3"/>
    <s v="Platos mong"/>
    <s v="No Personal"/>
    <s v="Platos Especiales"/>
  </r>
  <r>
    <x v="1"/>
    <x v="6"/>
    <x v="0"/>
    <s v="MON100"/>
    <s v="Chow Fan Especial Personal"/>
    <n v="24"/>
    <n v="454773"/>
    <n v="-22827"/>
    <n v="162432"/>
    <n v="292341"/>
    <n v="0.64282840010290854"/>
    <n v="5.0194272747062819E-2"/>
    <s v="Platos mong"/>
    <s v="Personal"/>
    <s v="Caja"/>
  </r>
  <r>
    <x v="1"/>
    <x v="6"/>
    <x v="0"/>
    <s v="COMP01"/>
    <s v="COMBO 1- Valenciano personal"/>
    <n v="22"/>
    <n v="515530"/>
    <n v="-10270"/>
    <n v="211794"/>
    <n v="303736"/>
    <n v="0.58917230811010024"/>
    <n v="1.9921246096250459E-2"/>
    <s v="Combos personales"/>
    <s v="Personal"/>
    <s v="Combo"/>
  </r>
  <r>
    <x v="1"/>
    <x v="6"/>
    <x v="0"/>
    <s v="MON102"/>
    <s v="Chow Fan Especial familiar"/>
    <n v="18"/>
    <n v="898200"/>
    <n v="0"/>
    <n v="582318"/>
    <n v="315882"/>
    <n v="0.35168336673346695"/>
    <n v="0"/>
    <s v="Platos mong"/>
    <s v="No Personal"/>
    <s v="Caja"/>
  </r>
  <r>
    <x v="1"/>
    <x v="6"/>
    <x v="0"/>
    <s v="MON300"/>
    <s v="Chop suey especial personal"/>
    <n v="16"/>
    <n v="333840"/>
    <n v="-560"/>
    <n v="109408"/>
    <n v="224432"/>
    <n v="0.67227414330218072"/>
    <n v="1.6774502755811168E-3"/>
    <s v="Platos mong"/>
    <s v="Personal"/>
    <s v="Caja"/>
  </r>
  <r>
    <x v="1"/>
    <x v="6"/>
    <x v="0"/>
    <s v="ENT02"/>
    <s v="LUMPIA X 1"/>
    <n v="14"/>
    <n v="67588"/>
    <n v="-2412"/>
    <n v="21966"/>
    <n v="45622"/>
    <n v="0.67500147955258327"/>
    <n v="3.568680830916731E-2"/>
    <s v="Entradas"/>
    <s v="Otro"/>
    <s v="Otro"/>
  </r>
  <r>
    <x v="1"/>
    <x v="6"/>
    <x v="0"/>
    <s v="MON132"/>
    <s v="Chow Fan Valenciano familiar"/>
    <n v="12"/>
    <n v="802800"/>
    <n v="0"/>
    <n v="415860"/>
    <n v="386940"/>
    <n v="0.48198804185351268"/>
    <n v="0"/>
    <s v="Platos mong"/>
    <s v="No Personal"/>
    <s v="Caja"/>
  </r>
  <r>
    <x v="1"/>
    <x v="6"/>
    <x v="0"/>
    <s v="MON450"/>
    <s v="Arma tu plato"/>
    <n v="12"/>
    <n v="298800"/>
    <n v="0"/>
    <n v="0"/>
    <n v="298800"/>
    <n v="1"/>
    <n v="0"/>
    <s v="Arma tu plato"/>
    <s v="Personal"/>
    <s v="Caja"/>
  </r>
  <r>
    <x v="1"/>
    <x v="6"/>
    <x v="0"/>
    <s v="BEB598"/>
    <s v="Coca Cola 1,5 litros"/>
    <n v="11"/>
    <n v="107963"/>
    <n v="-937"/>
    <n v="49511"/>
    <n v="58452"/>
    <n v="0.54140770449135356"/>
    <n v="8.6788992525216966E-3"/>
    <s v="Bebidas"/>
    <s v="Bebidas"/>
    <s v="Bebidas"/>
  </r>
  <r>
    <x v="1"/>
    <x v="6"/>
    <x v="0"/>
    <s v="COMC02"/>
    <s v="COMBO AMIGOS"/>
    <n v="10"/>
    <n v="532000"/>
    <n v="-7000"/>
    <n v="236380"/>
    <n v="295620"/>
    <n v="0.55567669172932332"/>
    <n v="1.3157894736842105E-2"/>
    <s v="Combos para compartir"/>
    <s v="No Personal"/>
    <s v="Combo"/>
  </r>
  <r>
    <x v="1"/>
    <x v="6"/>
    <x v="0"/>
    <s v="ATP01"/>
    <s v="Pollo a la naranja (*Extra)"/>
    <n v="10"/>
    <n v="0"/>
    <n v="0"/>
    <n v="54910"/>
    <n v="-54910"/>
    <n v="0"/>
    <n v="0"/>
    <s v="Arma tu plato"/>
    <s v="Personal"/>
    <s v="Caja"/>
  </r>
  <r>
    <x v="1"/>
    <x v="6"/>
    <x v="0"/>
    <s v="MON131"/>
    <s v="Chow Fan Valenciano trio"/>
    <n v="10"/>
    <n v="499000"/>
    <n v="0"/>
    <n v="188180"/>
    <n v="310820"/>
    <n v="0.62288577154308622"/>
    <n v="0"/>
    <s v="Platos mong"/>
    <s v="No Personal"/>
    <s v="Caja"/>
  </r>
  <r>
    <x v="1"/>
    <x v="6"/>
    <x v="0"/>
    <s v="ADIC564"/>
    <s v="Adición Presa de pollo"/>
    <n v="9"/>
    <n v="62100"/>
    <n v="0"/>
    <n v="22176"/>
    <n v="39924"/>
    <n v="0.64289855072463764"/>
    <n v="0"/>
    <s v="Adición"/>
    <s v="Adición"/>
    <s v="Adición"/>
  </r>
  <r>
    <x v="1"/>
    <x v="6"/>
    <x v="0"/>
    <s v="ATP09"/>
    <s v="Res brócoli (*Extra)"/>
    <n v="9"/>
    <n v="0"/>
    <n v="0"/>
    <n v="29898"/>
    <n v="-29898"/>
    <n v="0"/>
    <n v="0"/>
    <s v="Arma tu plato"/>
    <s v="Personal"/>
    <s v="Caja"/>
  </r>
  <r>
    <x v="1"/>
    <x v="6"/>
    <x v="0"/>
    <s v="COMP02"/>
    <s v="COMBO 2 - Chow fan especial personal"/>
    <n v="9"/>
    <n v="223100"/>
    <n v="-10000"/>
    <n v="85509"/>
    <n v="137591"/>
    <n v="0.61672344240251009"/>
    <n v="4.4822949350067233E-2"/>
    <s v="Combos personales"/>
    <s v="Personal"/>
    <s v="Combo"/>
  </r>
  <r>
    <x v="1"/>
    <x v="6"/>
    <x v="0"/>
    <s v="BEB593"/>
    <s v="Coca Cola 250 Ml Zero"/>
    <n v="8"/>
    <n v="26727"/>
    <n v="-4473"/>
    <n v="10328"/>
    <n v="16399"/>
    <n v="0.61357428817300852"/>
    <n v="0.16735885060051633"/>
    <s v="Bebidas"/>
    <s v="Bebidas"/>
    <s v="Bebidas"/>
  </r>
  <r>
    <x v="1"/>
    <x v="6"/>
    <x v="0"/>
    <s v="MON320"/>
    <s v="Chop Suey Pollo Personal"/>
    <n v="8"/>
    <n v="149084"/>
    <n v="-2116"/>
    <n v="43688"/>
    <n v="105396"/>
    <n v="0.70695715167288242"/>
    <n v="1.419334066700652E-2"/>
    <s v="Platos mong"/>
    <s v="Personal"/>
    <s v="Caja"/>
  </r>
  <r>
    <x v="1"/>
    <x v="6"/>
    <x v="0"/>
    <s v="COMP03"/>
    <s v="COMBO 3 - Chop suey especial personal"/>
    <n v="8"/>
    <n v="231200"/>
    <n v="0"/>
    <n v="76560"/>
    <n v="154640"/>
    <n v="0.66885813148788931"/>
    <n v="0"/>
    <s v="Combos personales"/>
    <s v="Personal"/>
    <s v="Combo"/>
  </r>
  <r>
    <x v="1"/>
    <x v="6"/>
    <x v="0"/>
    <s v="COMP05"/>
    <s v="COMBO 5 - Chow Mein especial personal"/>
    <n v="6"/>
    <n v="173400"/>
    <n v="0"/>
    <n v="67518"/>
    <n v="105882"/>
    <n v="0.61062283737024226"/>
    <n v="0"/>
    <s v="Combos personales"/>
    <s v="Personal"/>
    <s v="Combo"/>
  </r>
  <r>
    <x v="1"/>
    <x v="6"/>
    <x v="0"/>
    <s v="MON130"/>
    <s v="Chow Fan Valenciano Personal"/>
    <n v="6"/>
    <n v="131400"/>
    <n v="0"/>
    <n v="50784"/>
    <n v="80616"/>
    <n v="0.61351598173515987"/>
    <n v="0"/>
    <s v="Platos mong"/>
    <s v="Personal"/>
    <s v="Caja"/>
  </r>
  <r>
    <x v="1"/>
    <x v="6"/>
    <x v="0"/>
    <s v="PESP02"/>
    <s v="MONG"/>
    <n v="5"/>
    <n v="124500"/>
    <n v="0"/>
    <n v="63590"/>
    <n v="60910"/>
    <n v="0.48923694779116467"/>
    <n v="0"/>
    <s v="Platos especiales"/>
    <s v="Personal"/>
    <s v="Platos Especiales"/>
  </r>
  <r>
    <x v="1"/>
    <x v="6"/>
    <x v="0"/>
    <s v="MON103"/>
    <s v="Chow Fan Especial megafamiliar"/>
    <n v="5"/>
    <n v="409500"/>
    <n v="0"/>
    <n v="213520"/>
    <n v="195980"/>
    <n v="0.47858363858363856"/>
    <n v="0"/>
    <s v="Platos mong"/>
    <s v="No Personal"/>
    <s v="Caja"/>
  </r>
  <r>
    <x v="1"/>
    <x v="6"/>
    <x v="0"/>
    <s v="ATP10"/>
    <s v="Cerdo agridulce (*Extra)"/>
    <n v="5"/>
    <n v="0"/>
    <n v="0"/>
    <n v="27335"/>
    <n v="-27335"/>
    <n v="0"/>
    <n v="0"/>
    <s v="Arma tu plato"/>
    <s v="Personal"/>
    <s v="Caja"/>
  </r>
  <r>
    <x v="1"/>
    <x v="6"/>
    <x v="0"/>
    <s v="ATP03"/>
    <s v="Arroz vegetales (*Extra)"/>
    <n v="4"/>
    <n v="8000"/>
    <n v="0"/>
    <n v="8140"/>
    <n v="-140"/>
    <n v="-1.7500000000000002E-2"/>
    <n v="0"/>
    <s v="Arma tu plato"/>
    <s v="Personal"/>
    <s v="Caja"/>
  </r>
  <r>
    <x v="1"/>
    <x v="6"/>
    <x v="0"/>
    <s v="COMC07"/>
    <s v="COMBO ANTOJO"/>
    <n v="4"/>
    <n v="83600"/>
    <n v="0"/>
    <n v="31892"/>
    <n v="51708"/>
    <n v="0.61851674641148324"/>
    <n v="0"/>
    <s v="Combos para compartir"/>
    <s v="No Personal"/>
    <s v="Combo"/>
  </r>
  <r>
    <x v="1"/>
    <x v="6"/>
    <x v="0"/>
    <s v="MON120"/>
    <s v="Chow Fan Pollo Personal"/>
    <n v="4"/>
    <n v="63600"/>
    <n v="0"/>
    <n v="24256"/>
    <n v="39344"/>
    <n v="0.61861635220125788"/>
    <n v="0"/>
    <s v="Platos mong"/>
    <s v="Personal"/>
    <s v="Caja"/>
  </r>
  <r>
    <x v="1"/>
    <x v="6"/>
    <x v="0"/>
    <s v="MON302"/>
    <s v="Chop Suey Especial Familiar"/>
    <n v="4"/>
    <n v="231600"/>
    <n v="0"/>
    <n v="112228"/>
    <n v="119372"/>
    <n v="0.51542314335060446"/>
    <n v="0"/>
    <s v="Platos mong"/>
    <s v="No Personal"/>
    <s v="Caja"/>
  </r>
  <r>
    <x v="1"/>
    <x v="6"/>
    <x v="0"/>
    <s v="ADIC565"/>
    <s v="Adición Camaron"/>
    <n v="4"/>
    <n v="27600"/>
    <n v="0"/>
    <n v="12432"/>
    <n v="15168"/>
    <n v="0.54956521739130437"/>
    <n v="0"/>
    <s v="Adición"/>
    <s v="Adición"/>
    <s v="Adición"/>
  </r>
  <r>
    <x v="1"/>
    <x v="6"/>
    <x v="0"/>
    <s v="ADIC560"/>
    <s v="Adición Papa frita"/>
    <n v="4"/>
    <n v="23600"/>
    <n v="0"/>
    <n v="16392"/>
    <n v="7208"/>
    <n v="0.30542372881355934"/>
    <n v="0"/>
    <s v="Adición"/>
    <s v="Adición"/>
    <s v="Adición"/>
  </r>
  <r>
    <x v="1"/>
    <x v="6"/>
    <x v="0"/>
    <s v="ATP05"/>
    <s v="Chow mein (*Extra)"/>
    <n v="4"/>
    <n v="0"/>
    <n v="0"/>
    <n v="12388"/>
    <n v="-12388"/>
    <n v="0"/>
    <n v="0"/>
    <s v="Arma tu plato"/>
    <s v="Personal"/>
    <s v="Caja"/>
  </r>
  <r>
    <x v="1"/>
    <x v="6"/>
    <x v="0"/>
    <s v="MON121"/>
    <s v="Chow Fan Pollo trio"/>
    <n v="4"/>
    <n v="135600"/>
    <n v="0"/>
    <n v="56924"/>
    <n v="78676"/>
    <n v="0.58020648967551625"/>
    <n v="0"/>
    <s v="Platos mong"/>
    <s v="No Personal"/>
    <s v="Caja"/>
  </r>
  <r>
    <x v="1"/>
    <x v="6"/>
    <x v="0"/>
    <s v="MON110"/>
    <s v="Chow Fan Camarones Personal"/>
    <n v="3"/>
    <n v="68700"/>
    <n v="0"/>
    <n v="28212"/>
    <n v="40488"/>
    <n v="0.58934497816593889"/>
    <n v="0"/>
    <s v="Platos mong"/>
    <s v="Personal"/>
    <s v="Caja"/>
  </r>
  <r>
    <x v="1"/>
    <x v="6"/>
    <x v="0"/>
    <s v="ENT03"/>
    <s v="CAMARONES APANADOS"/>
    <n v="3"/>
    <n v="50700"/>
    <n v="0"/>
    <n v="18645"/>
    <n v="32055"/>
    <n v="0.63224852071005921"/>
    <n v="0"/>
    <s v="Entradas"/>
    <s v="Otro"/>
    <s v="Otro"/>
  </r>
  <r>
    <x v="1"/>
    <x v="6"/>
    <x v="0"/>
    <s v="MON112"/>
    <s v="Chow Fan Camarones Familiar"/>
    <n v="3"/>
    <n v="155700"/>
    <n v="0"/>
    <n v="86445"/>
    <n v="69255"/>
    <n v="0.44479768786127166"/>
    <n v="0"/>
    <s v="Platos mong"/>
    <s v="No Personal"/>
    <s v="Caja"/>
  </r>
  <r>
    <x v="1"/>
    <x v="6"/>
    <x v="0"/>
    <s v="BEB596"/>
    <s v="Fusetea mango"/>
    <n v="3"/>
    <n v="14700"/>
    <n v="0"/>
    <n v="5688"/>
    <n v="9012"/>
    <n v="0.61306122448979594"/>
    <n v="0"/>
    <s v="Bebidas"/>
    <s v="Bebidas"/>
    <s v="Bebidas"/>
  </r>
  <r>
    <x v="1"/>
    <x v="6"/>
    <x v="0"/>
    <s v="MONE700"/>
    <s v="Mong Express Chop suey pollo"/>
    <n v="3"/>
    <n v="59700"/>
    <n v="0"/>
    <n v="24549"/>
    <n v="35151"/>
    <n v="0.58879396984924626"/>
    <n v="0"/>
    <s v="Mong Express"/>
    <s v="Personal"/>
    <s v="Caja"/>
  </r>
  <r>
    <x v="1"/>
    <x v="6"/>
    <x v="0"/>
    <s v="MONE701"/>
    <s v="Mong Express Chow fan"/>
    <n v="3"/>
    <n v="59700"/>
    <n v="0"/>
    <n v="0"/>
    <n v="59700"/>
    <n v="1"/>
    <n v="0"/>
    <s v="Mong Express"/>
    <s v="Personal"/>
    <s v="Caja"/>
  </r>
  <r>
    <x v="1"/>
    <x v="6"/>
    <x v="0"/>
    <s v="BEB580"/>
    <s v="Coca Cola 250 Ml Normal"/>
    <n v="3"/>
    <n v="11700"/>
    <n v="0"/>
    <n v="3489"/>
    <n v="8211"/>
    <n v="0.70179487179487177"/>
    <n v="0"/>
    <s v="Bebidas"/>
    <s v="Bebidas"/>
    <s v="Bebidas"/>
  </r>
  <r>
    <x v="1"/>
    <x v="6"/>
    <x v="0"/>
    <s v="PESP05"/>
    <s v="WONG- Menú infantil"/>
    <n v="3"/>
    <n v="47400"/>
    <n v="-3300"/>
    <n v="21375"/>
    <n v="26025"/>
    <n v="0.54905063291139244"/>
    <n v="6.9620253164556958E-2"/>
    <s v="Platos especiales"/>
    <s v="Personal"/>
    <s v="Platos Especiales"/>
  </r>
  <r>
    <x v="1"/>
    <x v="6"/>
    <x v="0"/>
    <s v="MON111"/>
    <s v="Chow Fan Camarones trio"/>
    <n v="3"/>
    <n v="143700"/>
    <n v="0"/>
    <n v="62733"/>
    <n v="80967"/>
    <n v="0.56344467640918583"/>
    <n v="0"/>
    <s v="Platos mong"/>
    <s v="No Personal"/>
    <s v="Caja"/>
  </r>
  <r>
    <x v="1"/>
    <x v="6"/>
    <x v="0"/>
    <s v="COMC06"/>
    <s v="COMBO FAMILIAR"/>
    <n v="3"/>
    <n v="290700"/>
    <n v="0"/>
    <n v="140340"/>
    <n v="150360"/>
    <n v="0.51723426212590295"/>
    <n v="0"/>
    <s v="Combos para compartir"/>
    <s v="No Personal"/>
    <s v="Combo"/>
  </r>
  <r>
    <x v="1"/>
    <x v="6"/>
    <x v="0"/>
    <s v="PESP01"/>
    <s v="MING"/>
    <n v="3"/>
    <n v="86700"/>
    <n v="0"/>
    <n v="22815"/>
    <n v="63885"/>
    <n v="0.73685121107266438"/>
    <n v="0"/>
    <s v="Platos especiales"/>
    <s v="Personal"/>
    <s v="Platos Especiales"/>
  </r>
  <r>
    <x v="1"/>
    <x v="6"/>
    <x v="0"/>
    <s v="ADIC566"/>
    <s v="Pollo a la naranja"/>
    <n v="2"/>
    <n v="15800"/>
    <n v="0"/>
    <n v="0"/>
    <n v="15800"/>
    <n v="1"/>
    <n v="0"/>
    <s v="Adición"/>
    <s v="Adición"/>
    <s v="Adición"/>
  </r>
  <r>
    <x v="1"/>
    <x v="6"/>
    <x v="0"/>
    <s v="BEB588"/>
    <s v="Fusetea Limon"/>
    <n v="2"/>
    <n v="9800"/>
    <n v="0"/>
    <n v="3120"/>
    <n v="6680"/>
    <n v="0.68163265306122445"/>
    <n v="0"/>
    <s v="Bebidas"/>
    <s v="Bebidas"/>
    <s v="Bebidas"/>
  </r>
  <r>
    <x v="1"/>
    <x v="6"/>
    <x v="0"/>
    <s v="MON133"/>
    <s v="Chow fan valenciano megafamiliar"/>
    <n v="2"/>
    <n v="171800"/>
    <n v="0"/>
    <n v="97216"/>
    <n v="74584"/>
    <n v="0.4341327124563446"/>
    <n v="0"/>
    <s v="Platos mong"/>
    <s v="No Personal"/>
    <s v="Caja"/>
  </r>
  <r>
    <x v="1"/>
    <x v="6"/>
    <x v="0"/>
    <s v="BEB620"/>
    <s v="Agua 280 ml CB (*Extra)"/>
    <n v="2"/>
    <n v="0"/>
    <n v="0"/>
    <n v="1736"/>
    <n v="-1736"/>
    <n v="0"/>
    <n v="0"/>
    <s v="Bebidas"/>
    <s v="Bebidas Cambio de bebida"/>
    <s v="Bebidas"/>
  </r>
  <r>
    <x v="1"/>
    <x v="6"/>
    <x v="0"/>
    <s v="MON311"/>
    <s v="Chop Suey Camaron trio"/>
    <n v="2"/>
    <n v="93800"/>
    <n v="0"/>
    <n v="35464"/>
    <n v="58336"/>
    <n v="0.62191897654584227"/>
    <n v="0"/>
    <s v="Platos mong"/>
    <s v="No Personal"/>
    <s v="Caja"/>
  </r>
  <r>
    <x v="1"/>
    <x v="6"/>
    <x v="0"/>
    <s v="COMP08"/>
    <s v="COMBO - Papas 120 grs y Coca Cola 250 ml"/>
    <n v="2"/>
    <n v="15800"/>
    <n v="0"/>
    <n v="6424"/>
    <n v="9376"/>
    <n v="0.59341772151898731"/>
    <n v="0"/>
    <s v="Armalo en combo"/>
    <s v="Personal"/>
    <s v="Combo"/>
  </r>
  <r>
    <x v="1"/>
    <x v="6"/>
    <x v="0"/>
    <s v="MON200"/>
    <s v="Chow Mein Especial Personal"/>
    <n v="2"/>
    <n v="41800"/>
    <n v="0"/>
    <n v="17042"/>
    <n v="24758"/>
    <n v="0.59229665071770332"/>
    <n v="0"/>
    <s v="Platos mong"/>
    <s v="Personal"/>
    <s v="Caja"/>
  </r>
  <r>
    <x v="1"/>
    <x v="6"/>
    <x v="0"/>
    <s v="ATP06"/>
    <s v="Arroz Frito ATP (*Extra)"/>
    <n v="2"/>
    <n v="0"/>
    <n v="0"/>
    <n v="2564"/>
    <n v="-2564"/>
    <n v="0"/>
    <n v="0"/>
    <s v="Arma tu plato"/>
    <s v="Personal"/>
    <s v="Caja"/>
  </r>
  <r>
    <x v="1"/>
    <x v="6"/>
    <x v="0"/>
    <s v="BEB584"/>
    <s v="Quatro 400 Ml"/>
    <n v="2"/>
    <n v="9800"/>
    <n v="0"/>
    <n v="2660"/>
    <n v="7140"/>
    <n v="0.72857142857142854"/>
    <n v="0"/>
    <s v="Bebidas"/>
    <s v="Bebidas"/>
    <s v="Bebidas"/>
  </r>
  <r>
    <x v="1"/>
    <x v="6"/>
    <x v="0"/>
    <s v="BEB585"/>
    <s v="Agua Normal 600 Ml"/>
    <n v="2"/>
    <n v="9800"/>
    <n v="0"/>
    <n v="2190"/>
    <n v="7610"/>
    <n v="0.77653061224489794"/>
    <n v="0"/>
    <s v="Bebidas"/>
    <s v="Bebidas"/>
    <s v="Bebidas"/>
  </r>
  <r>
    <x v="1"/>
    <x v="6"/>
    <x v="0"/>
    <s v="BEB01"/>
    <s v="Coca Cola 250 Ml Normal CB (*Extra)"/>
    <n v="2"/>
    <n v="2000"/>
    <n v="0"/>
    <n v="3890"/>
    <n v="-1890"/>
    <n v="-0.94499999999999995"/>
    <n v="0"/>
    <s v="Bebidas"/>
    <s v="Bebidas Cambio de bebida"/>
    <s v="Bebidas"/>
  </r>
  <r>
    <x v="1"/>
    <x v="6"/>
    <x v="0"/>
    <s v="ENT01"/>
    <s v="Deditos de Pollo"/>
    <n v="2"/>
    <n v="31800"/>
    <n v="0"/>
    <n v="20056"/>
    <n v="11744"/>
    <n v="0.36930817610062894"/>
    <n v="0"/>
    <s v="Entradas"/>
    <s v="Otro"/>
    <s v="Otro"/>
  </r>
  <r>
    <x v="1"/>
    <x v="6"/>
    <x v="0"/>
    <s v="ATP04"/>
    <s v="Chop suey (*Extra)"/>
    <n v="2"/>
    <n v="0"/>
    <n v="0"/>
    <n v="5268"/>
    <n v="-5268"/>
    <n v="0"/>
    <n v="0"/>
    <s v="Arma tu plato"/>
    <s v="Personal"/>
    <s v="Caja"/>
  </r>
  <r>
    <x v="1"/>
    <x v="6"/>
    <x v="0"/>
    <s v="ADIC561"/>
    <s v="Adición Vegetales"/>
    <n v="2"/>
    <n v="13800"/>
    <n v="0"/>
    <n v="1378"/>
    <n v="12422"/>
    <n v="0.90014492753623188"/>
    <n v="0"/>
    <s v="Adición"/>
    <s v="Adición"/>
    <s v="Adición"/>
  </r>
  <r>
    <x v="1"/>
    <x v="6"/>
    <x v="0"/>
    <s v="ADIC563"/>
    <s v="Adición Arroz Frito"/>
    <n v="1"/>
    <n v="5000"/>
    <n v="-900"/>
    <n v="1282"/>
    <n v="3718"/>
    <n v="0.74360000000000004"/>
    <n v="0.18"/>
    <s v="Adición"/>
    <s v="Adición"/>
    <s v="Adición"/>
  </r>
  <r>
    <x v="1"/>
    <x v="6"/>
    <x v="0"/>
    <s v="BEB581"/>
    <s v="Coca Cola 400 Ml Normal"/>
    <n v="1"/>
    <n v="5900"/>
    <n v="0"/>
    <n v="1695"/>
    <n v="4205"/>
    <n v="0.71271186440677969"/>
    <n v="0"/>
    <s v="Bebidas"/>
    <s v="Bebidas"/>
    <s v="Bebidas"/>
  </r>
  <r>
    <x v="1"/>
    <x v="6"/>
    <x v="0"/>
    <s v="MON500"/>
    <s v="Arroz vegetales especial personal"/>
    <n v="1"/>
    <n v="22900"/>
    <n v="0"/>
    <n v="7514"/>
    <n v="15386"/>
    <n v="0.67187772925764189"/>
    <n v="0"/>
    <s v="Platos mong"/>
    <s v="Personal"/>
    <s v="Caja"/>
  </r>
  <r>
    <x v="1"/>
    <x v="6"/>
    <x v="0"/>
    <s v="COMP10"/>
    <s v="COMBO - Lumpia y Coca Cola 250 ml"/>
    <n v="1"/>
    <n v="7016"/>
    <n v="-884"/>
    <n v="0"/>
    <n v="7016"/>
    <n v="1"/>
    <n v="0.12599771949828961"/>
    <s v="Armalo en combo"/>
    <s v="Personal"/>
    <s v="Combo"/>
  </r>
  <r>
    <x v="1"/>
    <x v="6"/>
    <x v="0"/>
    <s v="MON123"/>
    <s v="Chow Fan Pollo megafamiliar"/>
    <n v="1"/>
    <n v="63900"/>
    <n v="0"/>
    <n v="32179"/>
    <n v="31721"/>
    <n v="0.49641627543035993"/>
    <n v="0"/>
    <s v="Platos mong"/>
    <s v="No Personal"/>
    <s v="Caja"/>
  </r>
  <r>
    <x v="1"/>
    <x v="6"/>
    <x v="0"/>
    <s v="MON211"/>
    <s v="Chow Mein Camaron trio"/>
    <n v="1"/>
    <n v="46900"/>
    <n v="0"/>
    <n v="22575"/>
    <n v="24325"/>
    <n v="0.51865671641791045"/>
    <n v="0"/>
    <s v="Platos mong"/>
    <s v="No Personal"/>
    <s v="Caja"/>
  </r>
  <r>
    <x v="1"/>
    <x v="6"/>
    <x v="0"/>
    <s v="BEB586"/>
    <s v="Agua Gas 600 Ml"/>
    <n v="1"/>
    <n v="4900"/>
    <n v="0"/>
    <n v="1288"/>
    <n v="3612"/>
    <n v="0.7371428571428571"/>
    <n v="0"/>
    <s v="Bebidas"/>
    <s v="Bebidas"/>
    <s v="Bebidas"/>
  </r>
  <r>
    <x v="1"/>
    <x v="6"/>
    <x v="0"/>
    <s v="CAM04"/>
    <s v="Lumpia cambio (*Extra)"/>
    <n v="1"/>
    <n v="0"/>
    <n v="0"/>
    <n v="2049"/>
    <n v="-2049"/>
    <n v="0"/>
    <n v="0"/>
    <s v="Adición"/>
    <s v="Otro"/>
    <s v="Otro"/>
  </r>
  <r>
    <x v="1"/>
    <x v="6"/>
    <x v="0"/>
    <s v="COMC04"/>
    <s v="COMBO FAMIAMIGOS"/>
    <n v="1"/>
    <n v="62900"/>
    <n v="-7000"/>
    <n v="39221"/>
    <n v="23679"/>
    <n v="0.37645468998410175"/>
    <n v="0.11128775834658187"/>
    <s v="Combos para compartir"/>
    <s v="No Personal"/>
    <s v="Combo"/>
  </r>
  <r>
    <x v="1"/>
    <x v="6"/>
    <x v="0"/>
    <s v="MON312"/>
    <s v="Chop Suey Camaron Familiar"/>
    <n v="1"/>
    <n v="59900"/>
    <n v="0"/>
    <n v="33677"/>
    <n v="26223"/>
    <n v="0.43777963272120202"/>
    <n v="0"/>
    <s v="Platos mong"/>
    <s v="No Personal"/>
    <s v="Caja"/>
  </r>
  <r>
    <x v="1"/>
    <x v="6"/>
    <x v="0"/>
    <s v="BEB583"/>
    <s v="Sprite 400 Ml"/>
    <n v="1"/>
    <n v="4900"/>
    <n v="0"/>
    <n v="1330"/>
    <n v="3570"/>
    <n v="0.72857142857142854"/>
    <n v="0"/>
    <s v="Bebidas"/>
    <s v="Bebidas"/>
    <s v="Bebidas"/>
  </r>
  <r>
    <x v="1"/>
    <x v="6"/>
    <x v="0"/>
    <s v="MON322"/>
    <s v="Chop Suey Pollo familiar"/>
    <n v="1"/>
    <n v="50900"/>
    <n v="0"/>
    <n v="21117"/>
    <n v="29783"/>
    <n v="0.58512770137524561"/>
    <n v="0"/>
    <s v="Platos mong"/>
    <s v="No Personal"/>
    <s v="Caja"/>
  </r>
  <r>
    <x v="1"/>
    <x v="6"/>
    <x v="0"/>
    <s v="MON330"/>
    <s v="Chop Suey Vegetariano Personal"/>
    <n v="1"/>
    <n v="17900"/>
    <n v="0"/>
    <n v="5466"/>
    <n v="12434"/>
    <n v="0.69463687150837994"/>
    <n v="0"/>
    <s v="Platos mong"/>
    <s v="Personal"/>
    <s v="Caja"/>
  </r>
  <r>
    <x v="1"/>
    <x v="6"/>
    <x v="0"/>
    <s v="MON220"/>
    <s v="Chow Mein Pollo Personal"/>
    <n v="1"/>
    <n v="17900"/>
    <n v="0"/>
    <n v="7141"/>
    <n v="10759"/>
    <n v="0.60106145251396648"/>
    <n v="0"/>
    <s v="Platos mong"/>
    <s v="Personal"/>
    <s v="Caja"/>
  </r>
  <r>
    <x v="1"/>
    <x v="6"/>
    <x v="0"/>
    <s v="BEB600"/>
    <s v="Fuze te limón 1.2"/>
    <n v="1"/>
    <n v="8000"/>
    <n v="0"/>
    <n v="0"/>
    <n v="8000"/>
    <n v="1"/>
    <n v="0"/>
    <s v="Bebidas"/>
    <s v="Bebidas"/>
    <s v="Bebidas"/>
  </r>
  <r>
    <x v="1"/>
    <x v="6"/>
    <x v="0"/>
    <s v="ADIC568"/>
    <s v="Res brocoli"/>
    <n v="1"/>
    <n v="8900"/>
    <n v="0"/>
    <n v="0"/>
    <n v="8900"/>
    <n v="1"/>
    <n v="0"/>
    <s v="Adición"/>
    <s v="Adición"/>
    <s v="Adición"/>
  </r>
  <r>
    <x v="1"/>
    <x v="6"/>
    <x v="0"/>
    <s v="BEB615"/>
    <s v="Premio 400 Ml CB (*Extra)"/>
    <n v="1"/>
    <n v="1600"/>
    <n v="0"/>
    <n v="1895"/>
    <n v="-295"/>
    <n v="-0.18437500000000001"/>
    <n v="0"/>
    <s v="Bebidas"/>
    <s v="Bebidas Cambio de bebida"/>
    <s v="Bebidas"/>
  </r>
  <r>
    <x v="1"/>
    <x v="6"/>
    <x v="0"/>
    <s v="COMP04"/>
    <s v="COMBO 4 - arroz vegetales especial"/>
    <n v="1"/>
    <n v="28900"/>
    <n v="0"/>
    <n v="10247"/>
    <n v="18653"/>
    <n v="0.64543252595155709"/>
    <n v="0"/>
    <s v="Combos personales"/>
    <s v="Personal"/>
    <s v="Combo"/>
  </r>
  <r>
    <x v="1"/>
    <x v="7"/>
    <x v="1"/>
    <s v="COMP01"/>
    <s v="COMBO 1- Valenciano personal"/>
    <n v="224"/>
    <n v="5329700"/>
    <n v="-23900"/>
    <n v="2156448"/>
    <n v="3173252"/>
    <n v="0.59539035968253373"/>
    <n v="4.4843049327354259E-3"/>
    <s v="Combos personales"/>
    <s v="Personal"/>
    <s v="Combo"/>
  </r>
  <r>
    <x v="1"/>
    <x v="7"/>
    <x v="1"/>
    <s v="MON450"/>
    <s v="Arma tu plato"/>
    <n v="186"/>
    <n v="4581600"/>
    <n v="-49800"/>
    <n v="0"/>
    <n v="4581600"/>
    <n v="1"/>
    <n v="1.0869565217391304E-2"/>
    <s v="Arma tu plato"/>
    <s v="Personal"/>
    <s v="Caja"/>
  </r>
  <r>
    <x v="1"/>
    <x v="7"/>
    <x v="1"/>
    <s v="ATP01"/>
    <s v="Pollo a la naranja (*Extra)"/>
    <n v="107"/>
    <n v="0"/>
    <n v="0"/>
    <n v="587537"/>
    <n v="-587537"/>
    <n v="0"/>
    <n v="0"/>
    <s v="Arma tu plato"/>
    <s v="Personal"/>
    <s v="Caja"/>
  </r>
  <r>
    <x v="1"/>
    <x v="7"/>
    <x v="1"/>
    <s v="ATP10"/>
    <s v="Cerdo agridulce (*Extra)"/>
    <n v="95"/>
    <n v="0"/>
    <n v="0"/>
    <n v="519365"/>
    <n v="-519365"/>
    <n v="0"/>
    <n v="0"/>
    <s v="Arma tu plato"/>
    <s v="Personal"/>
    <s v="Caja"/>
  </r>
  <r>
    <x v="1"/>
    <x v="7"/>
    <x v="1"/>
    <s v="COMP02"/>
    <s v="COMBO 2 - Chow fan especial personal"/>
    <n v="86"/>
    <n v="2215400"/>
    <n v="-12000"/>
    <n v="817086"/>
    <n v="1398314"/>
    <n v="0.63117901959014178"/>
    <n v="5.4166290511871449E-3"/>
    <s v="Combos personales"/>
    <s v="Personal"/>
    <s v="Combo"/>
  </r>
  <r>
    <x v="1"/>
    <x v="7"/>
    <x v="1"/>
    <s v="ENT04"/>
    <s v="LUMPIAS X 2"/>
    <n v="85"/>
    <n v="756131"/>
    <n v="-369"/>
    <n v="266815"/>
    <n v="489316"/>
    <n v="0.64713125106628344"/>
    <n v="4.880106753988396E-4"/>
    <s v="Entradas"/>
    <s v="Otro"/>
    <s v="Otro"/>
  </r>
  <r>
    <x v="1"/>
    <x v="7"/>
    <x v="1"/>
    <s v="COMP05"/>
    <s v="COMBO 5 - Chow Mein especial personal"/>
    <n v="80"/>
    <n v="2310000"/>
    <n v="-2000"/>
    <n v="900240"/>
    <n v="1409760"/>
    <n v="0.61028571428571432"/>
    <n v="8.658008658008658E-4"/>
    <s v="Combos personales"/>
    <s v="Personal"/>
    <s v="Combo"/>
  </r>
  <r>
    <x v="1"/>
    <x v="7"/>
    <x v="1"/>
    <s v="COMP03"/>
    <s v="COMBO 3 - Chop suey especial personal"/>
    <n v="69"/>
    <n v="1994100"/>
    <n v="0"/>
    <n v="660330"/>
    <n v="1333770"/>
    <n v="0.66885813148788931"/>
    <n v="0"/>
    <s v="Combos personales"/>
    <s v="Personal"/>
    <s v="Combo"/>
  </r>
  <r>
    <x v="1"/>
    <x v="7"/>
    <x v="1"/>
    <s v="ATP09"/>
    <s v="Res brócoli (*Extra)"/>
    <n v="60"/>
    <n v="0"/>
    <n v="0"/>
    <n v="199320"/>
    <n v="-199320"/>
    <n v="0"/>
    <n v="0"/>
    <s v="Arma tu plato"/>
    <s v="Personal"/>
    <s v="Caja"/>
  </r>
  <r>
    <x v="1"/>
    <x v="7"/>
    <x v="1"/>
    <s v="ATP04"/>
    <s v="Chop suey (*Extra)"/>
    <n v="59"/>
    <n v="0"/>
    <n v="0"/>
    <n v="155406"/>
    <n v="-155406"/>
    <n v="0"/>
    <n v="0"/>
    <s v="Arma tu plato"/>
    <s v="Personal"/>
    <s v="Caja"/>
  </r>
  <r>
    <x v="1"/>
    <x v="7"/>
    <x v="1"/>
    <s v="ATP02"/>
    <s v="Camarones apanados 7 (*Extra)"/>
    <n v="58"/>
    <n v="114000"/>
    <n v="-2000"/>
    <n v="180264"/>
    <n v="-66264"/>
    <n v="-0.58126315789473681"/>
    <n v="1.7543859649122806E-2"/>
    <s v="Arma tu plato"/>
    <s v="Personal"/>
    <s v="Caja"/>
  </r>
  <r>
    <x v="1"/>
    <x v="7"/>
    <x v="1"/>
    <s v="BEB585"/>
    <s v="Agua Normal 600 Ml"/>
    <n v="49"/>
    <n v="239598"/>
    <n v="-502"/>
    <n v="53655"/>
    <n v="185943"/>
    <n v="0.77606240452758368"/>
    <n v="2.0951760866117415E-3"/>
    <s v="Bebidas"/>
    <s v="Bebidas"/>
    <s v="Bebidas"/>
  </r>
  <r>
    <x v="1"/>
    <x v="7"/>
    <x v="1"/>
    <s v="ATP06"/>
    <s v="Arroz Frito ATP (*Extra)"/>
    <n v="47"/>
    <n v="0"/>
    <n v="0"/>
    <n v="60254"/>
    <n v="-60254"/>
    <n v="0"/>
    <n v="0"/>
    <s v="Arma tu plato"/>
    <s v="Personal"/>
    <s v="Caja"/>
  </r>
  <r>
    <x v="1"/>
    <x v="7"/>
    <x v="1"/>
    <s v="ATP03"/>
    <s v="Arroz vegetales (*Extra)"/>
    <n v="46"/>
    <n v="90000"/>
    <n v="-2000"/>
    <n v="93610"/>
    <n v="-3610"/>
    <n v="-4.0111111111111111E-2"/>
    <n v="2.2222222222222223E-2"/>
    <s v="Arma tu plato"/>
    <s v="Personal"/>
    <s v="Caja"/>
  </r>
  <r>
    <x v="1"/>
    <x v="7"/>
    <x v="1"/>
    <s v="BEB581"/>
    <s v="Coca Cola 400 Ml Normal"/>
    <n v="45"/>
    <n v="265500"/>
    <n v="0"/>
    <n v="76275"/>
    <n v="189225"/>
    <n v="0.71271186440677969"/>
    <n v="0"/>
    <s v="Bebidas"/>
    <s v="Bebidas"/>
    <s v="Bebidas"/>
  </r>
  <r>
    <x v="1"/>
    <x v="7"/>
    <x v="1"/>
    <s v="PESP04"/>
    <s v="SUN KEE"/>
    <n v="40"/>
    <n v="1076000"/>
    <n v="0"/>
    <n v="545520"/>
    <n v="530480"/>
    <n v="0.4930111524163569"/>
    <n v="0"/>
    <s v="Platos especiales"/>
    <s v="Personal"/>
    <s v="Platos Especiales"/>
  </r>
  <r>
    <x v="1"/>
    <x v="7"/>
    <x v="1"/>
    <s v="BEB620"/>
    <s v="Agua 280 ml CB (*Extra)"/>
    <n v="37"/>
    <n v="0"/>
    <n v="0"/>
    <n v="32116"/>
    <n v="-32116"/>
    <n v="0"/>
    <n v="0"/>
    <s v="Bebidas"/>
    <s v="Bebidas Cambio de bebida"/>
    <s v="Bebidas"/>
  </r>
  <r>
    <x v="1"/>
    <x v="7"/>
    <x v="1"/>
    <s v="ATP05"/>
    <s v="Chow mein (*Extra)"/>
    <n v="34"/>
    <n v="0"/>
    <n v="0"/>
    <n v="105298"/>
    <n v="-105298"/>
    <n v="0"/>
    <n v="0"/>
    <s v="Arma tu plato"/>
    <s v="Personal"/>
    <s v="Caja"/>
  </r>
  <r>
    <x v="1"/>
    <x v="7"/>
    <x v="1"/>
    <s v="COMP10"/>
    <s v="COMBO - Lumpia y Coca Cola 250 ml"/>
    <n v="30"/>
    <n v="237000"/>
    <n v="0"/>
    <n v="0"/>
    <n v="237000"/>
    <n v="1"/>
    <n v="0"/>
    <s v="Armalo en combo"/>
    <s v="Personal"/>
    <s v="Combo"/>
  </r>
  <r>
    <x v="1"/>
    <x v="7"/>
    <x v="1"/>
    <s v="MONE701"/>
    <s v="Mong Express Chow fan"/>
    <n v="30"/>
    <n v="568645"/>
    <n v="-28355"/>
    <n v="0"/>
    <n v="568645"/>
    <n v="1"/>
    <n v="4.9864150744313239E-2"/>
    <s v="Mong Express"/>
    <s v="Personal"/>
    <s v="Caja"/>
  </r>
  <r>
    <x v="1"/>
    <x v="7"/>
    <x v="1"/>
    <s v="BEB580"/>
    <s v="Coca Cola 250 Ml Normal"/>
    <n v="26"/>
    <n v="100703"/>
    <n v="-697"/>
    <n v="30238"/>
    <n v="70465"/>
    <n v="0.69973089183043202"/>
    <n v="6.9213429589982424E-3"/>
    <s v="Bebidas"/>
    <s v="Bebidas"/>
    <s v="Bebidas"/>
  </r>
  <r>
    <x v="1"/>
    <x v="7"/>
    <x v="1"/>
    <s v="ATP08"/>
    <s v="Pollo Apanado ATP (*Extra)"/>
    <n v="25"/>
    <n v="0"/>
    <n v="0"/>
    <n v="131575"/>
    <n v="-131575"/>
    <n v="0"/>
    <n v="0"/>
    <s v="Arma tu plato"/>
    <s v="Personal"/>
    <s v="Caja"/>
  </r>
  <r>
    <x v="1"/>
    <x v="7"/>
    <x v="1"/>
    <s v="BEB01"/>
    <s v="Coca Cola 250 Ml Normal CB (*Extra)"/>
    <n v="23"/>
    <n v="23000"/>
    <n v="0"/>
    <n v="44735"/>
    <n v="-21735"/>
    <n v="-0.94499999999999995"/>
    <n v="0"/>
    <s v="Bebidas"/>
    <s v="Bebidas Cambio de bebida"/>
    <s v="Bebidas"/>
  </r>
  <r>
    <x v="1"/>
    <x v="7"/>
    <x v="1"/>
    <s v="PESP02"/>
    <s v="MONG"/>
    <n v="22"/>
    <n v="543352"/>
    <n v="-4448"/>
    <n v="279796"/>
    <n v="263556"/>
    <n v="0.48505572814676307"/>
    <n v="8.186221823053931E-3"/>
    <s v="Platos especiales"/>
    <s v="Personal"/>
    <s v="Platos Especiales"/>
  </r>
  <r>
    <x v="1"/>
    <x v="7"/>
    <x v="1"/>
    <s v="BEB592"/>
    <s v="Coca Cola 400 Ml Zero"/>
    <n v="21"/>
    <n v="123900"/>
    <n v="0"/>
    <n v="30408"/>
    <n v="93492"/>
    <n v="0.75457627118644066"/>
    <n v="0"/>
    <s v="Bebidas"/>
    <s v="Bebidas"/>
    <s v="Bebidas"/>
  </r>
  <r>
    <x v="1"/>
    <x v="7"/>
    <x v="1"/>
    <s v="BEB584"/>
    <s v="Quatro 400 Ml"/>
    <n v="21"/>
    <n v="102429"/>
    <n v="-471"/>
    <n v="27930"/>
    <n v="74499"/>
    <n v="0.72732331663884253"/>
    <n v="4.5983071200538907E-3"/>
    <s v="Bebidas"/>
    <s v="Bebidas"/>
    <s v="Bebidas"/>
  </r>
  <r>
    <x v="1"/>
    <x v="7"/>
    <x v="1"/>
    <s v="BEB588"/>
    <s v="Fusetea Limon"/>
    <n v="20"/>
    <n v="98000"/>
    <n v="0"/>
    <n v="31200"/>
    <n v="66800"/>
    <n v="0.68163265306122445"/>
    <n v="0"/>
    <s v="Bebidas"/>
    <s v="Bebidas"/>
    <s v="Bebidas"/>
  </r>
  <r>
    <x v="1"/>
    <x v="7"/>
    <x v="1"/>
    <s v="MON120"/>
    <s v="Chow Fan Pollo Personal"/>
    <n v="20"/>
    <n v="316471"/>
    <n v="-1529"/>
    <n v="121280"/>
    <n v="195191"/>
    <n v="0.61677373282228076"/>
    <n v="4.8314063531887594E-3"/>
    <s v="Platos mong"/>
    <s v="Personal"/>
    <s v="Caja"/>
  </r>
  <r>
    <x v="1"/>
    <x v="7"/>
    <x v="1"/>
    <s v="ADIC563"/>
    <s v="Adición Arroz Frito"/>
    <n v="20"/>
    <n v="110409"/>
    <n v="-7591"/>
    <n v="25640"/>
    <n v="84769"/>
    <n v="0.7677725547736145"/>
    <n v="6.8753453069949011E-2"/>
    <s v="Adición"/>
    <s v="Adición"/>
    <s v="Adición"/>
  </r>
  <r>
    <x v="1"/>
    <x v="7"/>
    <x v="1"/>
    <s v="PESP03"/>
    <s v="LING"/>
    <n v="19"/>
    <n v="511100"/>
    <n v="0"/>
    <n v="257773"/>
    <n v="253327"/>
    <n v="0.49565055762081783"/>
    <n v="0"/>
    <s v="Platos especiales"/>
    <s v="Personal"/>
    <s v="Platos Especiales"/>
  </r>
  <r>
    <x v="1"/>
    <x v="7"/>
    <x v="1"/>
    <s v="MONE700"/>
    <s v="Mong Express Chop suey pollo"/>
    <n v="19"/>
    <n v="358300"/>
    <n v="-19800"/>
    <n v="155477"/>
    <n v="202823"/>
    <n v="0.56607033212391855"/>
    <n v="5.5260954507396036E-2"/>
    <s v="Mong Express"/>
    <s v="Personal"/>
    <s v="Caja"/>
  </r>
  <r>
    <x v="1"/>
    <x v="7"/>
    <x v="1"/>
    <s v="ATP07"/>
    <s v="Pollo presa ATP (*Extra)"/>
    <n v="18"/>
    <n v="0"/>
    <n v="0"/>
    <n v="51282"/>
    <n v="-51282"/>
    <n v="0"/>
    <n v="0"/>
    <s v="Arma tu plato"/>
    <s v="Personal"/>
    <s v="Caja"/>
  </r>
  <r>
    <x v="1"/>
    <x v="7"/>
    <x v="1"/>
    <s v="ENT02"/>
    <s v="LUMPIA X 1"/>
    <n v="18"/>
    <n v="90000"/>
    <n v="0"/>
    <n v="28242"/>
    <n v="61758"/>
    <n v="0.68620000000000003"/>
    <n v="0"/>
    <s v="Entradas"/>
    <s v="Otro"/>
    <s v="Otro"/>
  </r>
  <r>
    <x v="1"/>
    <x v="7"/>
    <x v="1"/>
    <s v="MON100"/>
    <s v="Chow Fan Especial Personal"/>
    <n v="17"/>
    <n v="336300"/>
    <n v="-2000"/>
    <n v="115056"/>
    <n v="221244"/>
    <n v="0.65787689562890272"/>
    <n v="5.947071067499257E-3"/>
    <s v="Platos mong"/>
    <s v="Personal"/>
    <s v="Caja"/>
  </r>
  <r>
    <x v="1"/>
    <x v="7"/>
    <x v="1"/>
    <s v="MON500"/>
    <s v="Arroz vegetales especial personal"/>
    <n v="17"/>
    <n v="389300"/>
    <n v="0"/>
    <n v="127738"/>
    <n v="261562"/>
    <n v="0.67187772925764189"/>
    <n v="0"/>
    <s v="Platos mong"/>
    <s v="Personal"/>
    <s v="Caja"/>
  </r>
  <r>
    <x v="1"/>
    <x v="7"/>
    <x v="1"/>
    <s v="BEB593"/>
    <s v="Coca Cola 250 Ml Zero"/>
    <n v="17"/>
    <n v="66300"/>
    <n v="0"/>
    <n v="21947"/>
    <n v="44353"/>
    <n v="0.66897435897435897"/>
    <n v="0"/>
    <s v="Bebidas"/>
    <s v="Bebidas"/>
    <s v="Bebidas"/>
  </r>
  <r>
    <x v="1"/>
    <x v="7"/>
    <x v="1"/>
    <s v="PESP05"/>
    <s v="WONG- Menú infantil"/>
    <n v="16"/>
    <n v="236600"/>
    <n v="-33800"/>
    <n v="114000"/>
    <n v="122600"/>
    <n v="0.51817413355874897"/>
    <n v="0.14285714285714285"/>
    <s v="Platos especiales"/>
    <s v="Personal"/>
    <s v="Platos Especiales"/>
  </r>
  <r>
    <x v="1"/>
    <x v="7"/>
    <x v="1"/>
    <s v="BEB595"/>
    <s v="Agua Manzana 600 Ml"/>
    <n v="16"/>
    <n v="78400"/>
    <n v="0"/>
    <n v="21968"/>
    <n v="56432"/>
    <n v="0.71979591836734691"/>
    <n v="0"/>
    <s v="Bebidas"/>
    <s v="Bebidas"/>
    <s v="Bebidas"/>
  </r>
  <r>
    <x v="1"/>
    <x v="7"/>
    <x v="1"/>
    <s v="COMP04"/>
    <s v="COMBO 4 - arroz vegetales especial"/>
    <n v="16"/>
    <n v="462400"/>
    <n v="0"/>
    <n v="163952"/>
    <n v="298448"/>
    <n v="0.64543252595155709"/>
    <n v="0"/>
    <s v="Combos personales"/>
    <s v="Personal"/>
    <s v="Combo"/>
  </r>
  <r>
    <x v="1"/>
    <x v="7"/>
    <x v="1"/>
    <s v="ENT03"/>
    <s v="CAMARONES APANADOS"/>
    <n v="16"/>
    <n v="269646"/>
    <n v="-754"/>
    <n v="99440"/>
    <n v="170206"/>
    <n v="0.6312201924004065"/>
    <n v="2.7962587985729437E-3"/>
    <s v="Entradas"/>
    <s v="Otro"/>
    <s v="Otro"/>
  </r>
  <r>
    <x v="1"/>
    <x v="7"/>
    <x v="1"/>
    <s v="ADIC560"/>
    <s v="Adición Papa frita"/>
    <n v="15"/>
    <n v="88500"/>
    <n v="0"/>
    <n v="61470"/>
    <n v="27030"/>
    <n v="0.30542372881355934"/>
    <n v="0"/>
    <s v="Adición"/>
    <s v="Adición"/>
    <s v="Adición"/>
  </r>
  <r>
    <x v="1"/>
    <x v="7"/>
    <x v="1"/>
    <s v="COMC02"/>
    <s v="COMBO AMIGOS"/>
    <n v="12"/>
    <n v="718800"/>
    <n v="0"/>
    <n v="283656"/>
    <n v="435144"/>
    <n v="0.60537562604340567"/>
    <n v="0"/>
    <s v="Combos para compartir"/>
    <s v="No Personal"/>
    <s v="Combo"/>
  </r>
  <r>
    <x v="1"/>
    <x v="7"/>
    <x v="1"/>
    <s v="MON130"/>
    <s v="Chow Fan Valenciano Personal"/>
    <n v="12"/>
    <n v="260800"/>
    <n v="-2000"/>
    <n v="101568"/>
    <n v="159232"/>
    <n v="0.61055214723926376"/>
    <n v="7.6687116564417178E-3"/>
    <s v="Platos mong"/>
    <s v="Personal"/>
    <s v="Caja"/>
  </r>
  <r>
    <x v="1"/>
    <x v="7"/>
    <x v="1"/>
    <s v="ADIC565"/>
    <s v="Adición Camaron"/>
    <n v="12"/>
    <n v="82800"/>
    <n v="0"/>
    <n v="37296"/>
    <n v="45504"/>
    <n v="0.54956521739130437"/>
    <n v="0"/>
    <s v="Adición"/>
    <s v="Adición"/>
    <s v="Adición"/>
  </r>
  <r>
    <x v="1"/>
    <x v="7"/>
    <x v="1"/>
    <s v="BEB583"/>
    <s v="Sprite 400 Ml"/>
    <n v="11"/>
    <n v="53900"/>
    <n v="0"/>
    <n v="14630"/>
    <n v="39270"/>
    <n v="0.72857142857142854"/>
    <n v="0"/>
    <s v="Bebidas"/>
    <s v="Bebidas"/>
    <s v="Bebidas"/>
  </r>
  <r>
    <x v="1"/>
    <x v="7"/>
    <x v="1"/>
    <s v="BEB587"/>
    <s v="Agua Limón 600 Ml"/>
    <n v="11"/>
    <n v="53900"/>
    <n v="0"/>
    <n v="15103"/>
    <n v="38797"/>
    <n v="0.71979591836734691"/>
    <n v="0"/>
    <s v="Bebidas"/>
    <s v="Bebidas"/>
    <s v="Bebidas"/>
  </r>
  <r>
    <x v="1"/>
    <x v="7"/>
    <x v="1"/>
    <s v="COMC04"/>
    <s v="COMBO FAMIAMIGOS"/>
    <n v="11"/>
    <n v="903409"/>
    <n v="-8491"/>
    <n v="431431"/>
    <n v="471978"/>
    <n v="0.5224411091764638"/>
    <n v="9.3988437130911907E-3"/>
    <s v="Combos para compartir"/>
    <s v="No Personal"/>
    <s v="Combo"/>
  </r>
  <r>
    <x v="1"/>
    <x v="7"/>
    <x v="1"/>
    <s v="BEB589"/>
    <s v="Fusetea Durazno"/>
    <n v="10"/>
    <n v="49000"/>
    <n v="0"/>
    <n v="15600"/>
    <n v="33400"/>
    <n v="0.68163265306122445"/>
    <n v="0"/>
    <s v="Bebidas"/>
    <s v="Bebidas"/>
    <s v="Bebidas"/>
  </r>
  <r>
    <x v="1"/>
    <x v="7"/>
    <x v="1"/>
    <s v="BEB586"/>
    <s v="Agua Gas 600 Ml"/>
    <n v="10"/>
    <n v="49000"/>
    <n v="0"/>
    <n v="12880"/>
    <n v="36120"/>
    <n v="0.7371428571428571"/>
    <n v="0"/>
    <s v="Bebidas"/>
    <s v="Bebidas"/>
    <s v="Bebidas"/>
  </r>
  <r>
    <x v="1"/>
    <x v="7"/>
    <x v="1"/>
    <s v="MON101"/>
    <s v="Chow fan especial trio"/>
    <n v="10"/>
    <n v="469000"/>
    <n v="0"/>
    <n v="200530"/>
    <n v="268470"/>
    <n v="0.57243070362473347"/>
    <n v="0"/>
    <s v="Platos mong"/>
    <s v="No Personal"/>
    <s v="Platos Especiales"/>
  </r>
  <r>
    <x v="1"/>
    <x v="7"/>
    <x v="1"/>
    <s v="COMP08"/>
    <s v="COMBO - Papas 120 grs y Coca Cola 250 ml"/>
    <n v="10"/>
    <n v="79000"/>
    <n v="0"/>
    <n v="32120"/>
    <n v="46880"/>
    <n v="0.59341772151898731"/>
    <n v="0"/>
    <s v="Armalo en combo"/>
    <s v="Personal"/>
    <s v="Combo"/>
  </r>
  <r>
    <x v="1"/>
    <x v="7"/>
    <x v="1"/>
    <s v="PESP01"/>
    <s v="MING"/>
    <n v="10"/>
    <n v="260100"/>
    <n v="-28900"/>
    <n v="76050"/>
    <n v="184050"/>
    <n v="0.70761245674740481"/>
    <n v="0.1111111111111111"/>
    <s v="Platos especiales"/>
    <s v="Personal"/>
    <s v="Platos Especiales"/>
  </r>
  <r>
    <x v="1"/>
    <x v="7"/>
    <x v="1"/>
    <s v="BEB598"/>
    <s v="Coca Cola 1,5 litros"/>
    <n v="10"/>
    <n v="99000"/>
    <n v="0"/>
    <n v="45010"/>
    <n v="53990"/>
    <n v="0.54535353535353537"/>
    <n v="0"/>
    <s v="Bebidas"/>
    <s v="Bebidas"/>
    <s v="Bebidas"/>
  </r>
  <r>
    <x v="1"/>
    <x v="7"/>
    <x v="1"/>
    <s v="BEB599"/>
    <s v="Agua 280 ml"/>
    <n v="9"/>
    <n v="31500"/>
    <n v="0"/>
    <n v="7812"/>
    <n v="23688"/>
    <n v="0.752"/>
    <n v="0"/>
    <s v="Bebidas"/>
    <s v="Bebidas"/>
    <s v="Bebidas"/>
  </r>
  <r>
    <x v="1"/>
    <x v="7"/>
    <x v="1"/>
    <s v="ADIC566"/>
    <s v="Pollo a la naranja"/>
    <n v="8"/>
    <n v="63200"/>
    <n v="0"/>
    <n v="0"/>
    <n v="63200"/>
    <n v="1"/>
    <n v="0"/>
    <s v="Adición"/>
    <s v="Adición"/>
    <s v="Adición"/>
  </r>
  <r>
    <x v="1"/>
    <x v="7"/>
    <x v="1"/>
    <s v="ADIC564"/>
    <s v="Adición Presa de pollo"/>
    <n v="8"/>
    <n v="52984"/>
    <n v="-2216"/>
    <n v="19712"/>
    <n v="33272"/>
    <n v="0.62796315868941566"/>
    <n v="4.182394685187981E-2"/>
    <s v="Adición"/>
    <s v="Adición"/>
    <s v="Adición"/>
  </r>
  <r>
    <x v="1"/>
    <x v="7"/>
    <x v="1"/>
    <s v="BEB591"/>
    <s v="Jugo del valle naranja"/>
    <n v="7"/>
    <n v="34300"/>
    <n v="0"/>
    <n v="10920"/>
    <n v="23380"/>
    <n v="0.68163265306122445"/>
    <n v="0"/>
    <s v="Bebidas"/>
    <s v="Bebidas"/>
    <s v="Bebidas"/>
  </r>
  <r>
    <x v="1"/>
    <x v="7"/>
    <x v="1"/>
    <s v="BEB582"/>
    <s v="Kola Roman 400 Ml"/>
    <n v="7"/>
    <n v="34300"/>
    <n v="0"/>
    <n v="9310"/>
    <n v="24990"/>
    <n v="0.72857142857142854"/>
    <n v="0"/>
    <s v="Bebidas"/>
    <s v="Bebidas"/>
    <s v="Bebidas"/>
  </r>
  <r>
    <x v="1"/>
    <x v="7"/>
    <x v="1"/>
    <s v="BEB601"/>
    <s v="Coca Cola 400 Ml Normal CB (*Extra)"/>
    <n v="7"/>
    <n v="16100"/>
    <n v="0"/>
    <n v="15645"/>
    <n v="455"/>
    <n v="2.8260869565217391E-2"/>
    <n v="0"/>
    <s v="Bebidas"/>
    <s v="Bebidas Cambio de bebida"/>
    <s v="Bebidas"/>
  </r>
  <r>
    <x v="1"/>
    <x v="7"/>
    <x v="1"/>
    <s v="MON102"/>
    <s v="Chow Fan Especial familiar"/>
    <n v="6"/>
    <n v="401400"/>
    <n v="0"/>
    <n v="194106"/>
    <n v="207294"/>
    <n v="0.51642750373692081"/>
    <n v="0"/>
    <s v="Platos mong"/>
    <s v="No Personal"/>
    <s v="Caja"/>
  </r>
  <r>
    <x v="1"/>
    <x v="7"/>
    <x v="1"/>
    <s v="MON300"/>
    <s v="Chop suey especial personal"/>
    <n v="6"/>
    <n v="125400"/>
    <n v="0"/>
    <n v="41028"/>
    <n v="84372"/>
    <n v="0.67282296650717699"/>
    <n v="0"/>
    <s v="Platos mong"/>
    <s v="Personal"/>
    <s v="Caja"/>
  </r>
  <r>
    <x v="1"/>
    <x v="7"/>
    <x v="1"/>
    <s v="MON110"/>
    <s v="Chow Fan Camarones Personal"/>
    <n v="6"/>
    <n v="137400"/>
    <n v="0"/>
    <n v="56424"/>
    <n v="80976"/>
    <n v="0.58934497816593889"/>
    <n v="0"/>
    <s v="Platos mong"/>
    <s v="Personal"/>
    <s v="Caja"/>
  </r>
  <r>
    <x v="1"/>
    <x v="7"/>
    <x v="1"/>
    <s v="MON200"/>
    <s v="Chow Mein Especial Personal"/>
    <n v="6"/>
    <n v="125400"/>
    <n v="0"/>
    <n v="51126"/>
    <n v="74274"/>
    <n v="0.59229665071770332"/>
    <n v="0"/>
    <s v="Platos mong"/>
    <s v="Personal"/>
    <s v="Caja"/>
  </r>
  <r>
    <x v="1"/>
    <x v="7"/>
    <x v="1"/>
    <s v="COMC06"/>
    <s v="COMBO FAMILIAR"/>
    <n v="6"/>
    <n v="581400"/>
    <n v="0"/>
    <n v="280680"/>
    <n v="300720"/>
    <n v="0.51723426212590295"/>
    <n v="0"/>
    <s v="Combos para compartir"/>
    <s v="No Personal"/>
    <s v="Combo"/>
  </r>
  <r>
    <x v="1"/>
    <x v="7"/>
    <x v="1"/>
    <s v="MON301"/>
    <s v="Chop Suey Especial trio"/>
    <n v="5"/>
    <n v="234500"/>
    <n v="0"/>
    <n v="56660"/>
    <n v="177840"/>
    <n v="0.7583795309168444"/>
    <n v="0"/>
    <s v="Platos mong"/>
    <s v="No Personal"/>
    <s v="Caja"/>
  </r>
  <r>
    <x v="1"/>
    <x v="7"/>
    <x v="1"/>
    <s v="MON131"/>
    <s v="Chow Fan Valenciano trio"/>
    <n v="5"/>
    <n v="294500"/>
    <n v="0"/>
    <n v="94090"/>
    <n v="200410"/>
    <n v="0.68050933786078094"/>
    <n v="0"/>
    <s v="Platos mong"/>
    <s v="No Personal"/>
    <s v="Caja"/>
  </r>
  <r>
    <x v="1"/>
    <x v="7"/>
    <x v="1"/>
    <s v="MON330"/>
    <s v="Chop Suey Vegetariano Personal"/>
    <n v="5"/>
    <n v="89500"/>
    <n v="0"/>
    <n v="27330"/>
    <n v="62170"/>
    <n v="0.69463687150837994"/>
    <n v="0"/>
    <s v="Platos mong"/>
    <s v="Personal"/>
    <s v="Caja"/>
  </r>
  <r>
    <x v="1"/>
    <x v="7"/>
    <x v="1"/>
    <s v="COMP11"/>
    <s v="COMBO - Lumpia y agua 280 ML"/>
    <n v="4"/>
    <n v="31600"/>
    <n v="0"/>
    <n v="0"/>
    <n v="31600"/>
    <n v="1"/>
    <n v="0"/>
    <s v="Armalo en combo"/>
    <s v="Personal"/>
    <s v="Combo"/>
  </r>
  <r>
    <x v="1"/>
    <x v="7"/>
    <x v="1"/>
    <s v="BEB602"/>
    <s v="Kola Roman 400 Ml CB (*Extra)"/>
    <n v="4"/>
    <n v="6400"/>
    <n v="0"/>
    <n v="8940"/>
    <n v="-2540"/>
    <n v="-0.39687499999999998"/>
    <n v="0"/>
    <s v="Bebidas"/>
    <s v="Bebidas Cambio de bebida"/>
    <s v="Bebidas"/>
  </r>
  <r>
    <x v="1"/>
    <x v="7"/>
    <x v="1"/>
    <s v="BEB608"/>
    <s v="Agua Limón 600 Ml CB (*Extra)"/>
    <n v="4"/>
    <n v="6400"/>
    <n v="0"/>
    <n v="6844"/>
    <n v="-444"/>
    <n v="-6.9375000000000006E-2"/>
    <n v="0"/>
    <s v="Bebidas"/>
    <s v="Bebidas Cambio de bebida"/>
    <s v="Bebidas"/>
  </r>
  <r>
    <x v="1"/>
    <x v="7"/>
    <x v="1"/>
    <s v="MON320"/>
    <s v="Chop Suey Pollo Personal"/>
    <n v="4"/>
    <n v="75600"/>
    <n v="0"/>
    <n v="21844"/>
    <n v="53756"/>
    <n v="0.71105820105820106"/>
    <n v="0"/>
    <s v="Platos mong"/>
    <s v="Personal"/>
    <s v="Caja"/>
  </r>
  <r>
    <x v="1"/>
    <x v="7"/>
    <x v="1"/>
    <s v="BEB597"/>
    <s v="Fusetea manzana"/>
    <n v="4"/>
    <n v="19498"/>
    <n v="-102"/>
    <n v="6240"/>
    <n v="13258"/>
    <n v="0.67996717612062774"/>
    <n v="5.2313057749512771E-3"/>
    <s v="Bebidas"/>
    <s v="Bebidas"/>
    <s v="Bebidas"/>
  </r>
  <r>
    <x v="1"/>
    <x v="7"/>
    <x v="1"/>
    <s v="CAM03"/>
    <s v="Cambio Papas a la francesa 150 grs (*Extra)"/>
    <n v="4"/>
    <n v="2000"/>
    <n v="0"/>
    <n v="6276"/>
    <n v="-4276"/>
    <n v="-2.1379999999999999"/>
    <n v="0"/>
    <s v="Adición"/>
    <s v="Otro"/>
    <s v="Otro"/>
  </r>
  <r>
    <x v="1"/>
    <x v="7"/>
    <x v="1"/>
    <s v="BEB594"/>
    <s v="Premio 400 Ml"/>
    <n v="3"/>
    <n v="14700"/>
    <n v="0"/>
    <n v="3990"/>
    <n v="10710"/>
    <n v="0.72857142857142854"/>
    <n v="0"/>
    <s v="Bebidas"/>
    <s v="Bebidas"/>
    <s v="Bebidas"/>
  </r>
  <r>
    <x v="1"/>
    <x v="7"/>
    <x v="1"/>
    <s v="MON121"/>
    <s v="Chow Fan Pollo trio"/>
    <n v="3"/>
    <n v="119700"/>
    <n v="0"/>
    <n v="42693"/>
    <n v="77007"/>
    <n v="0.64333333333333331"/>
    <n v="0"/>
    <s v="Platos mong"/>
    <s v="No Personal"/>
    <s v="Caja"/>
  </r>
  <r>
    <x v="1"/>
    <x v="7"/>
    <x v="1"/>
    <s v="BEB596"/>
    <s v="Fusetea mango"/>
    <n v="3"/>
    <n v="14700"/>
    <n v="0"/>
    <n v="5688"/>
    <n v="9012"/>
    <n v="0.61306122448979594"/>
    <n v="0"/>
    <s v="Bebidas"/>
    <s v="Bebidas"/>
    <s v="Bebidas"/>
  </r>
  <r>
    <x v="1"/>
    <x v="7"/>
    <x v="1"/>
    <s v="BEB607"/>
    <s v="Agua Gas 600 Ml CB (*Extra)"/>
    <n v="3"/>
    <n v="4800"/>
    <n v="0"/>
    <n v="4830"/>
    <n v="-30"/>
    <n v="-6.2500000000000003E-3"/>
    <n v="0"/>
    <s v="Bebidas"/>
    <s v="Bebidas Cambio de bebida"/>
    <s v="Bebidas"/>
  </r>
  <r>
    <x v="1"/>
    <x v="7"/>
    <x v="1"/>
    <s v="MON220"/>
    <s v="Chow Mein Pollo Personal"/>
    <n v="3"/>
    <n v="53700"/>
    <n v="0"/>
    <n v="21423"/>
    <n v="32277"/>
    <n v="0.60106145251396648"/>
    <n v="0"/>
    <s v="Platos mong"/>
    <s v="Personal"/>
    <s v="Caja"/>
  </r>
  <r>
    <x v="1"/>
    <x v="7"/>
    <x v="1"/>
    <s v="ENT01"/>
    <s v="Deditos de Pollo"/>
    <n v="3"/>
    <n v="31571"/>
    <n v="-16129"/>
    <n v="30084"/>
    <n v="1487"/>
    <n v="4.7100186880364894E-2"/>
    <n v="0.51088023819327866"/>
    <s v="Entradas"/>
    <s v="Otro"/>
    <s v="Otro"/>
  </r>
  <r>
    <x v="1"/>
    <x v="7"/>
    <x v="1"/>
    <s v="ADIC490"/>
    <s v="Adicion - Pollo en trozos"/>
    <n v="3"/>
    <n v="20700"/>
    <n v="0"/>
    <n v="6735"/>
    <n v="13965"/>
    <n v="0.67463768115942024"/>
    <n v="0"/>
    <s v="Adición"/>
    <s v="Adición"/>
    <s v="Adición"/>
  </r>
  <r>
    <x v="1"/>
    <x v="7"/>
    <x v="1"/>
    <s v="BEB600"/>
    <s v="Fuze te limón 1.2"/>
    <n v="3"/>
    <n v="24000"/>
    <n v="0"/>
    <n v="0"/>
    <n v="24000"/>
    <n v="1"/>
    <n v="0"/>
    <s v="Bebidas"/>
    <s v="Bebidas"/>
    <s v="Bebidas"/>
  </r>
  <r>
    <x v="1"/>
    <x v="7"/>
    <x v="1"/>
    <s v="COMC07"/>
    <s v="COMBO ANTOJO"/>
    <n v="2"/>
    <n v="41800"/>
    <n v="0"/>
    <n v="15946"/>
    <n v="25854"/>
    <n v="0.61851674641148324"/>
    <n v="0"/>
    <s v="Combos para compartir"/>
    <s v="No Personal"/>
    <s v="Combo"/>
  </r>
  <r>
    <x v="1"/>
    <x v="7"/>
    <x v="1"/>
    <s v="MONFIT"/>
    <s v="Mong fit"/>
    <n v="2"/>
    <n v="23800"/>
    <n v="0"/>
    <n v="0"/>
    <n v="23800"/>
    <n v="1"/>
    <n v="0"/>
    <s v="Platos especiales"/>
    <s v="Personal"/>
    <s v="Platos Especiales"/>
  </r>
  <r>
    <x v="1"/>
    <x v="7"/>
    <x v="1"/>
    <s v="ADIC562"/>
    <s v="Adición Pasta"/>
    <n v="2"/>
    <n v="9800"/>
    <n v="0"/>
    <n v="6020"/>
    <n v="3780"/>
    <n v="0.38571428571428573"/>
    <n v="0"/>
    <s v="Adición"/>
    <s v="Adición"/>
    <s v="Adición"/>
  </r>
  <r>
    <x v="1"/>
    <x v="7"/>
    <x v="1"/>
    <s v="BEB604"/>
    <s v="Sprite 400 Ml CB (*Extra)"/>
    <n v="2"/>
    <n v="3200"/>
    <n v="0"/>
    <n v="3032"/>
    <n v="168"/>
    <n v="5.2499999999999998E-2"/>
    <n v="0"/>
    <s v="Bebidas"/>
    <s v="Bebidas Cambio de bebida"/>
    <s v="Bebidas"/>
  </r>
  <r>
    <x v="1"/>
    <x v="7"/>
    <x v="1"/>
    <s v="BEB618"/>
    <s v="Fusetea manzana CB (*Extra)"/>
    <n v="2"/>
    <n v="3200"/>
    <n v="0"/>
    <n v="3792"/>
    <n v="-592"/>
    <n v="-0.185"/>
    <n v="0"/>
    <s v="Bebidas"/>
    <s v="Bebidas Cambio de bebida"/>
    <s v="Bebidas"/>
  </r>
  <r>
    <x v="1"/>
    <x v="7"/>
    <x v="1"/>
    <s v="ADIC561"/>
    <s v="Adición Vegetales"/>
    <n v="2"/>
    <n v="13800"/>
    <n v="0"/>
    <n v="1378"/>
    <n v="12422"/>
    <n v="0.90014492753623188"/>
    <n v="0"/>
    <s v="Adición"/>
    <s v="Adición"/>
    <s v="Adición"/>
  </r>
  <r>
    <x v="1"/>
    <x v="7"/>
    <x v="1"/>
    <s v="MON201"/>
    <s v="Chow Mein Especial trio"/>
    <n v="2"/>
    <n v="91800"/>
    <n v="0"/>
    <n v="38882"/>
    <n v="52918"/>
    <n v="0.57644880174291935"/>
    <n v="0"/>
    <s v="Platos mong"/>
    <s v="No Personal"/>
    <s v="Caja"/>
  </r>
  <r>
    <x v="1"/>
    <x v="7"/>
    <x v="1"/>
    <s v="MON221"/>
    <s v="Chow Mein Pollo trio"/>
    <n v="2"/>
    <n v="79800"/>
    <n v="0"/>
    <n v="31790"/>
    <n v="48010"/>
    <n v="0.60162907268170429"/>
    <n v="0"/>
    <s v="Platos mong"/>
    <s v="No Personal"/>
    <s v="Caja"/>
  </r>
  <r>
    <x v="1"/>
    <x v="7"/>
    <x v="1"/>
    <s v="MON210"/>
    <s v="Chow Mein Camaron Personal"/>
    <n v="2"/>
    <n v="48800"/>
    <n v="-1000"/>
    <n v="20962"/>
    <n v="27838"/>
    <n v="0.57045081967213118"/>
    <n v="2.0491803278688523E-2"/>
    <s v="Platos mong"/>
    <s v="Personal"/>
    <s v="Caja"/>
  </r>
  <r>
    <x v="1"/>
    <x v="7"/>
    <x v="1"/>
    <s v="MON321"/>
    <s v="Chop Suey Pollo trio"/>
    <n v="2"/>
    <n v="83800"/>
    <n v="0"/>
    <n v="22434"/>
    <n v="61366"/>
    <n v="0.73229116945107398"/>
    <n v="0"/>
    <s v="Platos mong"/>
    <s v="No Personal"/>
    <s v="Caja"/>
  </r>
  <r>
    <x v="1"/>
    <x v="7"/>
    <x v="1"/>
    <s v="MON302"/>
    <s v="Chop Suey Especial Familiar"/>
    <n v="2"/>
    <n v="155800"/>
    <n v="0"/>
    <n v="56114"/>
    <n v="99686"/>
    <n v="0.63983311938382537"/>
    <n v="0"/>
    <s v="Platos mong"/>
    <s v="No Personal"/>
    <s v="Caja"/>
  </r>
  <r>
    <x v="1"/>
    <x v="7"/>
    <x v="1"/>
    <s v="BEB590"/>
    <s v="Jugo Del Valle Mandarina"/>
    <n v="2"/>
    <n v="9800"/>
    <n v="0"/>
    <n v="3120"/>
    <n v="6680"/>
    <n v="0.68163265306122445"/>
    <n v="0"/>
    <s v="Bebidas"/>
    <s v="Bebidas"/>
    <s v="Bebidas"/>
  </r>
  <r>
    <x v="1"/>
    <x v="7"/>
    <x v="1"/>
    <s v="BEB616"/>
    <s v="Agua Manzana 600 Ml CB (*Extra)"/>
    <n v="2"/>
    <n v="3200"/>
    <n v="0"/>
    <n v="4278"/>
    <n v="-1078"/>
    <n v="-0.33687499999999998"/>
    <n v="0"/>
    <s v="Bebidas"/>
    <s v="Bebidas Cambio de bebida"/>
    <s v="Bebidas"/>
  </r>
  <r>
    <x v="1"/>
    <x v="7"/>
    <x v="1"/>
    <s v="BEB609"/>
    <s v="Fusetea Limon CB (*Extra)"/>
    <n v="1"/>
    <n v="1600"/>
    <n v="0"/>
    <n v="1874"/>
    <n v="-274"/>
    <n v="-0.17125000000000001"/>
    <n v="0"/>
    <s v="Bebidas"/>
    <s v="Bebidas Cambio de bebida"/>
    <s v="Bebidas"/>
  </r>
  <r>
    <x v="1"/>
    <x v="7"/>
    <x v="1"/>
    <s v="MON132"/>
    <s v="Chow Fan Valenciano familiar"/>
    <n v="1"/>
    <n v="76900"/>
    <n v="0"/>
    <n v="34655"/>
    <n v="42245"/>
    <n v="0.54934980494148244"/>
    <n v="0"/>
    <s v="Platos mong"/>
    <s v="No Personal"/>
    <s v="Caja"/>
  </r>
  <r>
    <x v="1"/>
    <x v="7"/>
    <x v="1"/>
    <s v="CAM04"/>
    <s v="Lumpia cambio (*Extra)"/>
    <n v="1"/>
    <n v="0"/>
    <n v="0"/>
    <n v="2049"/>
    <n v="-2049"/>
    <n v="0"/>
    <n v="0"/>
    <s v="Adición"/>
    <s v="Otro"/>
    <s v="Otro"/>
  </r>
  <r>
    <x v="1"/>
    <x v="7"/>
    <x v="1"/>
    <s v="mon001"/>
    <s v="fondo promocional"/>
    <n v="1"/>
    <n v="2023000"/>
    <n v="0"/>
    <n v="0"/>
    <n v="2023000"/>
    <n v="1"/>
    <n v="0"/>
    <s v="Otro"/>
    <s v="Otro"/>
    <s v="Otro"/>
  </r>
  <r>
    <x v="1"/>
    <x v="7"/>
    <x v="1"/>
    <s v="MON504"/>
    <s v="Arroz vegetales camarones personal"/>
    <n v="1"/>
    <n v="26654"/>
    <n v="-1246"/>
    <n v="9478"/>
    <n v="17176"/>
    <n v="0.64440609289412476"/>
    <n v="4.6747204922338109E-2"/>
    <s v="Platos mong"/>
    <s v="Personal"/>
    <s v="Caja"/>
  </r>
  <r>
    <x v="1"/>
    <x v="7"/>
    <x v="1"/>
    <s v="MON310"/>
    <s v="Chop suey camarón personal"/>
    <n v="1"/>
    <n v="23900"/>
    <n v="0"/>
    <n v="8757"/>
    <n v="15143"/>
    <n v="0.6335983263598326"/>
    <n v="0"/>
    <s v="Platos mong"/>
    <s v="Personal"/>
    <s v="Caja"/>
  </r>
  <r>
    <x v="1"/>
    <x v="7"/>
    <x v="1"/>
    <s v="BEB613"/>
    <s v="Coca Cola 400 Ml Zero CB (*Extra)"/>
    <n v="1"/>
    <n v="2300"/>
    <n v="0"/>
    <n v="2239"/>
    <n v="61"/>
    <n v="2.6521739130434784E-2"/>
    <n v="0"/>
    <s v="Bebidas"/>
    <s v="Bebidas Cambio de bebida"/>
    <s v="Bebidas"/>
  </r>
  <r>
    <x v="1"/>
    <x v="7"/>
    <x v="1"/>
    <s v="BEB610"/>
    <s v="Fusetea Durazno CB (*Extra)"/>
    <n v="1"/>
    <n v="1600"/>
    <n v="0"/>
    <n v="1874"/>
    <n v="-274"/>
    <n v="-0.17125000000000001"/>
    <n v="0"/>
    <s v="Bebidas"/>
    <s v="Bebidas Cambio de bebida"/>
    <s v="Bebidas"/>
  </r>
  <r>
    <x v="1"/>
    <x v="7"/>
    <x v="1"/>
    <s v="MON331"/>
    <s v="Chop suey vegetariano trio"/>
    <n v="1"/>
    <n v="37900"/>
    <n v="0"/>
    <n v="11810"/>
    <n v="26090"/>
    <n v="0.68839050131926116"/>
    <n v="0"/>
    <s v="Platos mong"/>
    <s v="No Personal"/>
    <s v="Caja"/>
  </r>
  <r>
    <x v="1"/>
    <x v="7"/>
    <x v="1"/>
    <s v="MON222"/>
    <s v="Chow mein pollo familiar"/>
    <n v="1"/>
    <n v="58900"/>
    <n v="0"/>
    <n v="30804"/>
    <n v="28096"/>
    <n v="0.47701188455008486"/>
    <n v="0"/>
    <s v="Platos mong"/>
    <s v="No Personal"/>
    <s v="Caja"/>
  </r>
  <r>
    <x v="1"/>
    <x v="7"/>
    <x v="1"/>
    <s v="MON505"/>
    <s v="Arroz vegetales pollo personal"/>
    <n v="1"/>
    <n v="19900"/>
    <n v="0"/>
    <n v="6138"/>
    <n v="13762"/>
    <n v="0.69155778894472364"/>
    <n v="0"/>
    <s v="Platos mong"/>
    <s v="Personal"/>
    <s v="Caja"/>
  </r>
  <r>
    <x v="1"/>
    <x v="7"/>
    <x v="1"/>
    <s v="MON202"/>
    <s v="Chow Mein Especial Familiar"/>
    <n v="1"/>
    <n v="62900"/>
    <n v="0"/>
    <n v="37744"/>
    <n v="25156"/>
    <n v="0.39993640699523053"/>
    <n v="0"/>
    <s v="Platos mong"/>
    <s v="No Personal"/>
    <s v="Caja"/>
  </r>
  <r>
    <x v="1"/>
    <x v="7"/>
    <x v="2"/>
    <s v="BEB00"/>
    <s v="Coca Cola 250 Ml Zero CB (*Extra)"/>
    <n v="57"/>
    <n v="0"/>
    <n v="0"/>
    <n v="0"/>
    <n v="0"/>
    <n v="0"/>
    <n v="0"/>
    <s v="Bebidas"/>
    <s v="Bebidas Cambio de bebida"/>
    <s v="Bebidas"/>
  </r>
  <r>
    <x v="1"/>
    <x v="7"/>
    <x v="2"/>
    <s v="COMP01"/>
    <s v="COMBO 1- Valenciano personal"/>
    <n v="53"/>
    <n v="1323433"/>
    <n v="-367267"/>
    <n v="510231"/>
    <n v="813202"/>
    <n v="0.61446404918118258"/>
    <n v="0.27751083734499593"/>
    <s v="Combos personales"/>
    <s v="Personal"/>
    <s v="Combo"/>
  </r>
  <r>
    <x v="1"/>
    <x v="7"/>
    <x v="2"/>
    <s v="ADIC09"/>
    <s v="No deseo (*Extra)"/>
    <n v="33"/>
    <n v="0"/>
    <n v="0"/>
    <n v="0"/>
    <n v="0"/>
    <n v="0"/>
    <n v="0"/>
    <s v="Adición"/>
    <s v="Adición"/>
    <s v="Adición"/>
  </r>
  <r>
    <x v="1"/>
    <x v="7"/>
    <x v="2"/>
    <s v="COMP14"/>
    <s v="COMBO ESTUDIANTIL- Chow fan 250 grs"/>
    <n v="28"/>
    <n v="600650"/>
    <n v="-152550"/>
    <n v="0"/>
    <n v="600650"/>
    <n v="1"/>
    <n v="0.25397486056771829"/>
    <s v="Combos personales"/>
    <s v="Personal"/>
    <s v="Caja"/>
  </r>
  <r>
    <x v="1"/>
    <x v="7"/>
    <x v="2"/>
    <s v="COMP02"/>
    <s v="COMBO 2 - Chow fan especial personal"/>
    <n v="17"/>
    <n v="445534"/>
    <n v="-147766"/>
    <n v="161517"/>
    <n v="284017"/>
    <n v="0.63747547886356593"/>
    <n v="0.33166043444495819"/>
    <s v="Combos personales"/>
    <s v="Personal"/>
    <s v="Combo"/>
  </r>
  <r>
    <x v="1"/>
    <x v="7"/>
    <x v="2"/>
    <s v="COMP13"/>
    <s v="COMBO ARMA TU PLATO"/>
    <n v="12"/>
    <n v="353933"/>
    <n v="-112867"/>
    <n v="0"/>
    <n v="353933"/>
    <n v="1"/>
    <n v="0.31889368891852415"/>
    <s v="Combos personales"/>
    <s v="Personal"/>
    <s v="Combo"/>
  </r>
  <r>
    <x v="1"/>
    <x v="7"/>
    <x v="2"/>
    <s v="BEB01"/>
    <s v="Coca Cola 250 Ml Normal CB (*Extra)"/>
    <n v="10"/>
    <n v="10000"/>
    <n v="0"/>
    <n v="19450"/>
    <n v="-9450"/>
    <n v="-0.94499999999999995"/>
    <n v="0"/>
    <s v="Bebidas"/>
    <s v="Bebidas Cambio de bebida"/>
    <s v="Bebidas"/>
  </r>
  <r>
    <x v="1"/>
    <x v="7"/>
    <x v="2"/>
    <s v="ENT04"/>
    <s v="LUMPIAS X 2"/>
    <n v="9"/>
    <n v="116100"/>
    <n v="0"/>
    <n v="28251"/>
    <n v="87849"/>
    <n v="0.75666666666666671"/>
    <n v="0"/>
    <s v="Entradas"/>
    <s v="Otro"/>
    <s v="Otro"/>
  </r>
  <r>
    <x v="1"/>
    <x v="7"/>
    <x v="2"/>
    <s v="BEB620"/>
    <s v="Agua 280 ml CB (*Extra)"/>
    <n v="9"/>
    <n v="0"/>
    <n v="0"/>
    <n v="7812"/>
    <n v="-7812"/>
    <n v="0"/>
    <n v="0"/>
    <s v="Bebidas"/>
    <s v="Bebidas Cambio de bebida"/>
    <s v="Bebidas"/>
  </r>
  <r>
    <x v="1"/>
    <x v="7"/>
    <x v="2"/>
    <s v="CAM04"/>
    <s v="Lumpia cambio (*Extra)"/>
    <n v="9"/>
    <n v="0"/>
    <n v="0"/>
    <n v="18441"/>
    <n v="-18441"/>
    <n v="0"/>
    <n v="0"/>
    <s v="Adición"/>
    <s v="Otro"/>
    <s v="Otro"/>
  </r>
  <r>
    <x v="1"/>
    <x v="7"/>
    <x v="2"/>
    <s v="COMP03"/>
    <s v="COMBO 3 - Chop suey especial personal"/>
    <n v="8"/>
    <n v="244450"/>
    <n v="-66750"/>
    <n v="76560"/>
    <n v="167890"/>
    <n v="0.68680711802004502"/>
    <n v="0.2730619758641849"/>
    <s v="Combos personales"/>
    <s v="Personal"/>
    <s v="Combo"/>
  </r>
  <r>
    <x v="1"/>
    <x v="7"/>
    <x v="2"/>
    <s v="COMP05"/>
    <s v="COMBO 5 - Chow Mein especial personal"/>
    <n v="8"/>
    <n v="260150"/>
    <n v="-51050"/>
    <n v="90024"/>
    <n v="170126"/>
    <n v="0.65395348837209299"/>
    <n v="0.19623294253315396"/>
    <s v="Combos personales"/>
    <s v="Personal"/>
    <s v="Combo"/>
  </r>
  <r>
    <x v="1"/>
    <x v="7"/>
    <x v="2"/>
    <s v="ATP01"/>
    <s v="Pollo a la naranja (*Extra)"/>
    <n v="8"/>
    <n v="0"/>
    <n v="0"/>
    <n v="43928"/>
    <n v="-43928"/>
    <n v="0"/>
    <n v="0"/>
    <s v="Arma tu plato"/>
    <s v="Personal"/>
    <s v="Caja"/>
  </r>
  <r>
    <x v="1"/>
    <x v="7"/>
    <x v="2"/>
    <s v="ATP10"/>
    <s v="Cerdo agridulce (*Extra)"/>
    <n v="7"/>
    <n v="0"/>
    <n v="0"/>
    <n v="38269"/>
    <n v="-38269"/>
    <n v="0"/>
    <n v="0"/>
    <s v="Arma tu plato"/>
    <s v="Personal"/>
    <s v="Caja"/>
  </r>
  <r>
    <x v="1"/>
    <x v="7"/>
    <x v="2"/>
    <s v="ATP04"/>
    <s v="Chop suey (*Extra)"/>
    <n v="7"/>
    <n v="0"/>
    <n v="0"/>
    <n v="18438"/>
    <n v="-18438"/>
    <n v="0"/>
    <n v="0"/>
    <s v="Arma tu plato"/>
    <s v="Personal"/>
    <s v="Caja"/>
  </r>
  <r>
    <x v="1"/>
    <x v="7"/>
    <x v="2"/>
    <s v="ADIC03"/>
    <s v="Camarones (*Extra)"/>
    <n v="6"/>
    <n v="45600"/>
    <n v="0"/>
    <n v="18648"/>
    <n v="26952"/>
    <n v="0.59105263157894739"/>
    <n v="0"/>
    <s v="Adición"/>
    <s v="Adición"/>
    <s v="Adición"/>
  </r>
  <r>
    <x v="1"/>
    <x v="7"/>
    <x v="2"/>
    <s v="CAM03"/>
    <s v="Cambio Papas a la francesa 150 grs (*Extra)"/>
    <n v="6"/>
    <n v="4500"/>
    <n v="-900"/>
    <n v="9414"/>
    <n v="-4914"/>
    <n v="-1.0920000000000001"/>
    <n v="0.2"/>
    <s v="Adición"/>
    <s v="Otro"/>
    <s v="Otro"/>
  </r>
  <r>
    <x v="1"/>
    <x v="7"/>
    <x v="2"/>
    <s v="ADIC06"/>
    <s v="Arroz Frito ADIC (*Extra)"/>
    <n v="6"/>
    <n v="28800"/>
    <n v="0"/>
    <n v="7692"/>
    <n v="21108"/>
    <n v="0.73291666666666666"/>
    <n v="0"/>
    <s v="Adición"/>
    <s v="Adición"/>
    <s v="Adición"/>
  </r>
  <r>
    <x v="1"/>
    <x v="7"/>
    <x v="2"/>
    <s v="COMP04"/>
    <s v="COMBO 4 - arroz vegetales especial"/>
    <n v="6"/>
    <n v="195200"/>
    <n v="-38200"/>
    <n v="61482"/>
    <n v="133718"/>
    <n v="0.68503073770491807"/>
    <n v="0.19569672131147542"/>
    <s v="Combos personales"/>
    <s v="Personal"/>
    <s v="Combo"/>
  </r>
  <r>
    <x v="1"/>
    <x v="7"/>
    <x v="2"/>
    <s v="COMP12"/>
    <s v="Combo Sunkee"/>
    <n v="4"/>
    <n v="150400"/>
    <n v="-9200"/>
    <n v="131204"/>
    <n v="19196"/>
    <n v="0.12763297872340426"/>
    <n v="6.1170212765957445E-2"/>
    <s v="Combos personales"/>
    <s v="Personal"/>
    <s v="Combo"/>
  </r>
  <r>
    <x v="1"/>
    <x v="7"/>
    <x v="2"/>
    <s v="ATP05"/>
    <s v="Chow mein (*Extra)"/>
    <n v="4"/>
    <n v="0"/>
    <n v="0"/>
    <n v="12388"/>
    <n v="-12388"/>
    <n v="0"/>
    <n v="0"/>
    <s v="Arma tu plato"/>
    <s v="Personal"/>
    <s v="Caja"/>
  </r>
  <r>
    <x v="1"/>
    <x v="7"/>
    <x v="2"/>
    <s v="ADIC11"/>
    <s v="Salsa Teriyaki (*Extra)"/>
    <n v="4"/>
    <n v="3000"/>
    <n v="-1000"/>
    <n v="0"/>
    <n v="3000"/>
    <n v="1"/>
    <n v="0.33333333333333331"/>
    <s v="Adición"/>
    <s v="Adición"/>
    <s v="Adición"/>
  </r>
  <r>
    <x v="1"/>
    <x v="7"/>
    <x v="2"/>
    <s v="COMC07"/>
    <s v="COMBO ANTOJO"/>
    <n v="3"/>
    <n v="48100"/>
    <n v="-41600"/>
    <n v="23919"/>
    <n v="24181"/>
    <n v="0.5027234927234927"/>
    <n v="0.86486486486486491"/>
    <s v="Combos para compartir"/>
    <s v="No Personal"/>
    <s v="Combo"/>
  </r>
  <r>
    <x v="1"/>
    <x v="7"/>
    <x v="2"/>
    <s v="PESP05"/>
    <s v="WONG- Menú infantil"/>
    <n v="3"/>
    <n v="55100"/>
    <n v="-4600"/>
    <n v="21375"/>
    <n v="33725"/>
    <n v="0.61206896551724133"/>
    <n v="8.3484573502722328E-2"/>
    <s v="Platos especiales"/>
    <s v="Personal"/>
    <s v="Platos Especiales"/>
  </r>
  <r>
    <x v="1"/>
    <x v="7"/>
    <x v="2"/>
    <s v="ADIC02"/>
    <s v="Pollo presa ADIC (*Extra)"/>
    <n v="3"/>
    <n v="22800"/>
    <n v="0"/>
    <n v="8547"/>
    <n v="14253"/>
    <n v="0.62513157894736837"/>
    <n v="0"/>
    <s v="Adición"/>
    <s v="Adición"/>
    <s v="Adición"/>
  </r>
  <r>
    <x v="1"/>
    <x v="7"/>
    <x v="2"/>
    <s v="MONE700"/>
    <s v="Mong Express Chop suey pollo"/>
    <n v="3"/>
    <n v="62100"/>
    <n v="-18600"/>
    <n v="24549"/>
    <n v="37551"/>
    <n v="0.60468599033816428"/>
    <n v="0.29951690821256038"/>
    <s v="Mong Express"/>
    <s v="Personal"/>
    <s v="Caja"/>
  </r>
  <r>
    <x v="1"/>
    <x v="7"/>
    <x v="2"/>
    <s v="ATP09"/>
    <s v="Res brócoli (*Extra)"/>
    <n v="3"/>
    <n v="0"/>
    <n v="0"/>
    <n v="9966"/>
    <n v="-9966"/>
    <n v="0"/>
    <n v="0"/>
    <s v="Arma tu plato"/>
    <s v="Personal"/>
    <s v="Caja"/>
  </r>
  <r>
    <x v="1"/>
    <x v="7"/>
    <x v="2"/>
    <s v="ENT03"/>
    <s v="CAMARONES APANADOS"/>
    <n v="3"/>
    <n v="58850"/>
    <n v="-9850"/>
    <n v="18645"/>
    <n v="40205"/>
    <n v="0.68317757009345792"/>
    <n v="0.16737468139337297"/>
    <s v="Entradas"/>
    <s v="Otro"/>
    <s v="Otro"/>
  </r>
  <r>
    <x v="1"/>
    <x v="7"/>
    <x v="2"/>
    <s v="ADIC04"/>
    <s v="Pollo picado (*Extra)"/>
    <n v="3"/>
    <n v="24000"/>
    <n v="0"/>
    <n v="5241"/>
    <n v="18759"/>
    <n v="0.78162500000000001"/>
    <n v="0"/>
    <s v="Adición"/>
    <s v="Adición"/>
    <s v="Adición"/>
  </r>
  <r>
    <x v="1"/>
    <x v="7"/>
    <x v="2"/>
    <s v="ADIC12"/>
    <s v="Salsa Soya (*Extra)"/>
    <n v="3"/>
    <n v="3000"/>
    <n v="0"/>
    <n v="0"/>
    <n v="3000"/>
    <n v="1"/>
    <n v="0"/>
    <s v="Adición"/>
    <s v="Adición"/>
    <s v="Adición"/>
  </r>
  <r>
    <x v="1"/>
    <x v="7"/>
    <x v="2"/>
    <s v="COMC06"/>
    <s v="COMBO FAMILIAR"/>
    <n v="3"/>
    <n v="314150"/>
    <n v="-78550"/>
    <n v="140340"/>
    <n v="173810"/>
    <n v="0.55327073054273435"/>
    <n v="0.250039789909279"/>
    <s v="Combos para compartir"/>
    <s v="No Personal"/>
    <s v="Combo"/>
  </r>
  <r>
    <x v="1"/>
    <x v="7"/>
    <x v="2"/>
    <s v="ADIC05"/>
    <s v="Vegetales salteados (*Extra)"/>
    <n v="2"/>
    <n v="13400"/>
    <n v="0"/>
    <n v="14"/>
    <n v="13386"/>
    <n v="0.99895522388059699"/>
    <n v="0"/>
    <s v="Adición"/>
    <s v="Adición"/>
    <s v="Adición"/>
  </r>
  <r>
    <x v="1"/>
    <x v="7"/>
    <x v="2"/>
    <s v="ATP02"/>
    <s v="Camarones apanados 7 (*Extra)"/>
    <n v="2"/>
    <n v="4000"/>
    <n v="0"/>
    <n v="6216"/>
    <n v="-2216"/>
    <n v="-0.55400000000000005"/>
    <n v="0"/>
    <s v="Arma tu plato"/>
    <s v="Personal"/>
    <s v="Caja"/>
  </r>
  <r>
    <x v="1"/>
    <x v="7"/>
    <x v="2"/>
    <s v="ADIC08"/>
    <s v="Salsa agridulce Roja (*Extra)"/>
    <n v="2"/>
    <n v="1000"/>
    <n v="-1000"/>
    <n v="118"/>
    <n v="882"/>
    <n v="0.88200000000000001"/>
    <n v="1"/>
    <s v="Adición"/>
    <s v="Adición"/>
    <s v="Adición"/>
  </r>
  <r>
    <x v="1"/>
    <x v="7"/>
    <x v="2"/>
    <s v="BEB602"/>
    <s v="Kola Roman 400 Ml CB (*Extra)"/>
    <n v="2"/>
    <n v="4000"/>
    <n v="0"/>
    <n v="4470"/>
    <n v="-470"/>
    <n v="-0.11749999999999999"/>
    <n v="0"/>
    <s v="Bebidas"/>
    <s v="Bebidas Cambio de bebida"/>
    <s v="Bebidas"/>
  </r>
  <r>
    <x v="1"/>
    <x v="7"/>
    <x v="2"/>
    <s v="BEB609"/>
    <s v="Fusetea Limon CB (*Extra)"/>
    <n v="2"/>
    <n v="4000"/>
    <n v="0"/>
    <n v="3748"/>
    <n v="252"/>
    <n v="6.3E-2"/>
    <n v="0"/>
    <s v="Bebidas"/>
    <s v="Bebidas Cambio de bebida"/>
    <s v="Bebidas"/>
  </r>
  <r>
    <x v="1"/>
    <x v="7"/>
    <x v="2"/>
    <s v="BEB601"/>
    <s v="Coca Cola 400 Ml Normal CB (*Extra)"/>
    <n v="2"/>
    <n v="5200"/>
    <n v="0"/>
    <n v="4470"/>
    <n v="730"/>
    <n v="0.14038461538461539"/>
    <n v="0"/>
    <s v="Bebidas"/>
    <s v="Bebidas Cambio de bebida"/>
    <s v="Bebidas"/>
  </r>
  <r>
    <x v="1"/>
    <x v="7"/>
    <x v="2"/>
    <s v="BEB610"/>
    <s v="Fusetea Durazno CB (*Extra)"/>
    <n v="2"/>
    <n v="4000"/>
    <n v="0"/>
    <n v="3748"/>
    <n v="252"/>
    <n v="6.3E-2"/>
    <n v="0"/>
    <s v="Bebidas"/>
    <s v="Bebidas Cambio de bebida"/>
    <s v="Bebidas"/>
  </r>
  <r>
    <x v="1"/>
    <x v="7"/>
    <x v="2"/>
    <s v="BEB616"/>
    <s v="Agua Manzana 600 Ml CB (*Extra)"/>
    <n v="2"/>
    <n v="4000"/>
    <n v="0"/>
    <n v="4278"/>
    <n v="-278"/>
    <n v="-6.9500000000000006E-2"/>
    <n v="0"/>
    <s v="Bebidas"/>
    <s v="Bebidas Cambio de bebida"/>
    <s v="Bebidas"/>
  </r>
  <r>
    <x v="1"/>
    <x v="7"/>
    <x v="2"/>
    <s v="ATP08"/>
    <s v="Pollo Apanado ATP (*Extra)"/>
    <n v="2"/>
    <n v="0"/>
    <n v="0"/>
    <n v="10526"/>
    <n v="-10526"/>
    <n v="0"/>
    <n v="0"/>
    <s v="Arma tu plato"/>
    <s v="Personal"/>
    <s v="Caja"/>
  </r>
  <r>
    <x v="1"/>
    <x v="7"/>
    <x v="2"/>
    <s v="BEB605"/>
    <s v="Quatro 400 Ml CB (*Extra)"/>
    <n v="1"/>
    <n v="2000"/>
    <n v="0"/>
    <n v="1330"/>
    <n v="670"/>
    <n v="0.33500000000000002"/>
    <n v="0"/>
    <s v="Bebidas"/>
    <s v="Bebidas Cambio de bebida"/>
    <s v="Bebidas"/>
  </r>
  <r>
    <x v="1"/>
    <x v="7"/>
    <x v="2"/>
    <s v="ATP03"/>
    <s v="Arroz vegetales (*Extra)"/>
    <n v="1"/>
    <n v="2000"/>
    <n v="0"/>
    <n v="2035"/>
    <n v="-35"/>
    <n v="-1.7500000000000002E-2"/>
    <n v="0"/>
    <s v="Arma tu plato"/>
    <s v="Personal"/>
    <s v="Caja"/>
  </r>
  <r>
    <x v="1"/>
    <x v="7"/>
    <x v="2"/>
    <s v="BEB618"/>
    <s v="Fusetea manzana CB (*Extra)"/>
    <n v="1"/>
    <n v="2000"/>
    <n v="0"/>
    <n v="1896"/>
    <n v="104"/>
    <n v="5.1999999999999998E-2"/>
    <n v="0"/>
    <s v="Bebidas"/>
    <s v="Bebidas Cambio de bebida"/>
    <s v="Bebidas"/>
  </r>
  <r>
    <x v="1"/>
    <x v="7"/>
    <x v="2"/>
    <s v="BEB581"/>
    <s v="Coca Cola 400 Ml Normal"/>
    <n v="1"/>
    <n v="6500"/>
    <n v="0"/>
    <n v="1695"/>
    <n v="4805"/>
    <n v="0.73923076923076925"/>
    <n v="0"/>
    <s v="Bebidas"/>
    <s v="Bebidas"/>
    <s v="Bebidas"/>
  </r>
  <r>
    <x v="1"/>
    <x v="7"/>
    <x v="2"/>
    <s v="ADIC562"/>
    <s v="Adición Pasta"/>
    <n v="1"/>
    <n v="5900"/>
    <n v="0"/>
    <n v="3010"/>
    <n v="2890"/>
    <n v="0.48983050847457626"/>
    <n v="0"/>
    <s v="Adición"/>
    <s v="Adición"/>
    <s v="Adición"/>
  </r>
  <r>
    <x v="1"/>
    <x v="7"/>
    <x v="2"/>
    <s v="BEB613"/>
    <s v="Coca Cola 400 Ml Zero CB (*Extra)"/>
    <n v="1"/>
    <n v="2600"/>
    <n v="0"/>
    <n v="2239"/>
    <n v="361"/>
    <n v="0.13884615384615384"/>
    <n v="0"/>
    <s v="Bebidas"/>
    <s v="Bebidas Cambio de bebida"/>
    <s v="Bebidas"/>
  </r>
  <r>
    <x v="1"/>
    <x v="7"/>
    <x v="2"/>
    <s v="COMC04"/>
    <s v="COMBO FAMIAMIGOS"/>
    <n v="1"/>
    <n v="86150"/>
    <n v="-25750"/>
    <n v="39221"/>
    <n v="46929"/>
    <n v="0.54473592571096929"/>
    <n v="0.29889727219965179"/>
    <s v="Combos para compartir"/>
    <s v="No Personal"/>
    <s v="Combo"/>
  </r>
  <r>
    <x v="1"/>
    <x v="7"/>
    <x v="2"/>
    <s v="COMC02"/>
    <s v="COMBO AMIGOS"/>
    <n v="1"/>
    <n v="64700"/>
    <n v="-16200"/>
    <n v="23638"/>
    <n v="41062"/>
    <n v="0.63465224111282847"/>
    <n v="0.25038639876352398"/>
    <s v="Combos para compartir"/>
    <s v="No Personal"/>
    <s v="Combo"/>
  </r>
  <r>
    <x v="1"/>
    <x v="7"/>
    <x v="2"/>
    <s v="BEB607"/>
    <s v="Agua Gas 600 Ml CB (*Extra)"/>
    <n v="1"/>
    <n v="2000"/>
    <n v="0"/>
    <n v="1610"/>
    <n v="390"/>
    <n v="0.19500000000000001"/>
    <n v="0"/>
    <s v="Bebidas"/>
    <s v="Bebidas Cambio de bebida"/>
    <s v="Bebidas"/>
  </r>
  <r>
    <x v="1"/>
    <x v="7"/>
    <x v="0"/>
    <s v="COMP01"/>
    <s v="COMBO 1- Valenciano personal"/>
    <n v="59"/>
    <n v="1410100"/>
    <n v="0"/>
    <n v="567993"/>
    <n v="842107"/>
    <n v="0.59719665271966527"/>
    <n v="0"/>
    <s v="Combos personales"/>
    <s v="Personal"/>
    <s v="Combo"/>
  </r>
  <r>
    <x v="1"/>
    <x v="7"/>
    <x v="0"/>
    <s v="MON450"/>
    <s v="Arma tu plato"/>
    <n v="48"/>
    <n v="1195200"/>
    <n v="0"/>
    <n v="0"/>
    <n v="1195200"/>
    <n v="1"/>
    <n v="0"/>
    <s v="Arma tu plato"/>
    <s v="Personal"/>
    <s v="Caja"/>
  </r>
  <r>
    <x v="1"/>
    <x v="7"/>
    <x v="0"/>
    <s v="ENT04"/>
    <s v="LUMPIAS X 2"/>
    <n v="47"/>
    <n v="417009"/>
    <n v="-1291"/>
    <n v="147533"/>
    <n v="269476"/>
    <n v="0.64621147265406742"/>
    <n v="3.0958564443453259E-3"/>
    <s v="Entradas"/>
    <s v="Otro"/>
    <s v="Otro"/>
  </r>
  <r>
    <x v="1"/>
    <x v="7"/>
    <x v="0"/>
    <s v="MON301"/>
    <s v="Chop Suey Especial trio"/>
    <n v="28"/>
    <n v="1200574"/>
    <n v="-626"/>
    <n v="317296"/>
    <n v="883278"/>
    <n v="0.73571308390819723"/>
    <n v="5.2141725541282754E-4"/>
    <s v="Platos mong"/>
    <s v="No Personal"/>
    <s v="Caja"/>
  </r>
  <r>
    <x v="1"/>
    <x v="7"/>
    <x v="0"/>
    <s v="ATP01"/>
    <s v="Pollo a la naranja (*Extra)"/>
    <n v="27"/>
    <n v="0"/>
    <n v="0"/>
    <n v="148257"/>
    <n v="-148257"/>
    <n v="0"/>
    <n v="0"/>
    <s v="Arma tu plato"/>
    <s v="Personal"/>
    <s v="Caja"/>
  </r>
  <r>
    <x v="1"/>
    <x v="7"/>
    <x v="0"/>
    <s v="COMP05"/>
    <s v="COMBO 5 - Chow Mein especial personal"/>
    <n v="24"/>
    <n v="693600"/>
    <n v="0"/>
    <n v="270072"/>
    <n v="423528"/>
    <n v="0.61062283737024226"/>
    <n v="0"/>
    <s v="Combos personales"/>
    <s v="Personal"/>
    <s v="Combo"/>
  </r>
  <r>
    <x v="1"/>
    <x v="7"/>
    <x v="0"/>
    <s v="MON101"/>
    <s v="Chow fan especial trio"/>
    <n v="24"/>
    <n v="947814"/>
    <n v="-9786"/>
    <n v="481272"/>
    <n v="466542"/>
    <n v="0.49222948806411382"/>
    <n v="1.0324810564098019E-2"/>
    <s v="Platos mong"/>
    <s v="No Personal"/>
    <s v="Platos Especiales"/>
  </r>
  <r>
    <x v="1"/>
    <x v="7"/>
    <x v="0"/>
    <s v="ATP09"/>
    <s v="Res brócoli (*Extra)"/>
    <n v="21"/>
    <n v="0"/>
    <n v="0"/>
    <n v="69762"/>
    <n v="-69762"/>
    <n v="0"/>
    <n v="0"/>
    <s v="Arma tu plato"/>
    <s v="Personal"/>
    <s v="Caja"/>
  </r>
  <r>
    <x v="1"/>
    <x v="7"/>
    <x v="0"/>
    <s v="ATP10"/>
    <s v="Cerdo agridulce (*Extra)"/>
    <n v="19"/>
    <n v="0"/>
    <n v="0"/>
    <n v="103873"/>
    <n v="-103873"/>
    <n v="0"/>
    <n v="0"/>
    <s v="Arma tu plato"/>
    <s v="Personal"/>
    <s v="Caja"/>
  </r>
  <r>
    <x v="1"/>
    <x v="7"/>
    <x v="0"/>
    <s v="MON100"/>
    <s v="Chow Fan Especial Personal"/>
    <n v="18"/>
    <n v="343910"/>
    <n v="-14290"/>
    <n v="121824"/>
    <n v="222086"/>
    <n v="0.64576778808409174"/>
    <n v="4.1551568724375564E-2"/>
    <s v="Platos mong"/>
    <s v="Personal"/>
    <s v="Caja"/>
  </r>
  <r>
    <x v="1"/>
    <x v="7"/>
    <x v="0"/>
    <s v="MON300"/>
    <s v="Chop suey especial personal"/>
    <n v="17"/>
    <n v="334500"/>
    <n v="-20800"/>
    <n v="116246"/>
    <n v="218254"/>
    <n v="0.65247832585949173"/>
    <n v="6.2182361733931241E-2"/>
    <s v="Platos mong"/>
    <s v="Personal"/>
    <s v="Caja"/>
  </r>
  <r>
    <x v="1"/>
    <x v="7"/>
    <x v="0"/>
    <s v="ATP05"/>
    <s v="Chow mein (*Extra)"/>
    <n v="15"/>
    <n v="0"/>
    <n v="0"/>
    <n v="46455"/>
    <n v="-46455"/>
    <n v="0"/>
    <n v="0"/>
    <s v="Arma tu plato"/>
    <s v="Personal"/>
    <s v="Caja"/>
  </r>
  <r>
    <x v="1"/>
    <x v="7"/>
    <x v="0"/>
    <s v="ADIC564"/>
    <s v="Adición Presa de pollo"/>
    <n v="14"/>
    <n v="96600"/>
    <n v="0"/>
    <n v="34496"/>
    <n v="62104"/>
    <n v="0.64289855072463764"/>
    <n v="0"/>
    <s v="Adición"/>
    <s v="Adición"/>
    <s v="Adición"/>
  </r>
  <r>
    <x v="1"/>
    <x v="7"/>
    <x v="0"/>
    <s v="MON132"/>
    <s v="Chow Fan Valenciano familiar"/>
    <n v="14"/>
    <n v="936600"/>
    <n v="0"/>
    <n v="485170"/>
    <n v="451430"/>
    <n v="0.48198804185351268"/>
    <n v="0"/>
    <s v="Platos mong"/>
    <s v="No Personal"/>
    <s v="Caja"/>
  </r>
  <r>
    <x v="1"/>
    <x v="7"/>
    <x v="0"/>
    <s v="ATP02"/>
    <s v="Camarones apanados 7 (*Extra)"/>
    <n v="14"/>
    <n v="28000"/>
    <n v="0"/>
    <n v="43512"/>
    <n v="-15512"/>
    <n v="-0.55400000000000005"/>
    <n v="0"/>
    <s v="Arma tu plato"/>
    <s v="Personal"/>
    <s v="Caja"/>
  </r>
  <r>
    <x v="1"/>
    <x v="7"/>
    <x v="0"/>
    <s v="ATP03"/>
    <s v="Arroz vegetales (*Extra)"/>
    <n v="14"/>
    <n v="28000"/>
    <n v="0"/>
    <n v="28490"/>
    <n v="-490"/>
    <n v="-1.7500000000000002E-2"/>
    <n v="0"/>
    <s v="Arma tu plato"/>
    <s v="Personal"/>
    <s v="Caja"/>
  </r>
  <r>
    <x v="1"/>
    <x v="7"/>
    <x v="0"/>
    <s v="COMP02"/>
    <s v="COMBO 2 - Chow fan especial personal"/>
    <n v="13"/>
    <n v="336700"/>
    <n v="0"/>
    <n v="123513"/>
    <n v="213187"/>
    <n v="0.63316602316602322"/>
    <n v="0"/>
    <s v="Combos personales"/>
    <s v="Personal"/>
    <s v="Combo"/>
  </r>
  <r>
    <x v="1"/>
    <x v="7"/>
    <x v="0"/>
    <s v="ATP06"/>
    <s v="Arroz Frito ATP (*Extra)"/>
    <n v="13"/>
    <n v="0"/>
    <n v="0"/>
    <n v="16666"/>
    <n v="-16666"/>
    <n v="0"/>
    <n v="0"/>
    <s v="Arma tu plato"/>
    <s v="Personal"/>
    <s v="Caja"/>
  </r>
  <r>
    <x v="1"/>
    <x v="7"/>
    <x v="0"/>
    <s v="MON130"/>
    <s v="Chow Fan Valenciano Personal"/>
    <n v="12"/>
    <n v="262800"/>
    <n v="0"/>
    <n v="101568"/>
    <n v="161232"/>
    <n v="0.61351598173515987"/>
    <n v="0"/>
    <s v="Platos mong"/>
    <s v="Personal"/>
    <s v="Caja"/>
  </r>
  <r>
    <x v="1"/>
    <x v="7"/>
    <x v="0"/>
    <s v="MON102"/>
    <s v="Chow Fan Especial familiar"/>
    <n v="12"/>
    <n v="598800"/>
    <n v="0"/>
    <n v="388212"/>
    <n v="210588"/>
    <n v="0.35168336673346695"/>
    <n v="0"/>
    <s v="Platos mong"/>
    <s v="No Personal"/>
    <s v="Caja"/>
  </r>
  <r>
    <x v="1"/>
    <x v="7"/>
    <x v="0"/>
    <s v="ENT02"/>
    <s v="LUMPIA X 1"/>
    <n v="12"/>
    <n v="57229"/>
    <n v="-2771"/>
    <n v="18828"/>
    <n v="38401"/>
    <n v="0.67100595851753486"/>
    <n v="4.8419507592304602E-2"/>
    <s v="Entradas"/>
    <s v="Otro"/>
    <s v="Otro"/>
  </r>
  <r>
    <x v="1"/>
    <x v="7"/>
    <x v="0"/>
    <s v="MON103"/>
    <s v="Chow Fan Especial megafamiliar"/>
    <n v="11"/>
    <n v="900900"/>
    <n v="0"/>
    <n v="469744"/>
    <n v="431156"/>
    <n v="0.47858363858363856"/>
    <n v="0"/>
    <s v="Platos mong"/>
    <s v="No Personal"/>
    <s v="Caja"/>
  </r>
  <r>
    <x v="1"/>
    <x v="7"/>
    <x v="0"/>
    <s v="BEB598"/>
    <s v="Coca Cola 1,5 litros"/>
    <n v="10"/>
    <n v="98856"/>
    <n v="-144"/>
    <n v="45010"/>
    <n v="53846"/>
    <n v="0.54469126810714574"/>
    <n v="1.4566642388929353E-3"/>
    <s v="Bebidas"/>
    <s v="Bebidas"/>
    <s v="Bebidas"/>
  </r>
  <r>
    <x v="1"/>
    <x v="7"/>
    <x v="0"/>
    <s v="COMP03"/>
    <s v="COMBO 3 - Chop suey especial personal"/>
    <n v="10"/>
    <n v="289000"/>
    <n v="0"/>
    <n v="95700"/>
    <n v="193300"/>
    <n v="0.66885813148788931"/>
    <n v="0"/>
    <s v="Combos personales"/>
    <s v="Personal"/>
    <s v="Combo"/>
  </r>
  <r>
    <x v="1"/>
    <x v="7"/>
    <x v="0"/>
    <s v="BEB581"/>
    <s v="Coca Cola 400 Ml Normal"/>
    <n v="10"/>
    <n v="59000"/>
    <n v="0"/>
    <n v="16950"/>
    <n v="42050"/>
    <n v="0.71271186440677969"/>
    <n v="0"/>
    <s v="Bebidas"/>
    <s v="Bebidas"/>
    <s v="Bebidas"/>
  </r>
  <r>
    <x v="1"/>
    <x v="7"/>
    <x v="0"/>
    <s v="ATP08"/>
    <s v="Pollo Apanado ATP (*Extra)"/>
    <n v="10"/>
    <n v="0"/>
    <n v="0"/>
    <n v="52630"/>
    <n v="-52630"/>
    <n v="0"/>
    <n v="0"/>
    <s v="Arma tu plato"/>
    <s v="Personal"/>
    <s v="Caja"/>
  </r>
  <r>
    <x v="1"/>
    <x v="7"/>
    <x v="0"/>
    <s v="BEB620"/>
    <s v="Agua 280 ml CB (*Extra)"/>
    <n v="9"/>
    <n v="0"/>
    <n v="0"/>
    <n v="7812"/>
    <n v="-7812"/>
    <n v="0"/>
    <n v="0"/>
    <s v="Bebidas"/>
    <s v="Bebidas Cambio de bebida"/>
    <s v="Bebidas"/>
  </r>
  <r>
    <x v="1"/>
    <x v="7"/>
    <x v="0"/>
    <s v="PESP04"/>
    <s v="SUN KEE"/>
    <n v="9"/>
    <n v="242100"/>
    <n v="0"/>
    <n v="122742"/>
    <n v="119358"/>
    <n v="0.4930111524163569"/>
    <n v="0"/>
    <s v="Platos especiales"/>
    <s v="Personal"/>
    <s v="Platos Especiales"/>
  </r>
  <r>
    <x v="1"/>
    <x v="7"/>
    <x v="0"/>
    <s v="BEB588"/>
    <s v="Fusetea Limon"/>
    <n v="8"/>
    <n v="38561"/>
    <n v="-639"/>
    <n v="12480"/>
    <n v="26081"/>
    <n v="0.67635694095070154"/>
    <n v="1.6571147013822257E-2"/>
    <s v="Bebidas"/>
    <s v="Bebidas"/>
    <s v="Bebidas"/>
  </r>
  <r>
    <x v="1"/>
    <x v="7"/>
    <x v="0"/>
    <s v="COMP10"/>
    <s v="COMBO - Lumpia y Coca Cola 250 ml"/>
    <n v="8"/>
    <n v="63200"/>
    <n v="0"/>
    <n v="0"/>
    <n v="63200"/>
    <n v="1"/>
    <n v="0"/>
    <s v="Armalo en combo"/>
    <s v="Personal"/>
    <s v="Combo"/>
  </r>
  <r>
    <x v="1"/>
    <x v="7"/>
    <x v="0"/>
    <s v="MON122"/>
    <s v="Chow Fan Pollo familiar"/>
    <n v="7"/>
    <n v="293300"/>
    <n v="0"/>
    <n v="169785"/>
    <n v="123515"/>
    <n v="0.42112171837708828"/>
    <n v="0"/>
    <s v="Platos mong"/>
    <s v="No Personal"/>
    <s v="Caja"/>
  </r>
  <r>
    <x v="1"/>
    <x v="7"/>
    <x v="0"/>
    <s v="MON500"/>
    <s v="Arroz vegetales especial personal"/>
    <n v="7"/>
    <n v="160300"/>
    <n v="0"/>
    <n v="52598"/>
    <n v="107702"/>
    <n v="0.67187772925764189"/>
    <n v="0"/>
    <s v="Platos mong"/>
    <s v="Personal"/>
    <s v="Caja"/>
  </r>
  <r>
    <x v="1"/>
    <x v="7"/>
    <x v="0"/>
    <s v="ADIC560"/>
    <s v="Adición Papa frita"/>
    <n v="6"/>
    <n v="33803"/>
    <n v="-1597"/>
    <n v="24588"/>
    <n v="9215"/>
    <n v="0.27260894003490815"/>
    <n v="4.7244327426559776E-2"/>
    <s v="Adición"/>
    <s v="Adición"/>
    <s v="Adición"/>
  </r>
  <r>
    <x v="1"/>
    <x v="7"/>
    <x v="0"/>
    <s v="ATP04"/>
    <s v="Chop suey (*Extra)"/>
    <n v="6"/>
    <n v="0"/>
    <n v="0"/>
    <n v="15804"/>
    <n v="-15804"/>
    <n v="0"/>
    <n v="0"/>
    <s v="Arma tu plato"/>
    <s v="Personal"/>
    <s v="Caja"/>
  </r>
  <r>
    <x v="1"/>
    <x v="7"/>
    <x v="0"/>
    <s v="BEB580"/>
    <s v="Coca Cola 250 Ml Normal"/>
    <n v="6"/>
    <n v="22809"/>
    <n v="-591"/>
    <n v="6978"/>
    <n v="15831"/>
    <n v="0.69406813100092069"/>
    <n v="2.5910824674470603E-2"/>
    <s v="Bebidas"/>
    <s v="Bebidas"/>
    <s v="Bebidas"/>
  </r>
  <r>
    <x v="1"/>
    <x v="7"/>
    <x v="0"/>
    <s v="BEB593"/>
    <s v="Coca Cola 250 Ml Zero"/>
    <n v="6"/>
    <n v="22660"/>
    <n v="-740"/>
    <n v="7746"/>
    <n v="14914"/>
    <n v="0.65816416593115623"/>
    <n v="3.265666372462489E-2"/>
    <s v="Bebidas"/>
    <s v="Bebidas"/>
    <s v="Bebidas"/>
  </r>
  <r>
    <x v="1"/>
    <x v="7"/>
    <x v="0"/>
    <s v="MONE701"/>
    <s v="Mong Express Chow fan"/>
    <n v="6"/>
    <n v="119400"/>
    <n v="0"/>
    <n v="0"/>
    <n v="119400"/>
    <n v="1"/>
    <n v="0"/>
    <s v="Mong Express"/>
    <s v="Personal"/>
    <s v="Caja"/>
  </r>
  <r>
    <x v="1"/>
    <x v="7"/>
    <x v="0"/>
    <s v="MON120"/>
    <s v="Chow Fan Pollo Personal"/>
    <n v="5"/>
    <n v="75197"/>
    <n v="-4303"/>
    <n v="30320"/>
    <n v="44877"/>
    <n v="0.59679242522972986"/>
    <n v="5.7223027514395522E-2"/>
    <s v="Platos mong"/>
    <s v="Personal"/>
    <s v="Caja"/>
  </r>
  <r>
    <x v="1"/>
    <x v="7"/>
    <x v="0"/>
    <s v="MON131"/>
    <s v="Chow Fan Valenciano trio"/>
    <n v="5"/>
    <n v="249500"/>
    <n v="0"/>
    <n v="94090"/>
    <n v="155410"/>
    <n v="0.62288577154308622"/>
    <n v="0"/>
    <s v="Platos mong"/>
    <s v="No Personal"/>
    <s v="Caja"/>
  </r>
  <r>
    <x v="1"/>
    <x v="7"/>
    <x v="0"/>
    <s v="ATP07"/>
    <s v="Pollo presa ATP (*Extra)"/>
    <n v="5"/>
    <n v="0"/>
    <n v="0"/>
    <n v="14245"/>
    <n v="-14245"/>
    <n v="0"/>
    <n v="0"/>
    <s v="Arma tu plato"/>
    <s v="Personal"/>
    <s v="Caja"/>
  </r>
  <r>
    <x v="1"/>
    <x v="7"/>
    <x v="0"/>
    <s v="COMC04"/>
    <s v="COMBO FAMIAMIGOS"/>
    <n v="5"/>
    <n v="395000"/>
    <n v="-6500"/>
    <n v="196105"/>
    <n v="198895"/>
    <n v="0.50353164556962027"/>
    <n v="1.6455696202531647E-2"/>
    <s v="Combos para compartir"/>
    <s v="No Personal"/>
    <s v="Combo"/>
  </r>
  <r>
    <x v="1"/>
    <x v="7"/>
    <x v="0"/>
    <s v="COMP04"/>
    <s v="COMBO 4 - arroz vegetales especial"/>
    <n v="5"/>
    <n v="144500"/>
    <n v="0"/>
    <n v="51235"/>
    <n v="93265"/>
    <n v="0.64543252595155709"/>
    <n v="0"/>
    <s v="Combos personales"/>
    <s v="Personal"/>
    <s v="Combo"/>
  </r>
  <r>
    <x v="1"/>
    <x v="7"/>
    <x v="0"/>
    <s v="ENT01"/>
    <s v="Deditos de Pollo"/>
    <n v="4"/>
    <n v="57078"/>
    <n v="-6522"/>
    <n v="40112"/>
    <n v="16966"/>
    <n v="0.29724237009005222"/>
    <n v="0.11426469042363083"/>
    <s v="Entradas"/>
    <s v="Otro"/>
    <s v="Otro"/>
  </r>
  <r>
    <x v="1"/>
    <x v="7"/>
    <x v="0"/>
    <s v="BEB585"/>
    <s v="Agua Normal 600 Ml"/>
    <n v="4"/>
    <n v="19600"/>
    <n v="0"/>
    <n v="4380"/>
    <n v="15220"/>
    <n v="0.77653061224489794"/>
    <n v="0"/>
    <s v="Bebidas"/>
    <s v="Bebidas"/>
    <s v="Bebidas"/>
  </r>
  <r>
    <x v="1"/>
    <x v="7"/>
    <x v="0"/>
    <s v="PESP02"/>
    <s v="MONG"/>
    <n v="4"/>
    <n v="97600"/>
    <n v="-2000"/>
    <n v="50872"/>
    <n v="46728"/>
    <n v="0.47877049180327869"/>
    <n v="2.0491803278688523E-2"/>
    <s v="Platos especiales"/>
    <s v="Personal"/>
    <s v="Platos Especiales"/>
  </r>
  <r>
    <x v="1"/>
    <x v="7"/>
    <x v="0"/>
    <s v="BEB01"/>
    <s v="Coca Cola 250 Ml Normal CB (*Extra)"/>
    <n v="4"/>
    <n v="4000"/>
    <n v="0"/>
    <n v="7780"/>
    <n v="-3780"/>
    <n v="-0.94499999999999995"/>
    <n v="0"/>
    <s v="Bebidas"/>
    <s v="Bebidas Cambio de bebida"/>
    <s v="Bebidas"/>
  </r>
  <r>
    <x v="1"/>
    <x v="7"/>
    <x v="0"/>
    <s v="PESP01"/>
    <s v="MING"/>
    <n v="4"/>
    <n v="115600"/>
    <n v="0"/>
    <n v="30420"/>
    <n v="85180"/>
    <n v="0.73685121107266438"/>
    <n v="0"/>
    <s v="Platos especiales"/>
    <s v="Personal"/>
    <s v="Platos Especiales"/>
  </r>
  <r>
    <x v="1"/>
    <x v="7"/>
    <x v="0"/>
    <s v="MON302"/>
    <s v="Chop Suey Especial Familiar"/>
    <n v="4"/>
    <n v="231600"/>
    <n v="0"/>
    <n v="112228"/>
    <n v="119372"/>
    <n v="0.51542314335060446"/>
    <n v="0"/>
    <s v="Platos mong"/>
    <s v="No Personal"/>
    <s v="Caja"/>
  </r>
  <r>
    <x v="1"/>
    <x v="7"/>
    <x v="0"/>
    <s v="MON110"/>
    <s v="Chow Fan Camarones Personal"/>
    <n v="4"/>
    <n v="91600"/>
    <n v="0"/>
    <n v="37616"/>
    <n v="53984"/>
    <n v="0.58934497816593889"/>
    <n v="0"/>
    <s v="Platos mong"/>
    <s v="Personal"/>
    <s v="Caja"/>
  </r>
  <r>
    <x v="1"/>
    <x v="7"/>
    <x v="0"/>
    <s v="MON200"/>
    <s v="Chow Mein Especial Personal"/>
    <n v="4"/>
    <n v="83600"/>
    <n v="0"/>
    <n v="34084"/>
    <n v="49516"/>
    <n v="0.59229665071770332"/>
    <n v="0"/>
    <s v="Platos mong"/>
    <s v="Personal"/>
    <s v="Caja"/>
  </r>
  <r>
    <x v="1"/>
    <x v="7"/>
    <x v="0"/>
    <s v="PESP03"/>
    <s v="LING"/>
    <n v="4"/>
    <n v="107600"/>
    <n v="0"/>
    <n v="54268"/>
    <n v="53332"/>
    <n v="0.49565055762081783"/>
    <n v="0"/>
    <s v="Platos especiales"/>
    <s v="Personal"/>
    <s v="Platos Especiales"/>
  </r>
  <r>
    <x v="1"/>
    <x v="7"/>
    <x v="0"/>
    <s v="PESP05"/>
    <s v="WONG- Menú infantil"/>
    <n v="4"/>
    <n v="67600"/>
    <n v="0"/>
    <n v="28500"/>
    <n v="39100"/>
    <n v="0.57840236686390534"/>
    <n v="0"/>
    <s v="Platos especiales"/>
    <s v="Personal"/>
    <s v="Platos Especiales"/>
  </r>
  <r>
    <x v="1"/>
    <x v="7"/>
    <x v="0"/>
    <s v="ADIC566"/>
    <s v="Pollo a la naranja"/>
    <n v="3"/>
    <n v="23700"/>
    <n v="0"/>
    <n v="0"/>
    <n v="23700"/>
    <n v="1"/>
    <n v="0"/>
    <s v="Adición"/>
    <s v="Adición"/>
    <s v="Adición"/>
  </r>
  <r>
    <x v="1"/>
    <x v="7"/>
    <x v="0"/>
    <s v="MONE700"/>
    <s v="Mong Express Chop suey pollo"/>
    <n v="3"/>
    <n v="59700"/>
    <n v="0"/>
    <n v="24549"/>
    <n v="35151"/>
    <n v="0.58879396984924626"/>
    <n v="0"/>
    <s v="Mong Express"/>
    <s v="Personal"/>
    <s v="Caja"/>
  </r>
  <r>
    <x v="1"/>
    <x v="7"/>
    <x v="0"/>
    <s v="BEB599"/>
    <s v="Agua 280 ml"/>
    <n v="3"/>
    <n v="10500"/>
    <n v="0"/>
    <n v="2604"/>
    <n v="7896"/>
    <n v="0.752"/>
    <n v="0"/>
    <s v="Bebidas"/>
    <s v="Bebidas"/>
    <s v="Bebidas"/>
  </r>
  <r>
    <x v="1"/>
    <x v="7"/>
    <x v="0"/>
    <s v="MON330"/>
    <s v="Chop Suey Vegetariano Personal"/>
    <n v="3"/>
    <n v="53700"/>
    <n v="0"/>
    <n v="16398"/>
    <n v="37302"/>
    <n v="0.69463687150837994"/>
    <n v="0"/>
    <s v="Platos mong"/>
    <s v="Personal"/>
    <s v="Caja"/>
  </r>
  <r>
    <x v="1"/>
    <x v="7"/>
    <x v="0"/>
    <s v="BEB587"/>
    <s v="Agua Limón 600 Ml"/>
    <n v="3"/>
    <n v="14700"/>
    <n v="0"/>
    <n v="4119"/>
    <n v="10581"/>
    <n v="0.71979591836734691"/>
    <n v="0"/>
    <s v="Bebidas"/>
    <s v="Bebidas"/>
    <s v="Bebidas"/>
  </r>
  <r>
    <x v="1"/>
    <x v="7"/>
    <x v="0"/>
    <s v="MON320"/>
    <s v="Chop Suey Pollo Personal"/>
    <n v="3"/>
    <n v="56700"/>
    <n v="0"/>
    <n v="16383"/>
    <n v="40317"/>
    <n v="0.71105820105820106"/>
    <n v="0"/>
    <s v="Platos mong"/>
    <s v="Personal"/>
    <s v="Caja"/>
  </r>
  <r>
    <x v="1"/>
    <x v="7"/>
    <x v="0"/>
    <s v="BEB595"/>
    <s v="Agua Manzana 600 Ml"/>
    <n v="3"/>
    <n v="14700"/>
    <n v="0"/>
    <n v="4119"/>
    <n v="10581"/>
    <n v="0.71979591836734691"/>
    <n v="0"/>
    <s v="Bebidas"/>
    <s v="Bebidas"/>
    <s v="Bebidas"/>
  </r>
  <r>
    <x v="1"/>
    <x v="7"/>
    <x v="0"/>
    <s v="COMC02"/>
    <s v="COMBO AMIGOS"/>
    <n v="2"/>
    <n v="119800"/>
    <n v="0"/>
    <n v="47276"/>
    <n v="72524"/>
    <n v="0.60537562604340567"/>
    <n v="0"/>
    <s v="Combos para compartir"/>
    <s v="No Personal"/>
    <s v="Combo"/>
  </r>
  <r>
    <x v="1"/>
    <x v="7"/>
    <x v="0"/>
    <s v="BEB592"/>
    <s v="Coca Cola 400 Ml Zero"/>
    <n v="2"/>
    <n v="11800"/>
    <n v="0"/>
    <n v="2896"/>
    <n v="8904"/>
    <n v="0.75457627118644066"/>
    <n v="0"/>
    <s v="Bebidas"/>
    <s v="Bebidas"/>
    <s v="Bebidas"/>
  </r>
  <r>
    <x v="1"/>
    <x v="7"/>
    <x v="0"/>
    <s v="ENT03"/>
    <s v="CAMARONES APANADOS"/>
    <n v="2"/>
    <n v="33800"/>
    <n v="0"/>
    <n v="12430"/>
    <n v="21370"/>
    <n v="0.63224852071005921"/>
    <n v="0"/>
    <s v="Entradas"/>
    <s v="Otro"/>
    <s v="Otro"/>
  </r>
  <r>
    <x v="1"/>
    <x v="7"/>
    <x v="0"/>
    <s v="BEB584"/>
    <s v="Quatro 400 Ml"/>
    <n v="2"/>
    <n v="9800"/>
    <n v="0"/>
    <n v="2660"/>
    <n v="7140"/>
    <n v="0.72857142857142854"/>
    <n v="0"/>
    <s v="Bebidas"/>
    <s v="Bebidas"/>
    <s v="Bebidas"/>
  </r>
  <r>
    <x v="1"/>
    <x v="7"/>
    <x v="0"/>
    <s v="MON121"/>
    <s v="Chow Fan Pollo trio"/>
    <n v="2"/>
    <n v="67800"/>
    <n v="0"/>
    <n v="28462"/>
    <n v="39338"/>
    <n v="0.58020648967551625"/>
    <n v="0"/>
    <s v="Platos mong"/>
    <s v="No Personal"/>
    <s v="Caja"/>
  </r>
  <r>
    <x v="1"/>
    <x v="7"/>
    <x v="0"/>
    <s v="ADIC563"/>
    <s v="Adición Arroz Frito"/>
    <n v="2"/>
    <n v="10900"/>
    <n v="-900"/>
    <n v="2564"/>
    <n v="8336"/>
    <n v="0.76477064220183488"/>
    <n v="8.2568807339449546E-2"/>
    <s v="Adición"/>
    <s v="Adición"/>
    <s v="Adición"/>
  </r>
  <r>
    <x v="1"/>
    <x v="7"/>
    <x v="0"/>
    <s v="COMC06"/>
    <s v="COMBO FAMILIAR"/>
    <n v="2"/>
    <n v="193800"/>
    <n v="0"/>
    <n v="93560"/>
    <n v="100240"/>
    <n v="0.51723426212590295"/>
    <n v="0"/>
    <s v="Combos para compartir"/>
    <s v="No Personal"/>
    <s v="Combo"/>
  </r>
  <r>
    <x v="1"/>
    <x v="7"/>
    <x v="0"/>
    <s v="COMP08"/>
    <s v="COMBO - Papas 120 grs y Coca Cola 250 ml"/>
    <n v="2"/>
    <n v="15800"/>
    <n v="0"/>
    <n v="6424"/>
    <n v="9376"/>
    <n v="0.59341772151898731"/>
    <n v="0"/>
    <s v="Armalo en combo"/>
    <s v="Personal"/>
    <s v="Combo"/>
  </r>
  <r>
    <x v="1"/>
    <x v="7"/>
    <x v="0"/>
    <s v="BEB583"/>
    <s v="Sprite 400 Ml"/>
    <n v="2"/>
    <n v="9800"/>
    <n v="0"/>
    <n v="2660"/>
    <n v="7140"/>
    <n v="0.72857142857142854"/>
    <n v="0"/>
    <s v="Bebidas"/>
    <s v="Bebidas"/>
    <s v="Bebidas"/>
  </r>
  <r>
    <x v="1"/>
    <x v="7"/>
    <x v="0"/>
    <s v="CAM03"/>
    <s v="Cambio Papas a la francesa 150 grs (*Extra)"/>
    <n v="1"/>
    <n v="500"/>
    <n v="0"/>
    <n v="1569"/>
    <n v="-1069"/>
    <n v="-2.1379999999999999"/>
    <n v="0"/>
    <s v="Adición"/>
    <s v="Otro"/>
    <s v="Otro"/>
  </r>
  <r>
    <x v="1"/>
    <x v="7"/>
    <x v="0"/>
    <s v="BEB609"/>
    <s v="Fusetea Limon CB (*Extra)"/>
    <n v="1"/>
    <n v="1600"/>
    <n v="0"/>
    <n v="1874"/>
    <n v="-274"/>
    <n v="-0.17125000000000001"/>
    <n v="0"/>
    <s v="Bebidas"/>
    <s v="Bebidas Cambio de bebida"/>
    <s v="Bebidas"/>
  </r>
  <r>
    <x v="1"/>
    <x v="7"/>
    <x v="0"/>
    <s v="BEB610"/>
    <s v="Fusetea Durazno CB (*Extra)"/>
    <n v="1"/>
    <n v="1600"/>
    <n v="0"/>
    <n v="1874"/>
    <n v="-274"/>
    <n v="-0.17125000000000001"/>
    <n v="0"/>
    <s v="Bebidas"/>
    <s v="Bebidas Cambio de bebida"/>
    <s v="Bebidas"/>
  </r>
  <r>
    <x v="1"/>
    <x v="7"/>
    <x v="0"/>
    <s v="BEB596"/>
    <s v="Fusetea mango"/>
    <n v="1"/>
    <n v="4900"/>
    <n v="0"/>
    <n v="1896"/>
    <n v="3004"/>
    <n v="0.61306122448979594"/>
    <n v="0"/>
    <s v="Bebidas"/>
    <s v="Bebidas"/>
    <s v="Bebidas"/>
  </r>
  <r>
    <x v="1"/>
    <x v="7"/>
    <x v="0"/>
    <s v="BEB594"/>
    <s v="Premio 400 Ml"/>
    <n v="1"/>
    <n v="4900"/>
    <n v="0"/>
    <n v="1330"/>
    <n v="3570"/>
    <n v="0.72857142857142854"/>
    <n v="0"/>
    <s v="Bebidas"/>
    <s v="Bebidas"/>
    <s v="Bebidas"/>
  </r>
  <r>
    <x v="1"/>
    <x v="7"/>
    <x v="0"/>
    <s v="MON321"/>
    <s v="Chop Suey Pollo trio"/>
    <n v="1"/>
    <n v="34900"/>
    <n v="0"/>
    <n v="11217"/>
    <n v="23683"/>
    <n v="0.67859598853868197"/>
    <n v="0"/>
    <s v="Platos mong"/>
    <s v="No Personal"/>
    <s v="Caja"/>
  </r>
  <r>
    <x v="1"/>
    <x v="7"/>
    <x v="0"/>
    <s v="BEB00"/>
    <s v="Coca Cola 250 Ml Zero CB (*Extra)"/>
    <n v="1"/>
    <n v="0"/>
    <n v="0"/>
    <n v="0"/>
    <n v="0"/>
    <n v="0"/>
    <n v="0"/>
    <s v="Bebidas"/>
    <s v="Bebidas Cambio de bebida"/>
    <s v="Bebidas"/>
  </r>
  <r>
    <x v="1"/>
    <x v="7"/>
    <x v="0"/>
    <s v="BEB590"/>
    <s v="Jugo Del Valle Mandarina"/>
    <n v="1"/>
    <n v="4900"/>
    <n v="0"/>
    <n v="1560"/>
    <n v="3340"/>
    <n v="0.68163265306122445"/>
    <n v="0"/>
    <s v="Bebidas"/>
    <s v="Bebidas"/>
    <s v="Bebidas"/>
  </r>
  <r>
    <x v="1"/>
    <x v="7"/>
    <x v="0"/>
    <s v="MON111"/>
    <s v="Chow Fan Camarones trio"/>
    <n v="1"/>
    <n v="47900"/>
    <n v="0"/>
    <n v="20911"/>
    <n v="26989"/>
    <n v="0.56344467640918583"/>
    <n v="0"/>
    <s v="Platos mong"/>
    <s v="No Personal"/>
    <s v="Caja"/>
  </r>
  <r>
    <x v="1"/>
    <x v="7"/>
    <x v="0"/>
    <s v="MON322"/>
    <s v="Chop Suey Pollo familiar"/>
    <n v="1"/>
    <n v="50900"/>
    <n v="0"/>
    <n v="21117"/>
    <n v="29783"/>
    <n v="0.58512770137524561"/>
    <n v="0"/>
    <s v="Platos mong"/>
    <s v="No Personal"/>
    <s v="Caja"/>
  </r>
  <r>
    <x v="1"/>
    <x v="7"/>
    <x v="0"/>
    <s v="COMC07"/>
    <s v="COMBO ANTOJO"/>
    <n v="1"/>
    <n v="20900"/>
    <n v="0"/>
    <n v="7973"/>
    <n v="12927"/>
    <n v="0.61851674641148324"/>
    <n v="0"/>
    <s v="Combos para compartir"/>
    <s v="No Personal"/>
    <s v="Combo"/>
  </r>
  <r>
    <x v="1"/>
    <x v="7"/>
    <x v="0"/>
    <s v="ADIC565"/>
    <s v="Adición Camaron"/>
    <n v="1"/>
    <n v="6900"/>
    <n v="0"/>
    <n v="3108"/>
    <n v="3792"/>
    <n v="0.54956521739130437"/>
    <n v="0"/>
    <s v="Adición"/>
    <s v="Adición"/>
    <s v="Adición"/>
  </r>
  <r>
    <x v="1"/>
    <x v="7"/>
    <x v="0"/>
    <s v="ADIC561"/>
    <s v="Adición Vegetales"/>
    <n v="1"/>
    <n v="6900"/>
    <n v="0"/>
    <n v="689"/>
    <n v="6211"/>
    <n v="0.90014492753623188"/>
    <n v="0"/>
    <s v="Adición"/>
    <s v="Adición"/>
    <s v="Adición"/>
  </r>
  <r>
    <x v="1"/>
    <x v="7"/>
    <x v="0"/>
    <s v="BEB582"/>
    <s v="Kola Roman 400 Ml"/>
    <n v="1"/>
    <n v="4900"/>
    <n v="0"/>
    <n v="1330"/>
    <n v="3570"/>
    <n v="0.72857142857142854"/>
    <n v="0"/>
    <s v="Bebidas"/>
    <s v="Bebidas"/>
    <s v="Bebidas"/>
  </r>
  <r>
    <x v="1"/>
    <x v="7"/>
    <x v="0"/>
    <s v="COMP09"/>
    <s v="COMBO - Papas 120 grs y agua 280 Ml"/>
    <n v="1"/>
    <n v="7900"/>
    <n v="0"/>
    <n v="2917"/>
    <n v="4983"/>
    <n v="0.63075949367088613"/>
    <n v="0"/>
    <s v="Armalo en combo"/>
    <s v="Personal"/>
    <s v="Combo"/>
  </r>
  <r>
    <x v="1"/>
    <x v="7"/>
    <x v="0"/>
    <s v="BEB600"/>
    <s v="Fuze te limón 1.2"/>
    <n v="1"/>
    <n v="8000"/>
    <n v="0"/>
    <n v="0"/>
    <n v="8000"/>
    <n v="1"/>
    <n v="0"/>
    <s v="Bebidas"/>
    <s v="Bebidas"/>
    <s v="Bebidas"/>
  </r>
  <r>
    <x v="1"/>
    <x v="7"/>
    <x v="0"/>
    <s v="MON112"/>
    <s v="Chow Fan Camarones Familiar"/>
    <n v="1"/>
    <n v="51900"/>
    <n v="0"/>
    <n v="28815"/>
    <n v="23085"/>
    <n v="0.44479768786127166"/>
    <n v="0"/>
    <s v="Platos mong"/>
    <s v="No Personal"/>
    <s v="Caja"/>
  </r>
  <r>
    <x v="1"/>
    <x v="7"/>
    <x v="0"/>
    <s v="COMP11"/>
    <s v="COMBO - Lumpia y agua 280 ML"/>
    <n v="1"/>
    <n v="7900"/>
    <n v="0"/>
    <n v="0"/>
    <n v="7900"/>
    <n v="1"/>
    <n v="0"/>
    <s v="Armalo en combo"/>
    <s v="Personal"/>
    <s v="Combo"/>
  </r>
  <r>
    <x v="1"/>
    <x v="8"/>
    <x v="1"/>
    <s v="COMP01"/>
    <s v="COMBO 1- Valenciano personal"/>
    <n v="218"/>
    <n v="5124200"/>
    <n v="-4000"/>
    <n v="2098686"/>
    <n v="3025514"/>
    <n v="0.59043636079778306"/>
    <n v="7.8060965614144644E-4"/>
    <s v="Combos personales"/>
    <s v="Personal"/>
    <s v="Combo"/>
  </r>
  <r>
    <x v="1"/>
    <x v="8"/>
    <x v="1"/>
    <s v="MON450"/>
    <s v="Arma tu plato"/>
    <n v="163"/>
    <n v="4007049"/>
    <n v="-51651"/>
    <n v="0"/>
    <n v="4007049"/>
    <n v="1"/>
    <n v="1.289003453663781E-2"/>
    <s v="Arma tu plato"/>
    <s v="Personal"/>
    <s v="Caja"/>
  </r>
  <r>
    <x v="1"/>
    <x v="8"/>
    <x v="1"/>
    <s v="ENT04"/>
    <s v="LUMPIAS X 2"/>
    <n v="104"/>
    <n v="923870"/>
    <n v="-1730"/>
    <n v="326456"/>
    <n v="597414"/>
    <n v="0.64664292595278561"/>
    <n v="1.8725578273999588E-3"/>
    <s v="Entradas"/>
    <s v="Otro"/>
    <s v="Otro"/>
  </r>
  <r>
    <x v="1"/>
    <x v="8"/>
    <x v="1"/>
    <s v="ATP01"/>
    <s v="Pollo a la naranja (*Extra)"/>
    <n v="103"/>
    <n v="0"/>
    <n v="0"/>
    <n v="565573"/>
    <n v="-565573"/>
    <n v="0"/>
    <n v="0"/>
    <s v="Arma tu plato"/>
    <s v="Personal"/>
    <s v="Caja"/>
  </r>
  <r>
    <x v="1"/>
    <x v="8"/>
    <x v="1"/>
    <s v="COMP02"/>
    <s v="COMBO 2 - Chow fan especial personal"/>
    <n v="94"/>
    <n v="2362674"/>
    <n v="-7926"/>
    <n v="893094"/>
    <n v="1469580"/>
    <n v="0.62199863375141895"/>
    <n v="3.3546735605504609E-3"/>
    <s v="Combos personales"/>
    <s v="Personal"/>
    <s v="Combo"/>
  </r>
  <r>
    <x v="1"/>
    <x v="8"/>
    <x v="1"/>
    <s v="ATP10"/>
    <s v="Cerdo agridulce (*Extra)"/>
    <n v="67"/>
    <n v="0"/>
    <n v="0"/>
    <n v="366289"/>
    <n v="-366289"/>
    <n v="0"/>
    <n v="0"/>
    <s v="Arma tu plato"/>
    <s v="Personal"/>
    <s v="Caja"/>
  </r>
  <r>
    <x v="1"/>
    <x v="8"/>
    <x v="1"/>
    <s v="COMP03"/>
    <s v="COMBO 3 - Chop suey especial personal"/>
    <n v="67"/>
    <n v="1900300"/>
    <n v="0"/>
    <n v="641190"/>
    <n v="1259110"/>
    <n v="0.66258485502289111"/>
    <n v="0"/>
    <s v="Combos personales"/>
    <s v="Personal"/>
    <s v="Combo"/>
  </r>
  <r>
    <x v="1"/>
    <x v="8"/>
    <x v="1"/>
    <s v="COMP05"/>
    <s v="COMBO 5 - Chow Mein especial personal"/>
    <n v="66"/>
    <n v="1890400"/>
    <n v="-1000"/>
    <n v="742698"/>
    <n v="1147702"/>
    <n v="0.60712124418112567"/>
    <n v="5.2898857384680491E-4"/>
    <s v="Combos personales"/>
    <s v="Personal"/>
    <s v="Combo"/>
  </r>
  <r>
    <x v="1"/>
    <x v="8"/>
    <x v="1"/>
    <s v="ATP09"/>
    <s v="Res brócoli (*Extra)"/>
    <n v="63"/>
    <n v="0"/>
    <n v="0"/>
    <n v="209286"/>
    <n v="-209286"/>
    <n v="0"/>
    <n v="0"/>
    <s v="Arma tu plato"/>
    <s v="Personal"/>
    <s v="Caja"/>
  </r>
  <r>
    <x v="1"/>
    <x v="8"/>
    <x v="1"/>
    <s v="MONE701"/>
    <s v="Mong Express Chow fan"/>
    <n v="60"/>
    <n v="1178000"/>
    <n v="0"/>
    <n v="0"/>
    <n v="1178000"/>
    <n v="1"/>
    <n v="0"/>
    <s v="Mong Express"/>
    <s v="Personal"/>
    <s v="Caja"/>
  </r>
  <r>
    <x v="1"/>
    <x v="8"/>
    <x v="1"/>
    <s v="ATP03"/>
    <s v="Arroz vegetales (*Extra)"/>
    <n v="55"/>
    <n v="109851"/>
    <n v="-149"/>
    <n v="111925"/>
    <n v="-2074"/>
    <n v="-1.888011943450674E-2"/>
    <n v="1.3563827366159615E-3"/>
    <s v="Arma tu plato"/>
    <s v="Personal"/>
    <s v="Caja"/>
  </r>
  <r>
    <x v="1"/>
    <x v="8"/>
    <x v="1"/>
    <s v="ATP02"/>
    <s v="Camarones apanados 7 (*Extra)"/>
    <n v="54"/>
    <n v="108000"/>
    <n v="0"/>
    <n v="167832"/>
    <n v="-59832"/>
    <n v="-0.55400000000000005"/>
    <n v="0"/>
    <s v="Arma tu plato"/>
    <s v="Personal"/>
    <s v="Caja"/>
  </r>
  <r>
    <x v="1"/>
    <x v="8"/>
    <x v="1"/>
    <s v="BEB581"/>
    <s v="Coca Cola 400 Ml Normal"/>
    <n v="53"/>
    <n v="301027"/>
    <n v="-873"/>
    <n v="89835"/>
    <n v="211192"/>
    <n v="0.70157161982147775"/>
    <n v="2.9000720865570199E-3"/>
    <s v="Bebidas"/>
    <s v="Bebidas"/>
    <s v="Bebidas"/>
  </r>
  <r>
    <x v="1"/>
    <x v="8"/>
    <x v="1"/>
    <s v="MONE700"/>
    <s v="Mong Express Chop suey pollo"/>
    <n v="52"/>
    <n v="1012800"/>
    <n v="0"/>
    <n v="425516"/>
    <n v="587284"/>
    <n v="0.57986176935229072"/>
    <n v="0"/>
    <s v="Mong Express"/>
    <s v="Personal"/>
    <s v="Caja"/>
  </r>
  <r>
    <x v="1"/>
    <x v="8"/>
    <x v="1"/>
    <s v="ATP04"/>
    <s v="Chop suey (*Extra)"/>
    <n v="44"/>
    <n v="0"/>
    <n v="0"/>
    <n v="115896"/>
    <n v="-115896"/>
    <n v="0"/>
    <n v="0"/>
    <s v="Arma tu plato"/>
    <s v="Personal"/>
    <s v="Caja"/>
  </r>
  <r>
    <x v="1"/>
    <x v="8"/>
    <x v="1"/>
    <s v="ATP06"/>
    <s v="Arroz Frito ATP (*Extra)"/>
    <n v="35"/>
    <n v="0"/>
    <n v="0"/>
    <n v="44870"/>
    <n v="-44870"/>
    <n v="0"/>
    <n v="0"/>
    <s v="Arma tu plato"/>
    <s v="Personal"/>
    <s v="Caja"/>
  </r>
  <r>
    <x v="1"/>
    <x v="8"/>
    <x v="1"/>
    <s v="BEB585"/>
    <s v="Agua Normal 600 Ml"/>
    <n v="33"/>
    <n v="161238"/>
    <n v="-462"/>
    <n v="36135"/>
    <n v="125103"/>
    <n v="0.77589029881293492"/>
    <n v="2.8653295128939827E-3"/>
    <s v="Bebidas"/>
    <s v="Bebidas"/>
    <s v="Bebidas"/>
  </r>
  <r>
    <x v="1"/>
    <x v="8"/>
    <x v="1"/>
    <s v="PESP04"/>
    <s v="SUN KEE"/>
    <n v="33"/>
    <n v="909122"/>
    <n v="-2578"/>
    <n v="450054"/>
    <n v="459068"/>
    <n v="0.5049575304524585"/>
    <n v="2.8357030189567517E-3"/>
    <s v="Platos especiales"/>
    <s v="Personal"/>
    <s v="Platos Especiales"/>
  </r>
  <r>
    <x v="1"/>
    <x v="8"/>
    <x v="1"/>
    <s v="BEB620"/>
    <s v="Agua 280 ml CB (*Extra)"/>
    <n v="31"/>
    <n v="0"/>
    <n v="0"/>
    <n v="26908"/>
    <n v="-26908"/>
    <n v="0"/>
    <n v="0"/>
    <s v="Bebidas"/>
    <s v="Bebidas Cambio de bebida"/>
    <s v="Bebidas"/>
  </r>
  <r>
    <x v="1"/>
    <x v="8"/>
    <x v="1"/>
    <s v="ATP05"/>
    <s v="Chow mein (*Extra)"/>
    <n v="29"/>
    <n v="0"/>
    <n v="0"/>
    <n v="89813"/>
    <n v="-89813"/>
    <n v="0"/>
    <n v="0"/>
    <s v="Arma tu plato"/>
    <s v="Personal"/>
    <s v="Caja"/>
  </r>
  <r>
    <x v="1"/>
    <x v="8"/>
    <x v="1"/>
    <s v="MON100"/>
    <s v="Chow Fan Especial Personal"/>
    <n v="29"/>
    <n v="550354"/>
    <n v="-2746"/>
    <n v="196272"/>
    <n v="354082"/>
    <n v="0.64337135734454554"/>
    <n v="4.9895158388964193E-3"/>
    <s v="Platos mong"/>
    <s v="Personal"/>
    <s v="Caja"/>
  </r>
  <r>
    <x v="1"/>
    <x v="8"/>
    <x v="1"/>
    <s v="BEB588"/>
    <s v="Fusetea Limon"/>
    <n v="28"/>
    <n v="137200"/>
    <n v="0"/>
    <n v="43680"/>
    <n v="93520"/>
    <n v="0.68163265306122445"/>
    <n v="0"/>
    <s v="Bebidas"/>
    <s v="Bebidas"/>
    <s v="Bebidas"/>
  </r>
  <r>
    <x v="1"/>
    <x v="8"/>
    <x v="1"/>
    <s v="ENT02"/>
    <s v="LUMPIA X 1"/>
    <n v="23"/>
    <n v="109260"/>
    <n v="-5740"/>
    <n v="36087"/>
    <n v="73173"/>
    <n v="0.66971444261394841"/>
    <n v="5.2535237049240346E-2"/>
    <s v="Entradas"/>
    <s v="Otro"/>
    <s v="Otro"/>
  </r>
  <r>
    <x v="1"/>
    <x v="8"/>
    <x v="1"/>
    <s v="MON300"/>
    <s v="Chop suey especial personal"/>
    <n v="22"/>
    <n v="452800"/>
    <n v="0"/>
    <n v="150436"/>
    <n v="302364"/>
    <n v="0.66776501766784457"/>
    <n v="0"/>
    <s v="Platos mong"/>
    <s v="Personal"/>
    <s v="Caja"/>
  </r>
  <r>
    <x v="1"/>
    <x v="8"/>
    <x v="1"/>
    <s v="BEB592"/>
    <s v="Coca Cola 400 Ml Zero"/>
    <n v="21"/>
    <n v="119900"/>
    <n v="-400"/>
    <n v="30408"/>
    <n v="89492"/>
    <n v="0.74638865721434533"/>
    <n v="3.336113427856547E-3"/>
    <s v="Bebidas"/>
    <s v="Bebidas"/>
    <s v="Bebidas"/>
  </r>
  <r>
    <x v="1"/>
    <x v="8"/>
    <x v="1"/>
    <s v="ATP08"/>
    <s v="Pollo Apanado ATP (*Extra)"/>
    <n v="21"/>
    <n v="0"/>
    <n v="0"/>
    <n v="110523"/>
    <n v="-110523"/>
    <n v="0"/>
    <n v="0"/>
    <s v="Arma tu plato"/>
    <s v="Personal"/>
    <s v="Caja"/>
  </r>
  <r>
    <x v="1"/>
    <x v="8"/>
    <x v="1"/>
    <s v="MON500"/>
    <s v="Arroz vegetales especial personal"/>
    <n v="21"/>
    <n v="480900"/>
    <n v="0"/>
    <n v="157794"/>
    <n v="323106"/>
    <n v="0.67187772925764189"/>
    <n v="0"/>
    <s v="Platos mong"/>
    <s v="Personal"/>
    <s v="Caja"/>
  </r>
  <r>
    <x v="1"/>
    <x v="8"/>
    <x v="1"/>
    <s v="MON130"/>
    <s v="Chow Fan Valenciano Personal"/>
    <n v="21"/>
    <n v="453974"/>
    <n v="-1926"/>
    <n v="177744"/>
    <n v="276230"/>
    <n v="0.60847096970311076"/>
    <n v="4.2425337133844667E-3"/>
    <s v="Platos mong"/>
    <s v="Personal"/>
    <s v="Caja"/>
  </r>
  <r>
    <x v="1"/>
    <x v="8"/>
    <x v="1"/>
    <s v="ADIC564"/>
    <s v="Adición Presa de pollo"/>
    <n v="20"/>
    <n v="131100"/>
    <n v="-6900"/>
    <n v="49280"/>
    <n v="81820"/>
    <n v="0.6241037376048818"/>
    <n v="5.2631578947368418E-2"/>
    <s v="Adición"/>
    <s v="Adición"/>
    <s v="Adición"/>
  </r>
  <r>
    <x v="1"/>
    <x v="8"/>
    <x v="1"/>
    <s v="BEB580"/>
    <s v="Coca Cola 250 Ml Normal"/>
    <n v="20"/>
    <n v="73600"/>
    <n v="0"/>
    <n v="23260"/>
    <n v="50340"/>
    <n v="0.6839673913043478"/>
    <n v="0"/>
    <s v="Bebidas"/>
    <s v="Bebidas"/>
    <s v="Bebidas"/>
  </r>
  <r>
    <x v="1"/>
    <x v="8"/>
    <x v="1"/>
    <s v="ADIC560"/>
    <s v="Adición Papa frita"/>
    <n v="20"/>
    <n v="118000"/>
    <n v="0"/>
    <n v="81960"/>
    <n v="36040"/>
    <n v="0.30542372881355934"/>
    <n v="0"/>
    <s v="Adición"/>
    <s v="Adición"/>
    <s v="Adición"/>
  </r>
  <r>
    <x v="1"/>
    <x v="8"/>
    <x v="1"/>
    <s v="ADIC563"/>
    <s v="Adición Arroz Frito"/>
    <n v="20"/>
    <n v="107158"/>
    <n v="-4542"/>
    <n v="25640"/>
    <n v="81518"/>
    <n v="0.76072715056272044"/>
    <n v="4.2386009443998583E-2"/>
    <s v="Adición"/>
    <s v="Adición"/>
    <s v="Adición"/>
  </r>
  <r>
    <x v="1"/>
    <x v="8"/>
    <x v="1"/>
    <s v="PESP03"/>
    <s v="LING"/>
    <n v="19"/>
    <n v="523100"/>
    <n v="0"/>
    <n v="257773"/>
    <n v="265327"/>
    <n v="0.50722041674632001"/>
    <n v="0"/>
    <s v="Platos especiales"/>
    <s v="Personal"/>
    <s v="Platos Especiales"/>
  </r>
  <r>
    <x v="1"/>
    <x v="8"/>
    <x v="1"/>
    <s v="COMP10"/>
    <s v="COMBO - Lumpia y Coca Cola 250 ml"/>
    <n v="17"/>
    <n v="132300"/>
    <n v="0"/>
    <n v="0"/>
    <n v="132300"/>
    <n v="1"/>
    <n v="0"/>
    <s v="Armalo en combo"/>
    <s v="Personal"/>
    <s v="Combo"/>
  </r>
  <r>
    <x v="1"/>
    <x v="8"/>
    <x v="1"/>
    <s v="ATP07"/>
    <s v="Pollo presa ATP (*Extra)"/>
    <n v="16"/>
    <n v="0"/>
    <n v="0"/>
    <n v="45584"/>
    <n v="-45584"/>
    <n v="0"/>
    <n v="0"/>
    <s v="Arma tu plato"/>
    <s v="Personal"/>
    <s v="Caja"/>
  </r>
  <r>
    <x v="1"/>
    <x v="8"/>
    <x v="1"/>
    <s v="PESP05"/>
    <s v="WONG- Menú infantil"/>
    <n v="15"/>
    <n v="228150"/>
    <n v="-25350"/>
    <n v="106875"/>
    <n v="121275"/>
    <n v="0.5315581854043393"/>
    <n v="0.1111111111111111"/>
    <s v="Platos especiales"/>
    <s v="Personal"/>
    <s v="Platos Especiales"/>
  </r>
  <r>
    <x v="1"/>
    <x v="8"/>
    <x v="1"/>
    <s v="MON101"/>
    <s v="Chow fan especial duo"/>
    <n v="14"/>
    <n v="641600"/>
    <n v="0"/>
    <n v="280742"/>
    <n v="360858"/>
    <n v="0.56243453865336657"/>
    <n v="0"/>
    <s v="Platos mong"/>
    <s v="No Personal"/>
    <s v="Platos Especiales"/>
  </r>
  <r>
    <x v="1"/>
    <x v="8"/>
    <x v="1"/>
    <s v="COMP04"/>
    <s v="COMBO 4 - arroz vegetales especial"/>
    <n v="14"/>
    <n v="404600"/>
    <n v="0"/>
    <n v="143458"/>
    <n v="261142"/>
    <n v="0.64543252595155709"/>
    <n v="0"/>
    <s v="Combos personales"/>
    <s v="Personal"/>
    <s v="Combo"/>
  </r>
  <r>
    <x v="1"/>
    <x v="8"/>
    <x v="1"/>
    <s v="BEB598"/>
    <s v="Coca Cola 1,5 litros"/>
    <n v="14"/>
    <n v="138600"/>
    <n v="0"/>
    <n v="63014"/>
    <n v="75586"/>
    <n v="0.54535353535353537"/>
    <n v="0"/>
    <s v="Bebidas"/>
    <s v="Bebidas"/>
    <s v="Bebidas"/>
  </r>
  <r>
    <x v="1"/>
    <x v="8"/>
    <x v="1"/>
    <s v="MON131"/>
    <s v="Chow Fan Valenciano Duo"/>
    <n v="13"/>
    <n v="726700"/>
    <n v="0"/>
    <n v="244634"/>
    <n v="482066"/>
    <n v="0.66336314847942757"/>
    <n v="0"/>
    <s v="Platos mong"/>
    <s v="No Personal"/>
    <s v="Caja"/>
  </r>
  <r>
    <x v="1"/>
    <x v="8"/>
    <x v="1"/>
    <s v="BEB593"/>
    <s v="Coca Cola 250 Ml Zero"/>
    <n v="13"/>
    <n v="47870"/>
    <n v="-30"/>
    <n v="16783"/>
    <n v="31087"/>
    <n v="0.64940463756005851"/>
    <n v="6.2669730520158759E-4"/>
    <s v="Bebidas"/>
    <s v="Bebidas"/>
    <s v="Bebidas"/>
  </r>
  <r>
    <x v="1"/>
    <x v="8"/>
    <x v="1"/>
    <s v="BEB595"/>
    <s v="Agua Manzana 600 Ml"/>
    <n v="12"/>
    <n v="58800"/>
    <n v="0"/>
    <n v="16476"/>
    <n v="42324"/>
    <n v="0.71979591836734691"/>
    <n v="0"/>
    <s v="Bebidas"/>
    <s v="Bebidas"/>
    <s v="Bebidas"/>
  </r>
  <r>
    <x v="1"/>
    <x v="8"/>
    <x v="1"/>
    <s v="BEB584"/>
    <s v="Quatro 400 Ml"/>
    <n v="12"/>
    <n v="58378"/>
    <n v="-422"/>
    <n v="15960"/>
    <n v="42418"/>
    <n v="0.72660933913460546"/>
    <n v="7.2287505567165712E-3"/>
    <s v="Bebidas"/>
    <s v="Bebidas"/>
    <s v="Bebidas"/>
  </r>
  <r>
    <x v="1"/>
    <x v="8"/>
    <x v="1"/>
    <s v="MON120"/>
    <s v="Chow Fan Pollo Personal"/>
    <n v="12"/>
    <n v="183346"/>
    <n v="-1454"/>
    <n v="72768"/>
    <n v="110578"/>
    <n v="0.60311105778146235"/>
    <n v="7.9303611750460874E-3"/>
    <s v="Platos mong"/>
    <s v="Personal"/>
    <s v="Caja"/>
  </r>
  <r>
    <x v="1"/>
    <x v="8"/>
    <x v="1"/>
    <s v="BEB01"/>
    <s v="Coca Cola 250 Ml Normal CB (*Extra)"/>
    <n v="11"/>
    <n v="9926"/>
    <n v="-74"/>
    <n v="21395"/>
    <n v="-11469"/>
    <n v="-1.1554503324602055"/>
    <n v="7.4551682450130973E-3"/>
    <s v="Bebidas"/>
    <s v="Bebidas Cambio de bebida"/>
    <s v="Bebidas"/>
  </r>
  <r>
    <x v="1"/>
    <x v="8"/>
    <x v="1"/>
    <s v="PESP02"/>
    <s v="MONG"/>
    <n v="10"/>
    <n v="249000"/>
    <n v="0"/>
    <n v="127180"/>
    <n v="121820"/>
    <n v="0.48923694779116467"/>
    <n v="0"/>
    <s v="Platos especiales"/>
    <s v="Personal"/>
    <s v="Platos Especiales"/>
  </r>
  <r>
    <x v="1"/>
    <x v="8"/>
    <x v="1"/>
    <s v="PESP01"/>
    <s v="MING"/>
    <n v="10"/>
    <n v="289000"/>
    <n v="0"/>
    <n v="76050"/>
    <n v="212950"/>
    <n v="0.73685121107266438"/>
    <n v="0"/>
    <s v="Platos especiales"/>
    <s v="Personal"/>
    <s v="Platos Especiales"/>
  </r>
  <r>
    <x v="1"/>
    <x v="8"/>
    <x v="1"/>
    <s v="BEB609"/>
    <s v="Fusetea Limon CB (*Extra)"/>
    <n v="10"/>
    <n v="15600"/>
    <n v="0"/>
    <n v="18740"/>
    <n v="-3140"/>
    <n v="-0.20128205128205129"/>
    <n v="0"/>
    <s v="Bebidas"/>
    <s v="Bebidas Cambio de bebida"/>
    <s v="Bebidas"/>
  </r>
  <r>
    <x v="1"/>
    <x v="8"/>
    <x v="1"/>
    <s v="COMC04"/>
    <s v="COMBO FAMIAMIGOS"/>
    <n v="10"/>
    <n v="823000"/>
    <n v="0"/>
    <n v="392210"/>
    <n v="430790"/>
    <n v="0.52343863912515187"/>
    <n v="0"/>
    <s v="Combos para compartir"/>
    <s v="No Personal"/>
    <s v="Combo"/>
  </r>
  <r>
    <x v="1"/>
    <x v="8"/>
    <x v="1"/>
    <s v="ENT03"/>
    <s v="CAMARONES APANADOS"/>
    <n v="10"/>
    <n v="174000"/>
    <n v="0"/>
    <n v="62150"/>
    <n v="111850"/>
    <n v="0.64281609195402301"/>
    <n v="0"/>
    <s v="Entradas"/>
    <s v="Otro"/>
    <s v="Otro"/>
  </r>
  <r>
    <x v="1"/>
    <x v="8"/>
    <x v="1"/>
    <s v="BEB587"/>
    <s v="Agua Limón 600 Ml"/>
    <n v="10"/>
    <n v="49000"/>
    <n v="0"/>
    <n v="13730"/>
    <n v="35270"/>
    <n v="0.71979591836734691"/>
    <n v="0"/>
    <s v="Bebidas"/>
    <s v="Bebidas"/>
    <s v="Bebidas"/>
  </r>
  <r>
    <x v="1"/>
    <x v="8"/>
    <x v="1"/>
    <s v="BEB589"/>
    <s v="Fusetea Durazno"/>
    <n v="9"/>
    <n v="44100"/>
    <n v="0"/>
    <n v="14040"/>
    <n v="30060"/>
    <n v="0.68163265306122445"/>
    <n v="0"/>
    <s v="Bebidas"/>
    <s v="Bebidas"/>
    <s v="Bebidas"/>
  </r>
  <r>
    <x v="1"/>
    <x v="8"/>
    <x v="1"/>
    <s v="COMC02"/>
    <s v="COMBO AMIGOS"/>
    <n v="9"/>
    <n v="539100"/>
    <n v="0"/>
    <n v="212742"/>
    <n v="326358"/>
    <n v="0.60537562604340567"/>
    <n v="0"/>
    <s v="Combos para compartir"/>
    <s v="No Personal"/>
    <s v="Combo"/>
  </r>
  <r>
    <x v="1"/>
    <x v="8"/>
    <x v="1"/>
    <s v="BEB586"/>
    <s v="Agua Gas 600 Ml"/>
    <n v="9"/>
    <n v="34300"/>
    <n v="-9800"/>
    <n v="11592"/>
    <n v="22708"/>
    <n v="0.66204081632653056"/>
    <n v="0.2857142857142857"/>
    <s v="Bebidas"/>
    <s v="Bebidas"/>
    <s v="Bebidas"/>
  </r>
  <r>
    <x v="1"/>
    <x v="8"/>
    <x v="1"/>
    <s v="BEB599"/>
    <s v="Agua 280 ml"/>
    <n v="9"/>
    <n v="24900"/>
    <n v="-6600"/>
    <n v="7812"/>
    <n v="17088"/>
    <n v="0.6862650602409639"/>
    <n v="0.26506024096385544"/>
    <s v="Bebidas"/>
    <s v="Bebidas"/>
    <s v="Bebidas"/>
  </r>
  <r>
    <x v="1"/>
    <x v="8"/>
    <x v="1"/>
    <s v="BEB583"/>
    <s v="Sprite 400 Ml"/>
    <n v="8"/>
    <n v="39200"/>
    <n v="0"/>
    <n v="10640"/>
    <n v="28560"/>
    <n v="0.72857142857142854"/>
    <n v="0"/>
    <s v="Bebidas"/>
    <s v="Bebidas"/>
    <s v="Bebidas"/>
  </r>
  <r>
    <x v="1"/>
    <x v="8"/>
    <x v="1"/>
    <s v="COMP08"/>
    <s v="COMBO - Papas 120 grs y Coca Cola 250 ml"/>
    <n v="8"/>
    <n v="63200"/>
    <n v="0"/>
    <n v="25696"/>
    <n v="37504"/>
    <n v="0.59341772151898731"/>
    <n v="0"/>
    <s v="Armalo en combo"/>
    <s v="Personal"/>
    <s v="Combo"/>
  </r>
  <r>
    <x v="1"/>
    <x v="8"/>
    <x v="1"/>
    <s v="MON320"/>
    <s v="Chop Suey Pollo Personal"/>
    <n v="8"/>
    <n v="150200"/>
    <n v="0"/>
    <n v="43688"/>
    <n v="106512"/>
    <n v="0.70913448735019968"/>
    <n v="0"/>
    <s v="Platos mong"/>
    <s v="Personal"/>
    <s v="Caja"/>
  </r>
  <r>
    <x v="1"/>
    <x v="8"/>
    <x v="1"/>
    <s v="MON200"/>
    <s v="Chow Mein Especial Personal"/>
    <n v="8"/>
    <n v="163031"/>
    <n v="-169"/>
    <n v="68168"/>
    <n v="94863"/>
    <n v="0.5818709325220357"/>
    <n v="1.0366126687562489E-3"/>
    <s v="Platos mong"/>
    <s v="Personal"/>
    <s v="Caja"/>
  </r>
  <r>
    <x v="1"/>
    <x v="8"/>
    <x v="1"/>
    <s v="COMP11"/>
    <s v="COMBO - Lumpia y agua 280 ML"/>
    <n v="7"/>
    <n v="53300"/>
    <n v="0"/>
    <n v="0"/>
    <n v="53300"/>
    <n v="1"/>
    <n v="0"/>
    <s v="Armalo en combo"/>
    <s v="Personal"/>
    <s v="Combo"/>
  </r>
  <r>
    <x v="1"/>
    <x v="8"/>
    <x v="1"/>
    <s v="MON110"/>
    <s v="Chow Fan Camarones Personal"/>
    <n v="7"/>
    <n v="155913"/>
    <n v="-3387"/>
    <n v="65828"/>
    <n v="90085"/>
    <n v="0.57779017785559894"/>
    <n v="2.1723653576032786E-2"/>
    <s v="Platos mong"/>
    <s v="Personal"/>
    <s v="Caja"/>
  </r>
  <r>
    <x v="1"/>
    <x v="8"/>
    <x v="1"/>
    <s v="BEB594"/>
    <s v="Premio 400 Ml"/>
    <n v="6"/>
    <n v="29400"/>
    <n v="0"/>
    <n v="7980"/>
    <n v="21420"/>
    <n v="0.72857142857142854"/>
    <n v="0"/>
    <s v="Bebidas"/>
    <s v="Bebidas"/>
    <s v="Bebidas"/>
  </r>
  <r>
    <x v="1"/>
    <x v="8"/>
    <x v="1"/>
    <s v="BEB601"/>
    <s v="Coca Cola 400 Ml Normal CB (*Extra)"/>
    <n v="6"/>
    <n v="13500"/>
    <n v="0"/>
    <n v="13410"/>
    <n v="90"/>
    <n v="6.6666666666666671E-3"/>
    <n v="0"/>
    <s v="Bebidas"/>
    <s v="Bebidas Cambio de bebida"/>
    <s v="Bebidas"/>
  </r>
  <r>
    <x v="1"/>
    <x v="8"/>
    <x v="1"/>
    <s v="MON220"/>
    <s v="Chow Mein Pollo Personal"/>
    <n v="6"/>
    <n v="107400"/>
    <n v="0"/>
    <n v="42846"/>
    <n v="64554"/>
    <n v="0.60106145251396648"/>
    <n v="0"/>
    <s v="Platos mong"/>
    <s v="Personal"/>
    <s v="Caja"/>
  </r>
  <r>
    <x v="1"/>
    <x v="8"/>
    <x v="1"/>
    <s v="BEB591"/>
    <s v="Jugo del valle naranja"/>
    <n v="6"/>
    <n v="28926"/>
    <n v="-474"/>
    <n v="9360"/>
    <n v="19566"/>
    <n v="0.67641568139390174"/>
    <n v="1.6386641775565234E-2"/>
    <s v="Bebidas"/>
    <s v="Bebidas"/>
    <s v="Bebidas"/>
  </r>
  <r>
    <x v="1"/>
    <x v="8"/>
    <x v="1"/>
    <s v="BEB00"/>
    <s v="Coca Cola 250 Ml Zero CB (*Extra)"/>
    <n v="6"/>
    <n v="0"/>
    <n v="0"/>
    <n v="0"/>
    <n v="0"/>
    <n v="0"/>
    <n v="0"/>
    <s v="Bebidas"/>
    <s v="Bebidas Cambio de bebida"/>
    <s v="Bebidas"/>
  </r>
  <r>
    <x v="1"/>
    <x v="8"/>
    <x v="1"/>
    <s v="DELI01"/>
    <s v="Valenciano personal"/>
    <n v="5"/>
    <n v="99500"/>
    <n v="0"/>
    <n v="0"/>
    <n v="99500"/>
    <n v="1"/>
    <n v="0"/>
    <s v="Combos personales"/>
    <s v="Personal"/>
    <s v="Combo"/>
  </r>
  <r>
    <x v="1"/>
    <x v="8"/>
    <x v="1"/>
    <s v="CAM04"/>
    <s v="Lumpia cambio (*Extra)"/>
    <n v="5"/>
    <n v="0"/>
    <n v="0"/>
    <n v="10245"/>
    <n v="-10245"/>
    <n v="0"/>
    <n v="0"/>
    <s v="Adición"/>
    <s v="Otro"/>
    <s v="Otro"/>
  </r>
  <r>
    <x v="1"/>
    <x v="8"/>
    <x v="1"/>
    <s v="ADIC565"/>
    <s v="Adición Camaron"/>
    <n v="5"/>
    <n v="34500"/>
    <n v="0"/>
    <n v="15540"/>
    <n v="18960"/>
    <n v="0.54956521739130437"/>
    <n v="0"/>
    <s v="Adición"/>
    <s v="Adición"/>
    <s v="Adición"/>
  </r>
  <r>
    <x v="1"/>
    <x v="8"/>
    <x v="1"/>
    <s v="COMC07"/>
    <s v="COMBO ANTOJO"/>
    <n v="5"/>
    <n v="104500"/>
    <n v="0"/>
    <n v="39865"/>
    <n v="64635"/>
    <n v="0.61851674641148324"/>
    <n v="0"/>
    <s v="Combos para compartir"/>
    <s v="No Personal"/>
    <s v="Combo"/>
  </r>
  <r>
    <x v="1"/>
    <x v="8"/>
    <x v="1"/>
    <s v="COMC06"/>
    <s v="COMBO FAMILIAR"/>
    <n v="5"/>
    <n v="470500"/>
    <n v="0"/>
    <n v="233900"/>
    <n v="236600"/>
    <n v="0.50286928799149844"/>
    <n v="0"/>
    <s v="Combos para compartir"/>
    <s v="No Personal"/>
    <s v="Combo"/>
  </r>
  <r>
    <x v="1"/>
    <x v="8"/>
    <x v="1"/>
    <s v="BEB597"/>
    <s v="Fusetea manzana"/>
    <n v="5"/>
    <n v="24500"/>
    <n v="0"/>
    <n v="7800"/>
    <n v="16700"/>
    <n v="0.68163265306122445"/>
    <n v="0"/>
    <s v="Bebidas"/>
    <s v="Bebidas"/>
    <s v="Bebidas"/>
  </r>
  <r>
    <x v="1"/>
    <x v="8"/>
    <x v="1"/>
    <s v="ADIC490"/>
    <s v="Adicion - Pollo en trozos"/>
    <n v="5"/>
    <n v="34441"/>
    <n v="-59"/>
    <n v="11225"/>
    <n v="23216"/>
    <n v="0.67408031125693213"/>
    <n v="1.7130745332597777E-3"/>
    <s v="Adición"/>
    <s v="Adición"/>
    <s v="Adición"/>
  </r>
  <r>
    <x v="1"/>
    <x v="8"/>
    <x v="1"/>
    <s v="MON132"/>
    <s v="Chow Fan Valenciano familiar"/>
    <n v="4"/>
    <n v="230700"/>
    <n v="-76900"/>
    <n v="138620"/>
    <n v="92080"/>
    <n v="0.39913307325530994"/>
    <n v="0.33333333333333331"/>
    <s v="Platos mong"/>
    <s v="No Personal"/>
    <s v="Caja"/>
  </r>
  <r>
    <x v="1"/>
    <x v="8"/>
    <x v="1"/>
    <s v="MON330"/>
    <s v="Chop Suey Vegetariano Personal"/>
    <n v="4"/>
    <n v="69600"/>
    <n v="0"/>
    <n v="21864"/>
    <n v="47736"/>
    <n v="0.68586206896551727"/>
    <n v="0"/>
    <s v="Platos mong"/>
    <s v="Personal"/>
    <s v="Caja"/>
  </r>
  <r>
    <x v="1"/>
    <x v="8"/>
    <x v="1"/>
    <s v="ADIC566"/>
    <s v="Pollo a la naranja"/>
    <n v="4"/>
    <n v="31600"/>
    <n v="0"/>
    <n v="0"/>
    <n v="31600"/>
    <n v="1"/>
    <n v="0"/>
    <s v="Adición"/>
    <s v="Adición"/>
    <s v="Adición"/>
  </r>
  <r>
    <x v="1"/>
    <x v="8"/>
    <x v="1"/>
    <s v="MON122"/>
    <s v="Chow Fan Pollo familiar"/>
    <n v="4"/>
    <n v="223600"/>
    <n v="0"/>
    <n v="97020"/>
    <n v="126580"/>
    <n v="0.5661001788908766"/>
    <n v="0"/>
    <s v="Platos mong"/>
    <s v="No Personal"/>
    <s v="Caja"/>
  </r>
  <r>
    <x v="1"/>
    <x v="8"/>
    <x v="1"/>
    <s v="MON102"/>
    <s v="Chow Fan Especial familiar"/>
    <n v="4"/>
    <n v="267600"/>
    <n v="0"/>
    <n v="129404"/>
    <n v="138196"/>
    <n v="0.51642750373692081"/>
    <n v="0"/>
    <s v="Platos mong"/>
    <s v="No Personal"/>
    <s v="Caja"/>
  </r>
  <r>
    <x v="1"/>
    <x v="8"/>
    <x v="1"/>
    <s v="MON210"/>
    <s v="Chow Mein Camaron Personal"/>
    <n v="3"/>
    <n v="74700"/>
    <n v="0"/>
    <n v="31443"/>
    <n v="43257"/>
    <n v="0.57907630522088349"/>
    <n v="0"/>
    <s v="Platos mong"/>
    <s v="Personal"/>
    <s v="Caja"/>
  </r>
  <r>
    <x v="1"/>
    <x v="8"/>
    <x v="1"/>
    <s v="MON301"/>
    <s v="Chop Suey Especial trio"/>
    <n v="3"/>
    <n v="93800"/>
    <n v="-46900"/>
    <n v="33996"/>
    <n v="59804"/>
    <n v="0.63756929637526649"/>
    <n v="0.5"/>
    <s v="Platos mong"/>
    <s v="No Personal"/>
    <s v="Caja"/>
  </r>
  <r>
    <x v="1"/>
    <x v="8"/>
    <x v="1"/>
    <s v="MON121"/>
    <s v="Chow Fan Pollo trio"/>
    <n v="3"/>
    <n v="119700"/>
    <n v="0"/>
    <n v="42693"/>
    <n v="77007"/>
    <n v="0.64333333333333331"/>
    <n v="0"/>
    <s v="Platos mong"/>
    <s v="No Personal"/>
    <s v="Caja"/>
  </r>
  <r>
    <x v="1"/>
    <x v="8"/>
    <x v="1"/>
    <s v="ENT01"/>
    <s v="Deditos de Pollo"/>
    <n v="3"/>
    <n v="47700"/>
    <n v="0"/>
    <n v="30084"/>
    <n v="17616"/>
    <n v="0.36930817610062894"/>
    <n v="0"/>
    <s v="Entradas"/>
    <s v="Otro"/>
    <s v="Otro"/>
  </r>
  <r>
    <x v="1"/>
    <x v="8"/>
    <x v="1"/>
    <s v="BEB596"/>
    <s v="Fusetea mango"/>
    <n v="3"/>
    <n v="14700"/>
    <n v="0"/>
    <n v="5688"/>
    <n v="9012"/>
    <n v="0.61306122448979594"/>
    <n v="0"/>
    <s v="Bebidas"/>
    <s v="Bebidas"/>
    <s v="Bebidas"/>
  </r>
  <r>
    <x v="1"/>
    <x v="8"/>
    <x v="1"/>
    <s v="COMP09"/>
    <s v="COMBO - Papas 120 grs y agua 280 Ml"/>
    <n v="3"/>
    <n v="21700"/>
    <n v="0"/>
    <n v="8751"/>
    <n v="12949"/>
    <n v="0.59672811059907838"/>
    <n v="0"/>
    <s v="Armalo en combo"/>
    <s v="Personal"/>
    <s v="Combo"/>
  </r>
  <r>
    <x v="1"/>
    <x v="8"/>
    <x v="1"/>
    <s v="MON133"/>
    <s v="Chow fan valenciano megafamiliar"/>
    <n v="2"/>
    <n v="227800"/>
    <n v="0"/>
    <n v="97216"/>
    <n v="130584"/>
    <n v="0.57323968393327485"/>
    <n v="0"/>
    <s v="Platos mong"/>
    <s v="No Personal"/>
    <s v="Caja"/>
  </r>
  <r>
    <x v="1"/>
    <x v="8"/>
    <x v="1"/>
    <s v="BEB618"/>
    <s v="Fusetea manzana CB (*Extra)"/>
    <n v="2"/>
    <n v="3200"/>
    <n v="0"/>
    <n v="3792"/>
    <n v="-592"/>
    <n v="-0.185"/>
    <n v="0"/>
    <s v="Bebidas"/>
    <s v="Bebidas Cambio de bebida"/>
    <s v="Bebidas"/>
  </r>
  <r>
    <x v="1"/>
    <x v="8"/>
    <x v="1"/>
    <s v="MON310"/>
    <s v="Chop suey camarón personal"/>
    <n v="2"/>
    <n v="47800"/>
    <n v="0"/>
    <n v="17514"/>
    <n v="30286"/>
    <n v="0.6335983263598326"/>
    <n v="0"/>
    <s v="Platos mong"/>
    <s v="Personal"/>
    <s v="Caja"/>
  </r>
  <r>
    <x v="1"/>
    <x v="8"/>
    <x v="1"/>
    <s v="BEB605"/>
    <s v="Quatro 400 Ml CB (*Extra)"/>
    <n v="2"/>
    <n v="3200"/>
    <n v="0"/>
    <n v="2660"/>
    <n v="540"/>
    <n v="0.16875000000000001"/>
    <n v="0"/>
    <s v="Bebidas"/>
    <s v="Bebidas Cambio de bebida"/>
    <s v="Bebidas"/>
  </r>
  <r>
    <x v="1"/>
    <x v="8"/>
    <x v="1"/>
    <s v="MON103"/>
    <s v="Chow Fan Especial megafamiliar"/>
    <n v="2"/>
    <n v="94900"/>
    <n v="-94900"/>
    <n v="85408"/>
    <n v="9492"/>
    <n v="0.10002107481559536"/>
    <n v="1"/>
    <s v="Platos mong"/>
    <s v="No Personal"/>
    <s v="Caja"/>
  </r>
  <r>
    <x v="1"/>
    <x v="8"/>
    <x v="1"/>
    <s v="MON505"/>
    <s v="Arroz vegetales pollo personal"/>
    <n v="2"/>
    <n v="39800"/>
    <n v="0"/>
    <n v="12276"/>
    <n v="27524"/>
    <n v="0.69155778894472364"/>
    <n v="0"/>
    <s v="Platos mong"/>
    <s v="Personal"/>
    <s v="Caja"/>
  </r>
  <r>
    <x v="1"/>
    <x v="8"/>
    <x v="1"/>
    <s v="BEB613"/>
    <s v="Coca Cola 400 Ml Zero CB (*Extra)"/>
    <n v="2"/>
    <n v="4300"/>
    <n v="0"/>
    <n v="4478"/>
    <n v="-178"/>
    <n v="-4.13953488372093E-2"/>
    <n v="0"/>
    <s v="Bebidas"/>
    <s v="Bebidas Cambio de bebida"/>
    <s v="Bebidas"/>
  </r>
  <r>
    <x v="1"/>
    <x v="8"/>
    <x v="1"/>
    <s v="BEB590"/>
    <s v="Jugo Del Valle Mandarina"/>
    <n v="2"/>
    <n v="9800"/>
    <n v="0"/>
    <n v="3120"/>
    <n v="6680"/>
    <n v="0.68163265306122445"/>
    <n v="0"/>
    <s v="Bebidas"/>
    <s v="Bebidas"/>
    <s v="Bebidas"/>
  </r>
  <r>
    <x v="1"/>
    <x v="8"/>
    <x v="1"/>
    <s v="MON201"/>
    <s v="Chow Mein Especial Duo"/>
    <n v="2"/>
    <n v="91800"/>
    <n v="0"/>
    <n v="38882"/>
    <n v="52918"/>
    <n v="0.57644880174291935"/>
    <n v="0"/>
    <s v="Platos mong"/>
    <s v="No Personal"/>
    <s v="Caja"/>
  </r>
  <r>
    <x v="1"/>
    <x v="8"/>
    <x v="1"/>
    <s v="ADIC561"/>
    <s v="Adición Vegetales"/>
    <n v="2"/>
    <n v="13700"/>
    <n v="0"/>
    <n v="1378"/>
    <n v="12322"/>
    <n v="0.89941605839416061"/>
    <n v="0"/>
    <s v="Adición"/>
    <s v="Adición"/>
    <s v="Adición"/>
  </r>
  <r>
    <x v="1"/>
    <x v="8"/>
    <x v="1"/>
    <s v="MON111"/>
    <s v="Chow Fan Camarones Duo"/>
    <n v="2"/>
    <n v="108800"/>
    <n v="0"/>
    <n v="41822"/>
    <n v="66978"/>
    <n v="0.61560661764705882"/>
    <n v="0"/>
    <s v="Platos mong"/>
    <s v="No Personal"/>
    <s v="Caja"/>
  </r>
  <r>
    <x v="1"/>
    <x v="8"/>
    <x v="1"/>
    <s v="COMC03"/>
    <s v="COMBO TRIO"/>
    <n v="2"/>
    <n v="113800"/>
    <n v="0"/>
    <n v="57136"/>
    <n v="56664"/>
    <n v="0.4979261862917399"/>
    <n v="0"/>
    <s v="Combos para compartir"/>
    <s v="No Personal"/>
    <s v="Combo"/>
  </r>
  <r>
    <x v="1"/>
    <x v="8"/>
    <x v="1"/>
    <s v="BEB610"/>
    <s v="Fusetea Durazno CB (*Extra)"/>
    <n v="1"/>
    <n v="1600"/>
    <n v="0"/>
    <n v="1874"/>
    <n v="-274"/>
    <n v="-0.17125000000000001"/>
    <n v="0"/>
    <s v="Bebidas"/>
    <s v="Bebidas Cambio de bebida"/>
    <s v="Bebidas"/>
  </r>
  <r>
    <x v="1"/>
    <x v="8"/>
    <x v="1"/>
    <s v="MON321"/>
    <s v="Chop Suey Pollo trio"/>
    <n v="1"/>
    <n v="41900"/>
    <n v="0"/>
    <n v="11217"/>
    <n v="30683"/>
    <n v="0.73229116945107398"/>
    <n v="0"/>
    <s v="Platos mong"/>
    <s v="No Personal"/>
    <s v="Caja"/>
  </r>
  <r>
    <x v="1"/>
    <x v="8"/>
    <x v="1"/>
    <s v="MON504"/>
    <s v="Arroz vegetales camarones personal"/>
    <n v="1"/>
    <n v="27900"/>
    <n v="0"/>
    <n v="9478"/>
    <n v="18422"/>
    <n v="0.66028673835125451"/>
    <n v="0"/>
    <s v="Platos mong"/>
    <s v="Personal"/>
    <s v="Caja"/>
  </r>
  <r>
    <x v="1"/>
    <x v="8"/>
    <x v="1"/>
    <s v="BEB612"/>
    <s v="Jugo del valle naranja CB (*Extra)"/>
    <n v="1"/>
    <n v="1600"/>
    <n v="0"/>
    <n v="950"/>
    <n v="650"/>
    <n v="0.40625"/>
    <n v="0"/>
    <s v="Bebidas"/>
    <s v="Bebidas Cambio de bebida"/>
    <s v="Bebidas"/>
  </r>
  <r>
    <x v="1"/>
    <x v="8"/>
    <x v="1"/>
    <s v="BEB607"/>
    <s v="Agua Gas 600 Ml CB (*Extra)"/>
    <n v="1"/>
    <n v="1600"/>
    <n v="0"/>
    <n v="1610"/>
    <n v="-10"/>
    <n v="-6.2500000000000003E-3"/>
    <n v="0"/>
    <s v="Bebidas"/>
    <s v="Bebidas Cambio de bebida"/>
    <s v="Bebidas"/>
  </r>
  <r>
    <x v="1"/>
    <x v="8"/>
    <x v="1"/>
    <s v="ADIC07"/>
    <s v="Lumpia X 1 (*Extra)"/>
    <n v="1"/>
    <n v="5000"/>
    <n v="0"/>
    <n v="1569"/>
    <n v="3431"/>
    <n v="0.68620000000000003"/>
    <n v="0"/>
    <s v="Adición"/>
    <s v="Adición"/>
    <s v="Adición"/>
  </r>
  <r>
    <x v="1"/>
    <x v="8"/>
    <x v="1"/>
    <s v="BEB615"/>
    <s v="Premio 400 Ml CB (*Extra)"/>
    <n v="1"/>
    <n v="1600"/>
    <n v="0"/>
    <n v="1895"/>
    <n v="-295"/>
    <n v="-0.18437500000000001"/>
    <n v="0"/>
    <s v="Bebidas"/>
    <s v="Bebidas Cambio de bebida"/>
    <s v="Bebidas"/>
  </r>
  <r>
    <x v="1"/>
    <x v="8"/>
    <x v="1"/>
    <s v="BEB604"/>
    <s v="Sprite 400 Ml CB (*Extra)"/>
    <n v="1"/>
    <n v="1600"/>
    <n v="0"/>
    <n v="1516"/>
    <n v="84"/>
    <n v="5.2499999999999998E-2"/>
    <n v="0"/>
    <s v="Bebidas"/>
    <s v="Bebidas Cambio de bebida"/>
    <s v="Bebidas"/>
  </r>
  <r>
    <x v="1"/>
    <x v="8"/>
    <x v="1"/>
    <s v="MON302"/>
    <s v="Chop Suey Especial Familiar"/>
    <n v="1"/>
    <n v="77900"/>
    <n v="0"/>
    <n v="28057"/>
    <n v="49843"/>
    <n v="0.63983311938382537"/>
    <n v="0"/>
    <s v="Platos mong"/>
    <s v="No Personal"/>
    <s v="Caja"/>
  </r>
  <r>
    <x v="1"/>
    <x v="8"/>
    <x v="1"/>
    <s v="MONFIT"/>
    <s v="Mong fit"/>
    <n v="1"/>
    <n v="10900"/>
    <n v="0"/>
    <n v="0"/>
    <n v="10900"/>
    <n v="1"/>
    <n v="0"/>
    <s v="Platos especiales"/>
    <s v="Personal"/>
    <s v="Platos Especiales"/>
  </r>
  <r>
    <x v="1"/>
    <x v="8"/>
    <x v="1"/>
    <s v="BEB582"/>
    <s v="Kola Roman 400 Ml"/>
    <n v="1"/>
    <n v="4900"/>
    <n v="0"/>
    <n v="1330"/>
    <n v="3570"/>
    <n v="0.72857142857142854"/>
    <n v="0"/>
    <s v="Bebidas"/>
    <s v="Bebidas"/>
    <s v="Bebidas"/>
  </r>
  <r>
    <x v="1"/>
    <x v="8"/>
    <x v="1"/>
    <s v="BEB616"/>
    <s v="Agua Manzana 600 Ml CB (*Extra)"/>
    <n v="1"/>
    <n v="1400"/>
    <n v="0"/>
    <n v="2139"/>
    <n v="-739"/>
    <n v="-0.5278571428571428"/>
    <n v="0"/>
    <s v="Bebidas"/>
    <s v="Bebidas Cambio de bebida"/>
    <s v="Bebidas"/>
  </r>
  <r>
    <x v="1"/>
    <x v="8"/>
    <x v="1"/>
    <s v="MON112"/>
    <s v="Chow Fan Camarones Familiar"/>
    <n v="1"/>
    <n v="75896"/>
    <n v="-4004"/>
    <n v="28815"/>
    <n v="47081"/>
    <n v="0.62033572256772429"/>
    <n v="5.2756403499525664E-2"/>
    <s v="Platos mong"/>
    <s v="No Personal"/>
    <s v="Caja"/>
  </r>
  <r>
    <x v="1"/>
    <x v="8"/>
    <x v="1"/>
    <s v="MON312"/>
    <s v="Chop Suey Camaron Familiar"/>
    <n v="1"/>
    <n v="75896"/>
    <n v="-4004"/>
    <n v="33677"/>
    <n v="42219"/>
    <n v="0.55627437546115732"/>
    <n v="5.2756403499525664E-2"/>
    <s v="Platos mong"/>
    <s v="No Personal"/>
    <s v="Caja"/>
  </r>
  <r>
    <x v="1"/>
    <x v="8"/>
    <x v="2"/>
    <s v="ADIC09"/>
    <s v="No deseo (*Extra)"/>
    <n v="95"/>
    <n v="0"/>
    <n v="0"/>
    <n v="0"/>
    <n v="0"/>
    <n v="0"/>
    <n v="0"/>
    <s v="Adición"/>
    <s v="Adición"/>
    <s v="Adición"/>
  </r>
  <r>
    <x v="1"/>
    <x v="8"/>
    <x v="2"/>
    <s v="BEB00"/>
    <s v="Coca Cola 250 Ml Zero CB (*Extra)"/>
    <n v="85"/>
    <n v="0"/>
    <n v="0"/>
    <n v="0"/>
    <n v="0"/>
    <n v="0"/>
    <n v="0"/>
    <s v="Bebidas"/>
    <s v="Bebidas Cambio de bebida"/>
    <s v="Bebidas"/>
  </r>
  <r>
    <x v="1"/>
    <x v="8"/>
    <x v="2"/>
    <s v="COMP01"/>
    <s v="COMBO 1- Valenciano personal"/>
    <n v="67"/>
    <n v="1517000"/>
    <n v="-440300"/>
    <n v="645009"/>
    <n v="871991"/>
    <n v="0.57481278839815431"/>
    <n v="0.29024390243902437"/>
    <s v="Combos personales"/>
    <s v="Personal"/>
    <s v="Combo"/>
  </r>
  <r>
    <x v="1"/>
    <x v="8"/>
    <x v="2"/>
    <s v="COMP14"/>
    <s v="COMBO ESTUDIANTIL- Chow fan 250 grs"/>
    <n v="52"/>
    <n v="1027300"/>
    <n v="-299500"/>
    <n v="0"/>
    <n v="1027300"/>
    <n v="1"/>
    <n v="0.29154093254161395"/>
    <s v="Combos personales"/>
    <s v="Personal"/>
    <s v="Caja"/>
  </r>
  <r>
    <x v="1"/>
    <x v="8"/>
    <x v="2"/>
    <s v="COMP02"/>
    <s v="COMBO 2 - Chow fan especial personal"/>
    <n v="29"/>
    <n v="714650"/>
    <n v="-213450"/>
    <n v="275529"/>
    <n v="439121"/>
    <n v="0.61445602742601269"/>
    <n v="0.29867767438606313"/>
    <s v="Combos personales"/>
    <s v="Personal"/>
    <s v="Combo"/>
  </r>
  <r>
    <x v="1"/>
    <x v="8"/>
    <x v="2"/>
    <s v="CAM04"/>
    <s v="Lumpia cambio (*Extra)"/>
    <n v="24"/>
    <n v="0"/>
    <n v="0"/>
    <n v="49176"/>
    <n v="-49176"/>
    <n v="0"/>
    <n v="0"/>
    <s v="Adición"/>
    <s v="Otro"/>
    <s v="Otro"/>
  </r>
  <r>
    <x v="1"/>
    <x v="8"/>
    <x v="2"/>
    <s v="CAM03"/>
    <s v="Cambio Papas a la francesa 150 grs (*Extra)"/>
    <n v="12"/>
    <n v="10000"/>
    <n v="0"/>
    <n v="18828"/>
    <n v="-8828"/>
    <n v="-0.88280000000000003"/>
    <n v="0"/>
    <s v="Adición"/>
    <s v="Otro"/>
    <s v="Otro"/>
  </r>
  <r>
    <x v="1"/>
    <x v="8"/>
    <x v="2"/>
    <s v="COMP13"/>
    <s v="COMBO ARMA TU PLATO"/>
    <n v="12"/>
    <n v="312500"/>
    <n v="-91300"/>
    <n v="0"/>
    <n v="312500"/>
    <n v="1"/>
    <n v="0.29215999999999998"/>
    <s v="Combos personales"/>
    <s v="Personal"/>
    <s v="Combo"/>
  </r>
  <r>
    <x v="1"/>
    <x v="8"/>
    <x v="2"/>
    <s v="BEB620"/>
    <s v="Agua 280 ml CB (*Extra)"/>
    <n v="11"/>
    <n v="0"/>
    <n v="0"/>
    <n v="9548"/>
    <n v="-9548"/>
    <n v="0"/>
    <n v="0"/>
    <s v="Bebidas"/>
    <s v="Bebidas Cambio de bebida"/>
    <s v="Bebidas"/>
  </r>
  <r>
    <x v="1"/>
    <x v="8"/>
    <x v="2"/>
    <s v="ADIC02"/>
    <s v="Pollo presa ADIC (*Extra)"/>
    <n v="10"/>
    <n v="76000"/>
    <n v="0"/>
    <n v="28490"/>
    <n v="47510"/>
    <n v="0.62513157894736837"/>
    <n v="0"/>
    <s v="Adición"/>
    <s v="Adición"/>
    <s v="Adición"/>
  </r>
  <r>
    <x v="1"/>
    <x v="8"/>
    <x v="2"/>
    <s v="TOTEATDVYERROR"/>
    <s v="ERR RAPPI: Agua brisa 280 ml"/>
    <n v="10"/>
    <n v="0"/>
    <n v="0"/>
    <n v="0"/>
    <n v="0"/>
    <n v="0"/>
    <n v="0"/>
    <s v="Otro"/>
    <s v="Otro"/>
    <s v="Otro"/>
  </r>
  <r>
    <x v="1"/>
    <x v="8"/>
    <x v="2"/>
    <s v="COMP03"/>
    <s v="COMBO 3 - Chop suey especial personal"/>
    <n v="9"/>
    <n v="238950"/>
    <n v="-75150"/>
    <n v="86130"/>
    <n v="152820"/>
    <n v="0.63954802259887"/>
    <n v="0.31450094161958569"/>
    <s v="Combos personales"/>
    <s v="Personal"/>
    <s v="Combo"/>
  </r>
  <r>
    <x v="1"/>
    <x v="8"/>
    <x v="2"/>
    <s v="ADIC10"/>
    <s v="Cubiertos + servilletas (*Extra)"/>
    <n v="9"/>
    <n v="3600"/>
    <n v="0"/>
    <n v="2889"/>
    <n v="711"/>
    <n v="0.19750000000000001"/>
    <n v="0"/>
    <s v="Adición"/>
    <s v="Adición"/>
    <s v="Adición"/>
  </r>
  <r>
    <x v="1"/>
    <x v="8"/>
    <x v="2"/>
    <s v="ADIC08"/>
    <s v="Salsa agridulce Roja (*Extra)"/>
    <n v="7"/>
    <n v="7000"/>
    <n v="0"/>
    <n v="413"/>
    <n v="6587"/>
    <n v="0.94099999999999995"/>
    <n v="0"/>
    <s v="Adición"/>
    <s v="Adición"/>
    <s v="Adición"/>
  </r>
  <r>
    <x v="1"/>
    <x v="8"/>
    <x v="2"/>
    <s v="MONE700"/>
    <s v="Mong Express Chop suey pollo"/>
    <n v="7"/>
    <n v="144150"/>
    <n v="-41150"/>
    <n v="57281"/>
    <n v="86869"/>
    <n v="0.60262920568851885"/>
    <n v="0.28546652792230315"/>
    <s v="Mong Express"/>
    <s v="Personal"/>
    <s v="Caja"/>
  </r>
  <r>
    <x v="1"/>
    <x v="8"/>
    <x v="2"/>
    <s v="COMP05"/>
    <s v="COMBO 5 - Chow Mein especial personal"/>
    <n v="7"/>
    <n v="190400"/>
    <n v="-51900"/>
    <n v="78771"/>
    <n v="111629"/>
    <n v="0.58628676470588237"/>
    <n v="0.27258403361344535"/>
    <s v="Combos personales"/>
    <s v="Personal"/>
    <s v="Combo"/>
  </r>
  <r>
    <x v="1"/>
    <x v="8"/>
    <x v="2"/>
    <s v="ATP04"/>
    <s v="Chop suey (*Extra)"/>
    <n v="7"/>
    <n v="0"/>
    <n v="0"/>
    <n v="18438"/>
    <n v="-18438"/>
    <n v="0"/>
    <n v="0"/>
    <s v="Arma tu plato"/>
    <s v="Personal"/>
    <s v="Caja"/>
  </r>
  <r>
    <x v="1"/>
    <x v="8"/>
    <x v="2"/>
    <s v="ADIC03"/>
    <s v="Camarones (*Extra)"/>
    <n v="6"/>
    <n v="45600"/>
    <n v="0"/>
    <n v="18648"/>
    <n v="26952"/>
    <n v="0.59105263157894739"/>
    <n v="0"/>
    <s v="Adición"/>
    <s v="Adición"/>
    <s v="Adición"/>
  </r>
  <r>
    <x v="1"/>
    <x v="8"/>
    <x v="2"/>
    <s v="BEB01"/>
    <s v="Coca Cola 250 Ml Normal CB (*Extra)"/>
    <n v="5"/>
    <n v="5000"/>
    <n v="0"/>
    <n v="9725"/>
    <n v="-4725"/>
    <n v="-0.94499999999999995"/>
    <n v="0"/>
    <s v="Bebidas"/>
    <s v="Bebidas Cambio de bebida"/>
    <s v="Bebidas"/>
  </r>
  <r>
    <x v="1"/>
    <x v="8"/>
    <x v="2"/>
    <s v="ATP09"/>
    <s v="Res brócoli (*Extra)"/>
    <n v="5"/>
    <n v="0"/>
    <n v="0"/>
    <n v="16610"/>
    <n v="-16610"/>
    <n v="0"/>
    <n v="0"/>
    <s v="Arma tu plato"/>
    <s v="Personal"/>
    <s v="Caja"/>
  </r>
  <r>
    <x v="1"/>
    <x v="8"/>
    <x v="2"/>
    <s v="ATP08"/>
    <s v="Pollo Apanado ATP (*Extra)"/>
    <n v="5"/>
    <n v="0"/>
    <n v="0"/>
    <n v="26315"/>
    <n v="-26315"/>
    <n v="0"/>
    <n v="0"/>
    <s v="Arma tu plato"/>
    <s v="Personal"/>
    <s v="Caja"/>
  </r>
  <r>
    <x v="1"/>
    <x v="8"/>
    <x v="2"/>
    <s v="COMC04"/>
    <s v="COMBO FAMIAMIGOS"/>
    <n v="4"/>
    <n v="346800"/>
    <n v="-100800"/>
    <n v="156884"/>
    <n v="189916"/>
    <n v="0.54762399077277968"/>
    <n v="0.29065743944636679"/>
    <s v="Combos para compartir"/>
    <s v="No Personal"/>
    <s v="Combo"/>
  </r>
  <r>
    <x v="1"/>
    <x v="8"/>
    <x v="2"/>
    <s v="TOTEATDVYERROR"/>
    <s v="ERR RAPPI: Coca cola 400 ml"/>
    <n v="4"/>
    <n v="8000"/>
    <n v="0"/>
    <n v="0"/>
    <n v="8000"/>
    <n v="1"/>
    <n v="0"/>
    <s v="Otro"/>
    <s v="Otro"/>
    <s v="Otro"/>
  </r>
  <r>
    <x v="1"/>
    <x v="8"/>
    <x v="2"/>
    <s v="ATP01"/>
    <s v="Pollo a la naranja (*Extra)"/>
    <n v="4"/>
    <n v="0"/>
    <n v="0"/>
    <n v="21964"/>
    <n v="-21964"/>
    <n v="0"/>
    <n v="0"/>
    <s v="Arma tu plato"/>
    <s v="Personal"/>
    <s v="Caja"/>
  </r>
  <r>
    <x v="1"/>
    <x v="8"/>
    <x v="2"/>
    <s v="ATP10"/>
    <s v="Cerdo agridulce (*Extra)"/>
    <n v="4"/>
    <n v="0"/>
    <n v="0"/>
    <n v="21868"/>
    <n v="-21868"/>
    <n v="0"/>
    <n v="0"/>
    <s v="Arma tu plato"/>
    <s v="Personal"/>
    <s v="Caja"/>
  </r>
  <r>
    <x v="1"/>
    <x v="8"/>
    <x v="2"/>
    <s v="ENT04"/>
    <s v="LUMPIAS X 2"/>
    <n v="3"/>
    <n v="38700"/>
    <n v="0"/>
    <n v="9417"/>
    <n v="29283"/>
    <n v="0.75666666666666671"/>
    <n v="0"/>
    <s v="Entradas"/>
    <s v="Otro"/>
    <s v="Otro"/>
  </r>
  <r>
    <x v="1"/>
    <x v="8"/>
    <x v="2"/>
    <s v="BEB601"/>
    <s v="Coca Cola 400 Ml Normal CB (*Extra)"/>
    <n v="3"/>
    <n v="7800"/>
    <n v="0"/>
    <n v="6705"/>
    <n v="1095"/>
    <n v="0.14038461538461539"/>
    <n v="0"/>
    <s v="Bebidas"/>
    <s v="Bebidas Cambio de bebida"/>
    <s v="Bebidas"/>
  </r>
  <r>
    <x v="1"/>
    <x v="8"/>
    <x v="2"/>
    <s v="ADIC11"/>
    <s v="Salsa Teriyaki (*Extra)"/>
    <n v="3"/>
    <n v="3000"/>
    <n v="0"/>
    <n v="0"/>
    <n v="3000"/>
    <n v="1"/>
    <n v="0"/>
    <s v="Adición"/>
    <s v="Adición"/>
    <s v="Adición"/>
  </r>
  <r>
    <x v="1"/>
    <x v="8"/>
    <x v="2"/>
    <s v="ADIC564"/>
    <s v="Adición Presa de pollo"/>
    <n v="3"/>
    <n v="23700"/>
    <n v="0"/>
    <n v="7392"/>
    <n v="16308"/>
    <n v="0.68810126582278486"/>
    <n v="0"/>
    <s v="Adición"/>
    <s v="Adición"/>
    <s v="Adición"/>
  </r>
  <r>
    <x v="1"/>
    <x v="8"/>
    <x v="2"/>
    <s v="COMC02"/>
    <s v="COMBO AMIGOS"/>
    <n v="3"/>
    <n v="184050"/>
    <n v="-50650"/>
    <n v="70914"/>
    <n v="113136"/>
    <n v="0.61470252648736756"/>
    <n v="0.2751969573485466"/>
    <s v="Combos para compartir"/>
    <s v="No Personal"/>
    <s v="Combo"/>
  </r>
  <r>
    <x v="1"/>
    <x v="8"/>
    <x v="2"/>
    <s v="ATP02"/>
    <s v="Camarones apanados 7 (*Extra)"/>
    <n v="3"/>
    <n v="6000"/>
    <n v="0"/>
    <n v="9324"/>
    <n v="-3324"/>
    <n v="-0.55400000000000005"/>
    <n v="0"/>
    <s v="Arma tu plato"/>
    <s v="Personal"/>
    <s v="Caja"/>
  </r>
  <r>
    <x v="1"/>
    <x v="8"/>
    <x v="2"/>
    <s v="ADIC07"/>
    <s v="Lumpia X 1 (*Extra)"/>
    <n v="3"/>
    <n v="13500"/>
    <n v="0"/>
    <n v="4707"/>
    <n v="8793"/>
    <n v="0.65133333333333332"/>
    <n v="0"/>
    <s v="Adición"/>
    <s v="Adición"/>
    <s v="Adición"/>
  </r>
  <r>
    <x v="1"/>
    <x v="8"/>
    <x v="2"/>
    <s v="ADIC12"/>
    <s v="Salsa Soya (*Extra)"/>
    <n v="3"/>
    <n v="3000"/>
    <n v="0"/>
    <n v="0"/>
    <n v="3000"/>
    <n v="1"/>
    <n v="0"/>
    <s v="Adición"/>
    <s v="Adición"/>
    <s v="Adición"/>
  </r>
  <r>
    <x v="1"/>
    <x v="8"/>
    <x v="2"/>
    <s v="BEB611"/>
    <s v="Jugo Del Valle Mandarina CB (*Extra)"/>
    <n v="2"/>
    <n v="4000"/>
    <n v="0"/>
    <n v="1900"/>
    <n v="2100"/>
    <n v="0.52500000000000002"/>
    <n v="0"/>
    <s v="Bebidas"/>
    <s v="Bebidas Cambio de bebida"/>
    <s v="Bebidas"/>
  </r>
  <r>
    <x v="1"/>
    <x v="8"/>
    <x v="2"/>
    <s v="BEB610"/>
    <s v="Fusetea Durazno CB (*Extra)"/>
    <n v="2"/>
    <n v="4000"/>
    <n v="0"/>
    <n v="3748"/>
    <n v="252"/>
    <n v="6.3E-2"/>
    <n v="0"/>
    <s v="Bebidas"/>
    <s v="Bebidas Cambio de bebida"/>
    <s v="Bebidas"/>
  </r>
  <r>
    <x v="1"/>
    <x v="8"/>
    <x v="2"/>
    <s v="ATP05"/>
    <s v="Chow mein (*Extra)"/>
    <n v="2"/>
    <n v="0"/>
    <n v="0"/>
    <n v="6194"/>
    <n v="-6194"/>
    <n v="0"/>
    <n v="0"/>
    <s v="Arma tu plato"/>
    <s v="Personal"/>
    <s v="Caja"/>
  </r>
  <r>
    <x v="1"/>
    <x v="8"/>
    <x v="2"/>
    <s v="ATP06"/>
    <s v="Arroz Frito ATP (*Extra)"/>
    <n v="2"/>
    <n v="0"/>
    <n v="0"/>
    <n v="2564"/>
    <n v="-2564"/>
    <n v="0"/>
    <n v="0"/>
    <s v="Arma tu plato"/>
    <s v="Personal"/>
    <s v="Caja"/>
  </r>
  <r>
    <x v="1"/>
    <x v="8"/>
    <x v="2"/>
    <s v="ADIC05"/>
    <s v="Vegetales salteados (*Extra)"/>
    <n v="2"/>
    <n v="13400"/>
    <n v="0"/>
    <n v="14"/>
    <n v="13386"/>
    <n v="0.99895522388059699"/>
    <n v="0"/>
    <s v="Adición"/>
    <s v="Adición"/>
    <s v="Adición"/>
  </r>
  <r>
    <x v="1"/>
    <x v="8"/>
    <x v="2"/>
    <s v="PESP05"/>
    <s v="WONG- Menú infantil"/>
    <n v="2"/>
    <n v="39800"/>
    <n v="0"/>
    <n v="14250"/>
    <n v="25550"/>
    <n v="0.64195979899497491"/>
    <n v="0"/>
    <s v="Platos especiales"/>
    <s v="Personal"/>
    <s v="Platos Especiales"/>
  </r>
  <r>
    <x v="1"/>
    <x v="8"/>
    <x v="2"/>
    <s v="ATP07"/>
    <s v="Pollo presa ATP (*Extra)"/>
    <n v="1"/>
    <n v="0"/>
    <n v="0"/>
    <n v="2849"/>
    <n v="-2849"/>
    <n v="0"/>
    <n v="0"/>
    <s v="Arma tu plato"/>
    <s v="Personal"/>
    <s v="Caja"/>
  </r>
  <r>
    <x v="1"/>
    <x v="8"/>
    <x v="2"/>
    <s v="ADIC566"/>
    <s v="Pollo a la naranja"/>
    <n v="1"/>
    <n v="9900"/>
    <n v="0"/>
    <n v="0"/>
    <n v="9900"/>
    <n v="1"/>
    <n v="0"/>
    <s v="Adición"/>
    <s v="Adición"/>
    <s v="Adición"/>
  </r>
  <r>
    <x v="1"/>
    <x v="8"/>
    <x v="2"/>
    <s v="ADIC560"/>
    <s v="Adición Papa frita"/>
    <n v="1"/>
    <n v="7900"/>
    <n v="0"/>
    <n v="4098"/>
    <n v="3802"/>
    <n v="0.48126582278481012"/>
    <n v="0"/>
    <s v="Adición"/>
    <s v="Adición"/>
    <s v="Adición"/>
  </r>
  <r>
    <x v="1"/>
    <x v="8"/>
    <x v="2"/>
    <s v="COMC06"/>
    <s v="COMBO FAMILIAR"/>
    <n v="1"/>
    <n v="104700"/>
    <n v="-26200"/>
    <n v="46780"/>
    <n v="57920"/>
    <n v="0.55319961795606498"/>
    <n v="0.25023877745940781"/>
    <s v="Combos para compartir"/>
    <s v="No Personal"/>
    <s v="Combo"/>
  </r>
  <r>
    <x v="1"/>
    <x v="8"/>
    <x v="2"/>
    <s v="ADIC06"/>
    <s v="Arroz Frito ADIC (*Extra)"/>
    <n v="1"/>
    <n v="4800"/>
    <n v="0"/>
    <n v="1282"/>
    <n v="3518"/>
    <n v="0.73291666666666666"/>
    <n v="0"/>
    <s v="Adición"/>
    <s v="Adición"/>
    <s v="Adición"/>
  </r>
  <r>
    <x v="1"/>
    <x v="8"/>
    <x v="2"/>
    <s v="COMP12"/>
    <s v="Combo Sunkee"/>
    <n v="1"/>
    <n v="39900"/>
    <n v="0"/>
    <n v="32801"/>
    <n v="7099"/>
    <n v="0.17791979949874687"/>
    <n v="0"/>
    <s v="Combos personales"/>
    <s v="Personal"/>
    <s v="Combo"/>
  </r>
  <r>
    <x v="1"/>
    <x v="8"/>
    <x v="2"/>
    <s v="BEB604"/>
    <s v="Sprite 400 Ml CB (*Extra)"/>
    <n v="1"/>
    <n v="2000"/>
    <n v="0"/>
    <n v="1516"/>
    <n v="484"/>
    <n v="0.24199999999999999"/>
    <n v="0"/>
    <s v="Bebidas"/>
    <s v="Bebidas Cambio de bebida"/>
    <s v="Bebidas"/>
  </r>
  <r>
    <x v="1"/>
    <x v="8"/>
    <x v="2"/>
    <s v="BEB591"/>
    <s v="Jugo del valle naranja"/>
    <n v="1"/>
    <n v="4900"/>
    <n v="0"/>
    <n v="1560"/>
    <n v="3340"/>
    <n v="0.68163265306122445"/>
    <n v="0"/>
    <s v="Bebidas"/>
    <s v="Bebidas"/>
    <s v="Bebidas"/>
  </r>
  <r>
    <x v="1"/>
    <x v="8"/>
    <x v="2"/>
    <s v="TOTEATDVYERROR"/>
    <s v="ERR RAPPI: Coca cola zero 400 ml"/>
    <n v="1"/>
    <n v="2000"/>
    <n v="0"/>
    <n v="0"/>
    <n v="2000"/>
    <n v="1"/>
    <n v="0"/>
    <s v="Otro"/>
    <s v="Otro"/>
    <s v="Otro"/>
  </r>
  <r>
    <x v="1"/>
    <x v="8"/>
    <x v="2"/>
    <s v="ADIC04"/>
    <s v="Pollo picado (*Extra)"/>
    <n v="1"/>
    <n v="8000"/>
    <n v="0"/>
    <n v="1747"/>
    <n v="6253"/>
    <n v="0.78162500000000001"/>
    <n v="0"/>
    <s v="Adición"/>
    <s v="Adición"/>
    <s v="Adición"/>
  </r>
  <r>
    <x v="1"/>
    <x v="8"/>
    <x v="2"/>
    <s v="TOTEATDVYERROR"/>
    <s v="ERR RAPPI: Fuze tea durazno"/>
    <n v="1"/>
    <n v="1400"/>
    <n v="0"/>
    <n v="0"/>
    <n v="1400"/>
    <n v="1"/>
    <n v="0"/>
    <s v="Otro"/>
    <s v="Otro"/>
    <s v="Otro"/>
  </r>
  <r>
    <x v="1"/>
    <x v="8"/>
    <x v="2"/>
    <s v="ADIC01"/>
    <s v="Papas a la Francesa ADIC (*Extra)"/>
    <n v="1"/>
    <n v="5600"/>
    <n v="0"/>
    <n v="2049"/>
    <n v="3551"/>
    <n v="0.63410714285714287"/>
    <n v="0"/>
    <s v="Adición"/>
    <s v="Adición"/>
    <s v="Adición"/>
  </r>
  <r>
    <x v="1"/>
    <x v="8"/>
    <x v="2"/>
    <s v="ATP03"/>
    <s v="Arroz vegetales (*Extra)"/>
    <n v="1"/>
    <n v="2000"/>
    <n v="0"/>
    <n v="2035"/>
    <n v="-35"/>
    <n v="-1.7500000000000002E-2"/>
    <n v="0"/>
    <s v="Arma tu plato"/>
    <s v="Personal"/>
    <s v="Caja"/>
  </r>
  <r>
    <x v="1"/>
    <x v="8"/>
    <x v="0"/>
    <s v="COMP01"/>
    <s v="COMBO 1- Valenciano personal"/>
    <n v="15"/>
    <n v="358500"/>
    <n v="0"/>
    <n v="144405"/>
    <n v="214095"/>
    <n v="0.59719665271966527"/>
    <n v="0"/>
    <s v="Combos personales"/>
    <s v="Personal"/>
    <s v="Combo"/>
  </r>
  <r>
    <x v="1"/>
    <x v="8"/>
    <x v="0"/>
    <s v="MON450"/>
    <s v="Arma tu plato"/>
    <n v="13"/>
    <n v="323700"/>
    <n v="0"/>
    <n v="0"/>
    <n v="323700"/>
    <n v="1"/>
    <n v="0"/>
    <s v="Arma tu plato"/>
    <s v="Personal"/>
    <s v="Caja"/>
  </r>
  <r>
    <x v="1"/>
    <x v="8"/>
    <x v="0"/>
    <s v="COMP05"/>
    <s v="COMBO 5 - Chow Mein especial personal"/>
    <n v="10"/>
    <n v="289000"/>
    <n v="0"/>
    <n v="112530"/>
    <n v="176470"/>
    <n v="0.61062283737024226"/>
    <n v="0"/>
    <s v="Combos personales"/>
    <s v="Personal"/>
    <s v="Combo"/>
  </r>
  <r>
    <x v="1"/>
    <x v="8"/>
    <x v="0"/>
    <s v="ATP01"/>
    <s v="Pollo a la naranja (*Extra)"/>
    <n v="9"/>
    <n v="0"/>
    <n v="0"/>
    <n v="49419"/>
    <n v="-49419"/>
    <n v="0"/>
    <n v="0"/>
    <s v="Arma tu plato"/>
    <s v="Personal"/>
    <s v="Caja"/>
  </r>
  <r>
    <x v="1"/>
    <x v="8"/>
    <x v="0"/>
    <s v="ENT04"/>
    <s v="LUMPIAS X 2"/>
    <n v="9"/>
    <n v="80100"/>
    <n v="0"/>
    <n v="28251"/>
    <n v="51849"/>
    <n v="0.6473033707865169"/>
    <n v="0"/>
    <s v="Entradas"/>
    <s v="Otro"/>
    <s v="Otro"/>
  </r>
  <r>
    <x v="1"/>
    <x v="8"/>
    <x v="0"/>
    <s v="ATP02"/>
    <s v="Camarones apanados 7 (*Extra)"/>
    <n v="6"/>
    <n v="12000"/>
    <n v="0"/>
    <n v="18648"/>
    <n v="-6648"/>
    <n v="-0.55400000000000005"/>
    <n v="0"/>
    <s v="Arma tu plato"/>
    <s v="Personal"/>
    <s v="Caja"/>
  </r>
  <r>
    <x v="1"/>
    <x v="8"/>
    <x v="0"/>
    <s v="ATP10"/>
    <s v="Cerdo agridulce (*Extra)"/>
    <n v="6"/>
    <n v="0"/>
    <n v="0"/>
    <n v="32802"/>
    <n v="-32802"/>
    <n v="0"/>
    <n v="0"/>
    <s v="Arma tu plato"/>
    <s v="Personal"/>
    <s v="Caja"/>
  </r>
  <r>
    <x v="1"/>
    <x v="8"/>
    <x v="0"/>
    <s v="MON500"/>
    <s v="Arroz vegetales especial personal"/>
    <n v="6"/>
    <n v="137400"/>
    <n v="0"/>
    <n v="45084"/>
    <n v="92316"/>
    <n v="0.67187772925764189"/>
    <n v="0"/>
    <s v="Platos mong"/>
    <s v="Personal"/>
    <s v="Caja"/>
  </r>
  <r>
    <x v="1"/>
    <x v="8"/>
    <x v="0"/>
    <s v="ATP06"/>
    <s v="Arroz Frito ATP (*Extra)"/>
    <n v="5"/>
    <n v="0"/>
    <n v="0"/>
    <n v="6410"/>
    <n v="-6410"/>
    <n v="0"/>
    <n v="0"/>
    <s v="Arma tu plato"/>
    <s v="Personal"/>
    <s v="Caja"/>
  </r>
  <r>
    <x v="1"/>
    <x v="8"/>
    <x v="0"/>
    <s v="MON100"/>
    <s v="Chow Fan Especial Personal"/>
    <n v="5"/>
    <n v="99500"/>
    <n v="0"/>
    <n v="33840"/>
    <n v="65660"/>
    <n v="0.65989949748743715"/>
    <n v="0"/>
    <s v="Platos mong"/>
    <s v="Personal"/>
    <s v="Caja"/>
  </r>
  <r>
    <x v="1"/>
    <x v="8"/>
    <x v="0"/>
    <s v="BEB01"/>
    <s v="Coca Cola 250 Ml Normal CB (*Extra)"/>
    <n v="5"/>
    <n v="5000"/>
    <n v="0"/>
    <n v="9725"/>
    <n v="-4725"/>
    <n v="-0.94499999999999995"/>
    <n v="0"/>
    <s v="Bebidas"/>
    <s v="Bebidas Cambio de bebida"/>
    <s v="Bebidas"/>
  </r>
  <r>
    <x v="1"/>
    <x v="8"/>
    <x v="0"/>
    <s v="BEB581"/>
    <s v="Coca Cola 400 Ml Normal"/>
    <n v="4"/>
    <n v="23600"/>
    <n v="0"/>
    <n v="6780"/>
    <n v="16820"/>
    <n v="0.71271186440677969"/>
    <n v="0"/>
    <s v="Bebidas"/>
    <s v="Bebidas"/>
    <s v="Bebidas"/>
  </r>
  <r>
    <x v="1"/>
    <x v="8"/>
    <x v="0"/>
    <s v="ATP04"/>
    <s v="Chop suey (*Extra)"/>
    <n v="4"/>
    <n v="0"/>
    <n v="0"/>
    <n v="10536"/>
    <n v="-10536"/>
    <n v="0"/>
    <n v="0"/>
    <s v="Arma tu plato"/>
    <s v="Personal"/>
    <s v="Caja"/>
  </r>
  <r>
    <x v="1"/>
    <x v="8"/>
    <x v="0"/>
    <s v="COMP03"/>
    <s v="COMBO 3 - Chop suey especial personal"/>
    <n v="4"/>
    <n v="115600"/>
    <n v="0"/>
    <n v="38280"/>
    <n v="77320"/>
    <n v="0.66885813148788931"/>
    <n v="0"/>
    <s v="Combos personales"/>
    <s v="Personal"/>
    <s v="Combo"/>
  </r>
  <r>
    <x v="1"/>
    <x v="8"/>
    <x v="0"/>
    <s v="ADIC565"/>
    <s v="Adición Camaron"/>
    <n v="4"/>
    <n v="27600"/>
    <n v="0"/>
    <n v="12432"/>
    <n v="15168"/>
    <n v="0.54956521739130437"/>
    <n v="0"/>
    <s v="Adición"/>
    <s v="Adición"/>
    <s v="Adición"/>
  </r>
  <r>
    <x v="1"/>
    <x v="8"/>
    <x v="0"/>
    <s v="BEB620"/>
    <s v="Agua 280 ml CB (*Extra)"/>
    <n v="4"/>
    <n v="0"/>
    <n v="0"/>
    <n v="3472"/>
    <n v="-3472"/>
    <n v="0"/>
    <n v="0"/>
    <s v="Bebidas"/>
    <s v="Bebidas Cambio de bebida"/>
    <s v="Bebidas"/>
  </r>
  <r>
    <x v="1"/>
    <x v="8"/>
    <x v="0"/>
    <s v="MONE701"/>
    <s v="Mong Express Chow fan"/>
    <n v="4"/>
    <n v="79600"/>
    <n v="0"/>
    <n v="0"/>
    <n v="79600"/>
    <n v="1"/>
    <n v="0"/>
    <s v="Mong Express"/>
    <s v="Personal"/>
    <s v="Caja"/>
  </r>
  <r>
    <x v="1"/>
    <x v="8"/>
    <x v="0"/>
    <s v="COMP02"/>
    <s v="COMBO 2 - Chow fan especial personal"/>
    <n v="4"/>
    <n v="103600"/>
    <n v="0"/>
    <n v="38004"/>
    <n v="65596"/>
    <n v="0.63316602316602322"/>
    <n v="0"/>
    <s v="Combos personales"/>
    <s v="Personal"/>
    <s v="Combo"/>
  </r>
  <r>
    <x v="1"/>
    <x v="8"/>
    <x v="0"/>
    <s v="BEB589"/>
    <s v="Fusetea Durazno"/>
    <n v="3"/>
    <n v="14700"/>
    <n v="0"/>
    <n v="4680"/>
    <n v="10020"/>
    <n v="0.68163265306122445"/>
    <n v="0"/>
    <s v="Bebidas"/>
    <s v="Bebidas"/>
    <s v="Bebidas"/>
  </r>
  <r>
    <x v="1"/>
    <x v="8"/>
    <x v="0"/>
    <s v="ATP09"/>
    <s v="Res brócoli (*Extra)"/>
    <n v="3"/>
    <n v="0"/>
    <n v="0"/>
    <n v="9966"/>
    <n v="-9966"/>
    <n v="0"/>
    <n v="0"/>
    <s v="Arma tu plato"/>
    <s v="Personal"/>
    <s v="Caja"/>
  </r>
  <r>
    <x v="1"/>
    <x v="8"/>
    <x v="0"/>
    <s v="MON102"/>
    <s v="Chow Fan Especial familiar"/>
    <n v="3"/>
    <n v="149700"/>
    <n v="0"/>
    <n v="97053"/>
    <n v="52647"/>
    <n v="0.35168336673346695"/>
    <n v="0"/>
    <s v="Platos mong"/>
    <s v="No Personal"/>
    <s v="Caja"/>
  </r>
  <r>
    <x v="1"/>
    <x v="8"/>
    <x v="0"/>
    <s v="BEB595"/>
    <s v="Agua Manzana 600 Ml"/>
    <n v="3"/>
    <n v="14700"/>
    <n v="0"/>
    <n v="4119"/>
    <n v="10581"/>
    <n v="0.71979591836734691"/>
    <n v="0"/>
    <s v="Bebidas"/>
    <s v="Bebidas"/>
    <s v="Bebidas"/>
  </r>
  <r>
    <x v="1"/>
    <x v="8"/>
    <x v="0"/>
    <s v="PESP04"/>
    <s v="SUN KEE"/>
    <n v="3"/>
    <n v="80700"/>
    <n v="0"/>
    <n v="40914"/>
    <n v="39786"/>
    <n v="0.4930111524163569"/>
    <n v="0"/>
    <s v="Platos especiales"/>
    <s v="Personal"/>
    <s v="Platos Especiales"/>
  </r>
  <r>
    <x v="1"/>
    <x v="8"/>
    <x v="0"/>
    <s v="ATP08"/>
    <s v="Pollo Apanado ATP (*Extra)"/>
    <n v="2"/>
    <n v="0"/>
    <n v="0"/>
    <n v="10526"/>
    <n v="-10526"/>
    <n v="0"/>
    <n v="0"/>
    <s v="Arma tu plato"/>
    <s v="Personal"/>
    <s v="Caja"/>
  </r>
  <r>
    <x v="1"/>
    <x v="8"/>
    <x v="0"/>
    <s v="ATP05"/>
    <s v="Chow mein (*Extra)"/>
    <n v="2"/>
    <n v="0"/>
    <n v="0"/>
    <n v="6194"/>
    <n v="-6194"/>
    <n v="0"/>
    <n v="0"/>
    <s v="Arma tu plato"/>
    <s v="Personal"/>
    <s v="Caja"/>
  </r>
  <r>
    <x v="1"/>
    <x v="8"/>
    <x v="0"/>
    <s v="BEB584"/>
    <s v="Quatro 400 Ml"/>
    <n v="2"/>
    <n v="9800"/>
    <n v="0"/>
    <n v="2660"/>
    <n v="7140"/>
    <n v="0.72857142857142854"/>
    <n v="0"/>
    <s v="Bebidas"/>
    <s v="Bebidas"/>
    <s v="Bebidas"/>
  </r>
  <r>
    <x v="1"/>
    <x v="8"/>
    <x v="0"/>
    <s v="BEB586"/>
    <s v="Agua Gas 600 Ml"/>
    <n v="2"/>
    <n v="9800"/>
    <n v="0"/>
    <n v="2576"/>
    <n v="7224"/>
    <n v="0.7371428571428571"/>
    <n v="0"/>
    <s v="Bebidas"/>
    <s v="Bebidas"/>
    <s v="Bebidas"/>
  </r>
  <r>
    <x v="1"/>
    <x v="8"/>
    <x v="0"/>
    <s v="ATP03"/>
    <s v="Arroz vegetales (*Extra)"/>
    <n v="2"/>
    <n v="4000"/>
    <n v="0"/>
    <n v="4070"/>
    <n v="-70"/>
    <n v="-1.7500000000000002E-2"/>
    <n v="0"/>
    <s v="Arma tu plato"/>
    <s v="Personal"/>
    <s v="Caja"/>
  </r>
  <r>
    <x v="1"/>
    <x v="8"/>
    <x v="0"/>
    <s v="COMC02"/>
    <s v="COMBO AMIGOS"/>
    <n v="2"/>
    <n v="116800"/>
    <n v="-3000"/>
    <n v="47276"/>
    <n v="69524"/>
    <n v="0.59523972602739728"/>
    <n v="2.5684931506849314E-2"/>
    <s v="Combos para compartir"/>
    <s v="No Personal"/>
    <s v="Combo"/>
  </r>
  <r>
    <x v="1"/>
    <x v="8"/>
    <x v="0"/>
    <s v="BEB580"/>
    <s v="Coca Cola 250 Ml Normal"/>
    <n v="2"/>
    <n v="7800"/>
    <n v="0"/>
    <n v="2326"/>
    <n v="5474"/>
    <n v="0.70179487179487177"/>
    <n v="0"/>
    <s v="Bebidas"/>
    <s v="Bebidas"/>
    <s v="Bebidas"/>
  </r>
  <r>
    <x v="1"/>
    <x v="8"/>
    <x v="0"/>
    <s v="BEB585"/>
    <s v="Agua Normal 600 Ml"/>
    <n v="2"/>
    <n v="9800"/>
    <n v="0"/>
    <n v="2190"/>
    <n v="7610"/>
    <n v="0.77653061224489794"/>
    <n v="0"/>
    <s v="Bebidas"/>
    <s v="Bebidas"/>
    <s v="Bebidas"/>
  </r>
  <r>
    <x v="1"/>
    <x v="8"/>
    <x v="0"/>
    <s v="CAM04"/>
    <s v="Lumpia cambio (*Extra)"/>
    <n v="1"/>
    <n v="0"/>
    <n v="0"/>
    <n v="2049"/>
    <n v="-2049"/>
    <n v="0"/>
    <n v="0"/>
    <s v="Adición"/>
    <s v="Otro"/>
    <s v="Otro"/>
  </r>
  <r>
    <x v="1"/>
    <x v="8"/>
    <x v="0"/>
    <s v="COMP10"/>
    <s v="COMBO - Lumpia y Coca Cola 250 ml"/>
    <n v="1"/>
    <n v="7900"/>
    <n v="0"/>
    <n v="0"/>
    <n v="7900"/>
    <n v="1"/>
    <n v="0"/>
    <s v="Armalo en combo"/>
    <s v="Personal"/>
    <s v="Combo"/>
  </r>
  <r>
    <x v="1"/>
    <x v="8"/>
    <x v="0"/>
    <s v="ADIC560"/>
    <s v="Adición Papa frita"/>
    <n v="1"/>
    <n v="5900"/>
    <n v="0"/>
    <n v="4098"/>
    <n v="1802"/>
    <n v="0.30542372881355934"/>
    <n v="0"/>
    <s v="Adición"/>
    <s v="Adición"/>
    <s v="Adición"/>
  </r>
  <r>
    <x v="1"/>
    <x v="8"/>
    <x v="0"/>
    <s v="MON131"/>
    <s v="Chow Fan Valenciano trio"/>
    <n v="1"/>
    <n v="49900"/>
    <n v="0"/>
    <n v="18818"/>
    <n v="31082"/>
    <n v="0.62288577154308622"/>
    <n v="0"/>
    <s v="Platos mong"/>
    <s v="No Personal"/>
    <s v="Caja"/>
  </r>
  <r>
    <x v="1"/>
    <x v="8"/>
    <x v="0"/>
    <s v="BEB598"/>
    <s v="Coca Cola 1,5 litros"/>
    <n v="1"/>
    <n v="9900"/>
    <n v="0"/>
    <n v="4501"/>
    <n v="5399"/>
    <n v="0.54535353535353537"/>
    <n v="0"/>
    <s v="Bebidas"/>
    <s v="Bebidas"/>
    <s v="Bebidas"/>
  </r>
  <r>
    <x v="1"/>
    <x v="8"/>
    <x v="0"/>
    <s v="BEB583"/>
    <s v="Sprite 400 Ml"/>
    <n v="1"/>
    <n v="4900"/>
    <n v="0"/>
    <n v="1330"/>
    <n v="3570"/>
    <n v="0.72857142857142854"/>
    <n v="0"/>
    <s v="Bebidas"/>
    <s v="Bebidas"/>
    <s v="Bebidas"/>
  </r>
  <r>
    <x v="1"/>
    <x v="8"/>
    <x v="0"/>
    <s v="MON101"/>
    <s v="Chow fan especial trio"/>
    <n v="1"/>
    <n v="39900"/>
    <n v="0"/>
    <n v="20053"/>
    <n v="19847"/>
    <n v="0.49741854636591476"/>
    <n v="0"/>
    <s v="Platos mong"/>
    <s v="No Personal"/>
    <s v="Platos Especiales"/>
  </r>
  <r>
    <x v="1"/>
    <x v="8"/>
    <x v="0"/>
    <s v="COMC07"/>
    <s v="COMBO ANTOJO"/>
    <n v="1"/>
    <n v="20900"/>
    <n v="0"/>
    <n v="7973"/>
    <n v="12927"/>
    <n v="0.61851674641148324"/>
    <n v="0"/>
    <s v="Combos para compartir"/>
    <s v="No Personal"/>
    <s v="Combo"/>
  </r>
  <r>
    <x v="1"/>
    <x v="8"/>
    <x v="0"/>
    <s v="MONE700"/>
    <s v="Mong Express Chop suey pollo"/>
    <n v="1"/>
    <n v="19900"/>
    <n v="0"/>
    <n v="8183"/>
    <n v="11717"/>
    <n v="0.58879396984924626"/>
    <n v="0"/>
    <s v="Mong Express"/>
    <s v="Personal"/>
    <s v="Caja"/>
  </r>
  <r>
    <x v="1"/>
    <x v="8"/>
    <x v="0"/>
    <s v="MON300"/>
    <s v="Chop suey especial personal"/>
    <n v="1"/>
    <n v="20900"/>
    <n v="0"/>
    <n v="6838"/>
    <n v="14062"/>
    <n v="0.67282296650717699"/>
    <n v="0"/>
    <s v="Platos mong"/>
    <s v="Personal"/>
    <s v="Caja"/>
  </r>
  <r>
    <x v="1"/>
    <x v="8"/>
    <x v="0"/>
    <s v="ADIC564"/>
    <s v="Adición Presa de pollo"/>
    <n v="1"/>
    <n v="6900"/>
    <n v="0"/>
    <n v="2464"/>
    <n v="4436"/>
    <n v="0.64289855072463764"/>
    <n v="0"/>
    <s v="Adición"/>
    <s v="Adición"/>
    <s v="Adición"/>
  </r>
  <r>
    <x v="1"/>
    <x v="8"/>
    <x v="0"/>
    <s v="ADIC563"/>
    <s v="Adición Arroz Frito"/>
    <n v="1"/>
    <n v="5900"/>
    <n v="0"/>
    <n v="1282"/>
    <n v="4618"/>
    <n v="0.78271186440677964"/>
    <n v="0"/>
    <s v="Adición"/>
    <s v="Adición"/>
    <s v="Adición"/>
  </r>
  <r>
    <x v="1"/>
    <x v="8"/>
    <x v="0"/>
    <s v="MON120"/>
    <s v="Chow Fan Pollo Personal"/>
    <n v="1"/>
    <n v="15900"/>
    <n v="0"/>
    <n v="6064"/>
    <n v="9836"/>
    <n v="0.61861635220125788"/>
    <n v="0"/>
    <s v="Platos mong"/>
    <s v="Personal"/>
    <s v="Caja"/>
  </r>
  <r>
    <x v="1"/>
    <x v="8"/>
    <x v="0"/>
    <s v="BEB591"/>
    <s v="Jugo del valle naranja"/>
    <n v="1"/>
    <n v="4900"/>
    <n v="0"/>
    <n v="1560"/>
    <n v="3340"/>
    <n v="0.68163265306122445"/>
    <n v="0"/>
    <s v="Bebidas"/>
    <s v="Bebidas"/>
    <s v="Bebidas"/>
  </r>
  <r>
    <x v="1"/>
    <x v="8"/>
    <x v="0"/>
    <s v="BEB616"/>
    <s v="Agua Manzana 600 Ml CB (*Extra)"/>
    <n v="1"/>
    <n v="1600"/>
    <n v="0"/>
    <n v="2139"/>
    <n v="-539"/>
    <n v="-0.33687499999999998"/>
    <n v="0"/>
    <s v="Bebidas"/>
    <s v="Bebidas Cambio de bebida"/>
    <s v="Bebidas"/>
  </r>
  <r>
    <x v="1"/>
    <x v="8"/>
    <x v="0"/>
    <s v="COMP04"/>
    <s v="COMBO 4 - arroz vegetales especial"/>
    <n v="1"/>
    <n v="28900"/>
    <n v="0"/>
    <n v="10247"/>
    <n v="18653"/>
    <n v="0.64543252595155709"/>
    <n v="0"/>
    <s v="Combos personales"/>
    <s v="Personal"/>
    <s v="Combo"/>
  </r>
  <r>
    <x v="1"/>
    <x v="8"/>
    <x v="0"/>
    <s v="ENT02"/>
    <s v="LUMPIA X 1"/>
    <n v="1"/>
    <n v="5000"/>
    <n v="0"/>
    <n v="1569"/>
    <n v="3431"/>
    <n v="0.68620000000000003"/>
    <n v="0"/>
    <s v="Entradas"/>
    <s v="Otro"/>
    <s v="Otro"/>
  </r>
  <r>
    <x v="1"/>
    <x v="8"/>
    <x v="0"/>
    <s v="BEB592"/>
    <s v="Coca Cola 400 Ml Zero"/>
    <n v="1"/>
    <n v="5900"/>
    <n v="0"/>
    <n v="1448"/>
    <n v="4452"/>
    <n v="0.75457627118644066"/>
    <n v="0"/>
    <s v="Bebidas"/>
    <s v="Bebidas"/>
    <s v="Bebidas"/>
  </r>
  <r>
    <x v="1"/>
    <x v="8"/>
    <x v="0"/>
    <s v="MON130"/>
    <s v="Chow Fan Valenciano Personal"/>
    <n v="1"/>
    <n v="21900"/>
    <n v="0"/>
    <n v="8464"/>
    <n v="13436"/>
    <n v="0.61351598173515987"/>
    <n v="0"/>
    <s v="Platos mong"/>
    <s v="Personal"/>
    <s v="Caja"/>
  </r>
  <r>
    <x v="1"/>
    <x v="8"/>
    <x v="0"/>
    <s v="MON301"/>
    <s v="Chop Suey Especial trio"/>
    <n v="1"/>
    <n v="42900"/>
    <n v="0"/>
    <n v="11332"/>
    <n v="31568"/>
    <n v="0.7358508158508158"/>
    <n v="0"/>
    <s v="Platos mong"/>
    <s v="No Personal"/>
    <s v="Caja"/>
  </r>
  <r>
    <x v="1"/>
    <x v="8"/>
    <x v="0"/>
    <s v="BEB609"/>
    <s v="Fusetea Limon CB (*Extra)"/>
    <n v="1"/>
    <n v="1600"/>
    <n v="0"/>
    <n v="1874"/>
    <n v="-274"/>
    <n v="-0.17125000000000001"/>
    <n v="0"/>
    <s v="Bebidas"/>
    <s v="Bebidas Cambio de bebida"/>
    <s v="Bebidas"/>
  </r>
  <r>
    <x v="1"/>
    <x v="9"/>
    <x v="1"/>
    <s v="COMP01"/>
    <s v="COMBO 1- Valenciano personal"/>
    <n v="179"/>
    <n v="3912029"/>
    <n v="-8071"/>
    <n v="1723233"/>
    <n v="2188796"/>
    <n v="0.55950403230650902"/>
    <n v="2.0631237651868124E-3"/>
    <s v="Combos personales"/>
    <s v="Personal"/>
    <s v="Combo"/>
  </r>
  <r>
    <x v="1"/>
    <x v="9"/>
    <x v="1"/>
    <s v="MON450"/>
    <s v="Arma tu plato"/>
    <n v="163"/>
    <n v="3984000"/>
    <n v="-74700"/>
    <n v="0"/>
    <n v="3984000"/>
    <n v="1"/>
    <n v="1.8749999999999999E-2"/>
    <s v="Arma tu plato"/>
    <s v="Personal"/>
    <s v="Caja"/>
  </r>
  <r>
    <x v="1"/>
    <x v="9"/>
    <x v="1"/>
    <s v="ATP01"/>
    <s v="Pollo a la naranja (*Extra)"/>
    <n v="118"/>
    <n v="0"/>
    <n v="0"/>
    <n v="647938"/>
    <n v="-647938"/>
    <n v="0"/>
    <n v="0"/>
    <s v="Arma tu plato"/>
    <s v="Personal"/>
    <s v="Caja"/>
  </r>
  <r>
    <x v="1"/>
    <x v="9"/>
    <x v="1"/>
    <s v="MONE700"/>
    <s v="Mong Express Chop suey pollo"/>
    <n v="117"/>
    <n v="2209300"/>
    <n v="-2000"/>
    <n v="957411"/>
    <n v="1251889"/>
    <n v="0.56664509120535911"/>
    <n v="9.0526411080432711E-4"/>
    <s v="Mong Express"/>
    <s v="Personal"/>
    <s v="Caja"/>
  </r>
  <r>
    <x v="1"/>
    <x v="9"/>
    <x v="1"/>
    <s v="COMP02"/>
    <s v="COMBO 2 - Chow fan especial personal"/>
    <n v="100"/>
    <n v="2386000"/>
    <n v="-4000"/>
    <n v="950100"/>
    <n v="1435900"/>
    <n v="0.60180217937971503"/>
    <n v="1.6764459346186086E-3"/>
    <s v="Combos personales"/>
    <s v="Personal"/>
    <s v="Combo"/>
  </r>
  <r>
    <x v="1"/>
    <x v="9"/>
    <x v="1"/>
    <s v="COMP03"/>
    <s v="COMBO 3 - Chop suey especial personal"/>
    <n v="86"/>
    <n v="2311400"/>
    <n v="-2000"/>
    <n v="823020"/>
    <n v="1488380"/>
    <n v="0.64393008566236909"/>
    <n v="8.6527645582763692E-4"/>
    <s v="Combos personales"/>
    <s v="Personal"/>
    <s v="Combo"/>
  </r>
  <r>
    <x v="1"/>
    <x v="9"/>
    <x v="1"/>
    <s v="ENT04"/>
    <s v="LUMPIAS X 2"/>
    <n v="82"/>
    <n v="729800"/>
    <n v="0"/>
    <n v="257398"/>
    <n v="472402"/>
    <n v="0.6473033707865169"/>
    <n v="0"/>
    <s v="Entradas"/>
    <s v="Otro"/>
    <s v="Otro"/>
  </r>
  <r>
    <x v="1"/>
    <x v="9"/>
    <x v="1"/>
    <s v="MONE701"/>
    <s v="Mong Express Chow fan"/>
    <n v="73"/>
    <n v="1379700"/>
    <n v="0"/>
    <n v="0"/>
    <n v="1379700"/>
    <n v="1"/>
    <n v="0"/>
    <s v="Mong Express"/>
    <s v="Personal"/>
    <s v="Caja"/>
  </r>
  <r>
    <x v="1"/>
    <x v="9"/>
    <x v="1"/>
    <s v="ATP03"/>
    <s v="Arroz vegetales (*Extra)"/>
    <n v="70"/>
    <n v="136000"/>
    <n v="-4000"/>
    <n v="142450"/>
    <n v="-6450"/>
    <n v="-4.7426470588235292E-2"/>
    <n v="2.9411764705882353E-2"/>
    <s v="Arma tu plato"/>
    <s v="Personal"/>
    <s v="Caja"/>
  </r>
  <r>
    <x v="1"/>
    <x v="9"/>
    <x v="1"/>
    <s v="BEB581"/>
    <s v="Coca Cola 400 Ml Normal"/>
    <n v="68"/>
    <n v="374000"/>
    <n v="0"/>
    <n v="115260"/>
    <n v="258740"/>
    <n v="0.69181818181818178"/>
    <n v="0"/>
    <s v="Bebidas"/>
    <s v="Bebidas"/>
    <s v="Bebidas"/>
  </r>
  <r>
    <x v="1"/>
    <x v="9"/>
    <x v="1"/>
    <s v="ATP02"/>
    <s v="Camarones apanados 7 (*Extra)"/>
    <n v="61"/>
    <n v="120000"/>
    <n v="-2000"/>
    <n v="189588"/>
    <n v="-69588"/>
    <n v="-0.57989999999999997"/>
    <n v="1.6666666666666666E-2"/>
    <s v="Arma tu plato"/>
    <s v="Personal"/>
    <s v="Caja"/>
  </r>
  <r>
    <x v="1"/>
    <x v="9"/>
    <x v="1"/>
    <s v="ATP10"/>
    <s v="Cerdo agridulce (*Extra)"/>
    <n v="61"/>
    <n v="0"/>
    <n v="0"/>
    <n v="333487"/>
    <n v="-333487"/>
    <n v="0"/>
    <n v="0"/>
    <s v="Arma tu plato"/>
    <s v="Personal"/>
    <s v="Caja"/>
  </r>
  <r>
    <x v="1"/>
    <x v="9"/>
    <x v="1"/>
    <s v="COMP05"/>
    <s v="COMBO 5 - Chow Mein especial personal"/>
    <n v="56"/>
    <n v="1506400"/>
    <n v="0"/>
    <n v="630168"/>
    <n v="876232"/>
    <n v="0.58167286245353156"/>
    <n v="0"/>
    <s v="Combos personales"/>
    <s v="Personal"/>
    <s v="Combo"/>
  </r>
  <r>
    <x v="1"/>
    <x v="9"/>
    <x v="1"/>
    <s v="ATP09"/>
    <s v="Res brócoli (*Extra)"/>
    <n v="54"/>
    <n v="0"/>
    <n v="0"/>
    <n v="179388"/>
    <n v="-179388"/>
    <n v="0"/>
    <n v="0"/>
    <s v="Arma tu plato"/>
    <s v="Personal"/>
    <s v="Caja"/>
  </r>
  <r>
    <x v="1"/>
    <x v="9"/>
    <x v="1"/>
    <s v="BEB620"/>
    <s v="Agua 280 ml CB (*Extra)"/>
    <n v="49"/>
    <n v="0"/>
    <n v="0"/>
    <n v="42532"/>
    <n v="-42532"/>
    <n v="0"/>
    <n v="0"/>
    <s v="Bebidas"/>
    <s v="Bebidas Cambio de bebida"/>
    <s v="Bebidas"/>
  </r>
  <r>
    <x v="1"/>
    <x v="9"/>
    <x v="1"/>
    <s v="BEB585"/>
    <s v="Agua Normal 600 Ml"/>
    <n v="44"/>
    <n v="215600"/>
    <n v="0"/>
    <n v="48180"/>
    <n v="167420"/>
    <n v="0.77653061224489794"/>
    <n v="0"/>
    <s v="Bebidas"/>
    <s v="Bebidas"/>
    <s v="Bebidas"/>
  </r>
  <r>
    <x v="1"/>
    <x v="9"/>
    <x v="1"/>
    <s v="BEB00"/>
    <s v="Coca Cola 250 Ml Zero CB (*Extra)"/>
    <n v="39"/>
    <n v="0"/>
    <n v="0"/>
    <n v="0"/>
    <n v="0"/>
    <n v="0"/>
    <n v="0"/>
    <s v="Bebidas"/>
    <s v="Bebidas Cambio de bebida"/>
    <s v="Bebidas"/>
  </r>
  <r>
    <x v="1"/>
    <x v="9"/>
    <x v="1"/>
    <s v="ATP05"/>
    <s v="Chow mein (*Extra)"/>
    <n v="38"/>
    <n v="0"/>
    <n v="0"/>
    <n v="117686"/>
    <n v="-117686"/>
    <n v="0"/>
    <n v="0"/>
    <s v="Arma tu plato"/>
    <s v="Personal"/>
    <s v="Caja"/>
  </r>
  <r>
    <x v="1"/>
    <x v="9"/>
    <x v="1"/>
    <s v="COMP04"/>
    <s v="COMBO 4 - arroz vegetales especial"/>
    <n v="36"/>
    <n v="1040400"/>
    <n v="0"/>
    <n v="368892"/>
    <n v="671508"/>
    <n v="0.64543252595155709"/>
    <n v="0"/>
    <s v="Combos personales"/>
    <s v="Personal"/>
    <s v="Combo"/>
  </r>
  <r>
    <x v="1"/>
    <x v="9"/>
    <x v="1"/>
    <s v="ATP06"/>
    <s v="Arroz Frito ATP (*Extra)"/>
    <n v="32"/>
    <n v="0"/>
    <n v="0"/>
    <n v="41024"/>
    <n v="-41024"/>
    <n v="0"/>
    <n v="0"/>
    <s v="Arma tu plato"/>
    <s v="Personal"/>
    <s v="Caja"/>
  </r>
  <r>
    <x v="1"/>
    <x v="9"/>
    <x v="1"/>
    <s v="MON300"/>
    <s v="Chop suey especial personal"/>
    <n v="32"/>
    <n v="636800"/>
    <n v="0"/>
    <n v="218816"/>
    <n v="417984"/>
    <n v="0.65638190954773867"/>
    <n v="0"/>
    <s v="Platos mong"/>
    <s v="Personal"/>
    <s v="Caja"/>
  </r>
  <r>
    <x v="1"/>
    <x v="9"/>
    <x v="1"/>
    <s v="MON100"/>
    <s v="Chow Fan Especial Personal"/>
    <n v="29"/>
    <n v="513959"/>
    <n v="-5141"/>
    <n v="196272"/>
    <n v="317687"/>
    <n v="0.61811739846952773"/>
    <n v="1.0002743409493753E-2"/>
    <s v="Platos mong"/>
    <s v="Personal"/>
    <s v="Caja"/>
  </r>
  <r>
    <x v="1"/>
    <x v="9"/>
    <x v="1"/>
    <s v="ENT02"/>
    <s v="LUMPIA X 1"/>
    <n v="28"/>
    <n v="129071"/>
    <n v="-10929"/>
    <n v="43932"/>
    <n v="85139"/>
    <n v="0.65962919633380079"/>
    <n v="8.4674326533458327E-2"/>
    <s v="Entradas"/>
    <s v="Otro"/>
    <s v="Otro"/>
  </r>
  <r>
    <x v="1"/>
    <x v="9"/>
    <x v="1"/>
    <s v="MON120"/>
    <s v="Chow Fan Pollo Personal"/>
    <n v="27"/>
    <n v="395037"/>
    <n v="-7263"/>
    <n v="163728"/>
    <n v="231309"/>
    <n v="0.58553755724147361"/>
    <n v="1.8385619574875264E-2"/>
    <s v="Platos mong"/>
    <s v="Personal"/>
    <s v="Caja"/>
  </r>
  <r>
    <x v="1"/>
    <x v="9"/>
    <x v="1"/>
    <s v="ADIC564"/>
    <s v="Adición Presa de pollo"/>
    <n v="24"/>
    <n v="165600"/>
    <n v="0"/>
    <n v="59136"/>
    <n v="106464"/>
    <n v="0.64289855072463764"/>
    <n v="0"/>
    <s v="Adición"/>
    <s v="Adición"/>
    <s v="Adición"/>
  </r>
  <r>
    <x v="1"/>
    <x v="9"/>
    <x v="1"/>
    <s v="ATP04"/>
    <s v="Chop suey (*Extra)"/>
    <n v="24"/>
    <n v="0"/>
    <n v="0"/>
    <n v="63216"/>
    <n v="-63216"/>
    <n v="0"/>
    <n v="0"/>
    <s v="Arma tu plato"/>
    <s v="Personal"/>
    <s v="Caja"/>
  </r>
  <r>
    <x v="1"/>
    <x v="9"/>
    <x v="1"/>
    <s v="BEB580"/>
    <s v="Coca Cola 250 Ml Normal"/>
    <n v="21"/>
    <n v="73500"/>
    <n v="0"/>
    <n v="24423"/>
    <n v="49077"/>
    <n v="0.6677142857142857"/>
    <n v="0"/>
    <s v="Bebidas"/>
    <s v="Bebidas"/>
    <s v="Bebidas"/>
  </r>
  <r>
    <x v="1"/>
    <x v="9"/>
    <x v="1"/>
    <s v="BEB595"/>
    <s v="Agua Manzana 600 Ml"/>
    <n v="20"/>
    <n v="98000"/>
    <n v="0"/>
    <n v="27460"/>
    <n v="70540"/>
    <n v="0.71979591836734691"/>
    <n v="0"/>
    <s v="Bebidas"/>
    <s v="Bebidas"/>
    <s v="Bebidas"/>
  </r>
  <r>
    <x v="1"/>
    <x v="9"/>
    <x v="1"/>
    <s v="MON500"/>
    <s v="Arroz vegetales especial personal"/>
    <n v="20"/>
    <n v="458000"/>
    <n v="0"/>
    <n v="150280"/>
    <n v="307720"/>
    <n v="0.67187772925764189"/>
    <n v="0"/>
    <s v="Platos mong"/>
    <s v="Personal"/>
    <s v="Caja"/>
  </r>
  <r>
    <x v="1"/>
    <x v="9"/>
    <x v="1"/>
    <s v="BEB592"/>
    <s v="Coca Cola 400 Ml Zero"/>
    <n v="19"/>
    <n v="104500"/>
    <n v="0"/>
    <n v="27512"/>
    <n v="76988"/>
    <n v="0.73672727272727268"/>
    <n v="0"/>
    <s v="Bebidas"/>
    <s v="Bebidas"/>
    <s v="Bebidas"/>
  </r>
  <r>
    <x v="1"/>
    <x v="9"/>
    <x v="1"/>
    <s v="ADIC560"/>
    <s v="Adición Papa frita"/>
    <n v="19"/>
    <n v="111604"/>
    <n v="-496"/>
    <n v="77862"/>
    <n v="33742"/>
    <n v="0.30233683380523996"/>
    <n v="4.4442851510698538E-3"/>
    <s v="Adición"/>
    <s v="Adición"/>
    <s v="Adición"/>
  </r>
  <r>
    <x v="1"/>
    <x v="9"/>
    <x v="1"/>
    <s v="COMP10"/>
    <s v="COMBO - Lumpia y Coca Cola 250 ml"/>
    <n v="18"/>
    <n v="124200"/>
    <n v="0"/>
    <n v="0"/>
    <n v="124200"/>
    <n v="1"/>
    <n v="0"/>
    <s v="Armalo en combo"/>
    <s v="Personal"/>
    <s v="Combo"/>
  </r>
  <r>
    <x v="1"/>
    <x v="9"/>
    <x v="1"/>
    <s v="MON320"/>
    <s v="Chop Suey Pollo Personal"/>
    <n v="17"/>
    <n v="304300"/>
    <n v="0"/>
    <n v="92837"/>
    <n v="211463"/>
    <n v="0.69491620111731844"/>
    <n v="0"/>
    <s v="Platos mong"/>
    <s v="Personal"/>
    <s v="Caja"/>
  </r>
  <r>
    <x v="1"/>
    <x v="9"/>
    <x v="1"/>
    <s v="ATP07"/>
    <s v="Pollo presa ATP (*Extra)"/>
    <n v="17"/>
    <n v="0"/>
    <n v="0"/>
    <n v="48433"/>
    <n v="-48433"/>
    <n v="0"/>
    <n v="0"/>
    <s v="Arma tu plato"/>
    <s v="Personal"/>
    <s v="Caja"/>
  </r>
  <r>
    <x v="1"/>
    <x v="9"/>
    <x v="1"/>
    <s v="PESP04"/>
    <s v="SUN KEE"/>
    <n v="16"/>
    <n v="478400"/>
    <n v="0"/>
    <n v="218208"/>
    <n v="260192"/>
    <n v="0.54387959866220736"/>
    <n v="0"/>
    <s v="Platos especiales"/>
    <s v="Personal"/>
    <s v="Platos Especiales"/>
  </r>
  <r>
    <x v="1"/>
    <x v="9"/>
    <x v="1"/>
    <s v="MON130"/>
    <s v="Chow Fan Valenciano Personal"/>
    <n v="15"/>
    <n v="269900"/>
    <n v="-28600"/>
    <n v="126960"/>
    <n v="142940"/>
    <n v="0.52960355687291594"/>
    <n v="0.10596517228603186"/>
    <s v="Platos mong"/>
    <s v="Personal"/>
    <s v="Caja"/>
  </r>
  <r>
    <x v="1"/>
    <x v="9"/>
    <x v="1"/>
    <s v="ADIC563"/>
    <s v="Adición Arroz Frito"/>
    <n v="15"/>
    <n v="70000"/>
    <n v="-5000"/>
    <n v="19230"/>
    <n v="50770"/>
    <n v="0.72528571428571431"/>
    <n v="7.1428571428571425E-2"/>
    <s v="Adición"/>
    <s v="Adición"/>
    <s v="Adición"/>
  </r>
  <r>
    <x v="1"/>
    <x v="9"/>
    <x v="1"/>
    <s v="MON101"/>
    <s v="Chow fan especial duo"/>
    <n v="15"/>
    <n v="624941"/>
    <n v="-3559"/>
    <n v="300795"/>
    <n v="324146"/>
    <n v="0.518682563634007"/>
    <n v="5.6949376021096388E-3"/>
    <s v="Platos mong"/>
    <s v="No Personal"/>
    <s v="Platos Especiales"/>
  </r>
  <r>
    <x v="1"/>
    <x v="9"/>
    <x v="1"/>
    <s v="MON131"/>
    <s v="Chow Fan Valenciano Duo"/>
    <n v="13"/>
    <n v="596700"/>
    <n v="0"/>
    <n v="244634"/>
    <n v="352066"/>
    <n v="0.59002178649237469"/>
    <n v="0"/>
    <s v="Platos mong"/>
    <s v="No Personal"/>
    <s v="Caja"/>
  </r>
  <r>
    <x v="1"/>
    <x v="9"/>
    <x v="1"/>
    <s v="BEB586"/>
    <s v="Agua Gas 600 Ml"/>
    <n v="12"/>
    <n v="49000"/>
    <n v="-9800"/>
    <n v="15456"/>
    <n v="33544"/>
    <n v="0.68457142857142861"/>
    <n v="0.2"/>
    <s v="Bebidas"/>
    <s v="Bebidas"/>
    <s v="Bebidas"/>
  </r>
  <r>
    <x v="1"/>
    <x v="9"/>
    <x v="1"/>
    <s v="BEB593"/>
    <s v="Coca Cola 250 Ml Zero"/>
    <n v="11"/>
    <n v="38500"/>
    <n v="0"/>
    <n v="14201"/>
    <n v="24299"/>
    <n v="0.63114285714285712"/>
    <n v="0"/>
    <s v="Bebidas"/>
    <s v="Bebidas"/>
    <s v="Bebidas"/>
  </r>
  <r>
    <x v="1"/>
    <x v="9"/>
    <x v="1"/>
    <s v="BEB587"/>
    <s v="Agua Limón 600 Ml"/>
    <n v="11"/>
    <n v="53900"/>
    <n v="0"/>
    <n v="15103"/>
    <n v="38797"/>
    <n v="0.71979591836734691"/>
    <n v="0"/>
    <s v="Bebidas"/>
    <s v="Bebidas"/>
    <s v="Bebidas"/>
  </r>
  <r>
    <x v="1"/>
    <x v="9"/>
    <x v="1"/>
    <s v="PESP03"/>
    <s v="LING"/>
    <n v="11"/>
    <n v="299000"/>
    <n v="-29900"/>
    <n v="149237"/>
    <n v="149763"/>
    <n v="0.50087959866220733"/>
    <n v="0.1"/>
    <s v="Platos especiales"/>
    <s v="Personal"/>
    <s v="Platos Especiales"/>
  </r>
  <r>
    <x v="1"/>
    <x v="9"/>
    <x v="1"/>
    <s v="COMP08"/>
    <s v="COMBO - Papas 120 grs y Coca Cola 250 ml"/>
    <n v="11"/>
    <n v="75900"/>
    <n v="0"/>
    <n v="35332"/>
    <n v="40568"/>
    <n v="0.53449275362318838"/>
    <n v="0"/>
    <s v="Armalo en combo"/>
    <s v="Personal"/>
    <s v="Combo"/>
  </r>
  <r>
    <x v="1"/>
    <x v="9"/>
    <x v="1"/>
    <s v="COMC04"/>
    <s v="COMBO FAMIAMIGOS"/>
    <n v="11"/>
    <n v="878900"/>
    <n v="0"/>
    <n v="431431"/>
    <n v="447469"/>
    <n v="0.50912390488110137"/>
    <n v="0"/>
    <s v="Combos para compartir"/>
    <s v="No Personal"/>
    <s v="Combo"/>
  </r>
  <r>
    <x v="1"/>
    <x v="9"/>
    <x v="1"/>
    <s v="MON200"/>
    <s v="Chow Mein Especial Personal"/>
    <n v="11"/>
    <n v="218900"/>
    <n v="0"/>
    <n v="93731"/>
    <n v="125169"/>
    <n v="0.57180904522613063"/>
    <n v="0"/>
    <s v="Platos mong"/>
    <s v="Personal"/>
    <s v="Caja"/>
  </r>
  <r>
    <x v="1"/>
    <x v="9"/>
    <x v="1"/>
    <s v="PESP01"/>
    <s v="MING"/>
    <n v="11"/>
    <n v="319000"/>
    <n v="-31900"/>
    <n v="83655"/>
    <n v="235345"/>
    <n v="0.73775862068965514"/>
    <n v="0.1"/>
    <s v="Platos especiales"/>
    <s v="Personal"/>
    <s v="Platos Especiales"/>
  </r>
  <r>
    <x v="1"/>
    <x v="9"/>
    <x v="1"/>
    <s v="BEB583"/>
    <s v="Sprite 400 Ml"/>
    <n v="10"/>
    <n v="49000"/>
    <n v="0"/>
    <n v="13300"/>
    <n v="35700"/>
    <n v="0.72857142857142854"/>
    <n v="0"/>
    <s v="Bebidas"/>
    <s v="Bebidas"/>
    <s v="Bebidas"/>
  </r>
  <r>
    <x v="1"/>
    <x v="9"/>
    <x v="1"/>
    <s v="ATP08"/>
    <s v="Pollo Apanado ATP (*Extra)"/>
    <n v="10"/>
    <n v="0"/>
    <n v="0"/>
    <n v="52630"/>
    <n v="-52630"/>
    <n v="0"/>
    <n v="0"/>
    <s v="Arma tu plato"/>
    <s v="Personal"/>
    <s v="Caja"/>
  </r>
  <r>
    <x v="1"/>
    <x v="9"/>
    <x v="1"/>
    <s v="BEB589"/>
    <s v="Fusetea Durazno"/>
    <n v="10"/>
    <n v="49000"/>
    <n v="0"/>
    <n v="15600"/>
    <n v="33400"/>
    <n v="0.68163265306122445"/>
    <n v="0"/>
    <s v="Bebidas"/>
    <s v="Bebidas"/>
    <s v="Bebidas"/>
  </r>
  <r>
    <x v="1"/>
    <x v="9"/>
    <x v="1"/>
    <s v="MON110"/>
    <s v="Chow Fan Camarones Personal"/>
    <n v="9"/>
    <n v="197100"/>
    <n v="0"/>
    <n v="84636"/>
    <n v="112464"/>
    <n v="0.57059360730593611"/>
    <n v="0"/>
    <s v="Platos mong"/>
    <s v="Personal"/>
    <s v="Caja"/>
  </r>
  <r>
    <x v="1"/>
    <x v="9"/>
    <x v="1"/>
    <s v="PESP05"/>
    <s v="WONG- Menú infantil"/>
    <n v="9"/>
    <n v="135200"/>
    <n v="-16900"/>
    <n v="64125"/>
    <n v="71075"/>
    <n v="0.52570266272189348"/>
    <n v="0.125"/>
    <s v="Platos especiales"/>
    <s v="Personal"/>
    <s v="Platos Especiales"/>
  </r>
  <r>
    <x v="1"/>
    <x v="9"/>
    <x v="1"/>
    <s v="BEB596"/>
    <s v="Fusetea mango"/>
    <n v="9"/>
    <n v="44100"/>
    <n v="0"/>
    <n v="17064"/>
    <n v="27036"/>
    <n v="0.61306122448979594"/>
    <n v="0"/>
    <s v="Bebidas"/>
    <s v="Bebidas"/>
    <s v="Bebidas"/>
  </r>
  <r>
    <x v="1"/>
    <x v="9"/>
    <x v="1"/>
    <s v="MON330"/>
    <s v="Chop Suey Vegetariano Personal"/>
    <n v="8"/>
    <n v="127200"/>
    <n v="0"/>
    <n v="43728"/>
    <n v="83472"/>
    <n v="0.65622641509433965"/>
    <n v="0"/>
    <s v="Platos mong"/>
    <s v="Personal"/>
    <s v="Caja"/>
  </r>
  <r>
    <x v="1"/>
    <x v="9"/>
    <x v="1"/>
    <s v="BEB599"/>
    <s v="Agua 280 ml"/>
    <n v="8"/>
    <n v="28000"/>
    <n v="0"/>
    <n v="6944"/>
    <n v="21056"/>
    <n v="0.752"/>
    <n v="0"/>
    <s v="Bebidas"/>
    <s v="Bebidas"/>
    <s v="Bebidas"/>
  </r>
  <r>
    <x v="1"/>
    <x v="9"/>
    <x v="1"/>
    <s v="COMC02"/>
    <s v="COMBO AMIGOS"/>
    <n v="8"/>
    <n v="559200"/>
    <n v="0"/>
    <n v="189104"/>
    <n v="370096"/>
    <n v="0.66183118741058655"/>
    <n v="0"/>
    <s v="Combos para compartir"/>
    <s v="No Personal"/>
    <s v="Combo"/>
  </r>
  <r>
    <x v="1"/>
    <x v="9"/>
    <x v="1"/>
    <s v="BEB584"/>
    <s v="Quatro 400 Ml"/>
    <n v="8"/>
    <n v="39200"/>
    <n v="0"/>
    <n v="10640"/>
    <n v="28560"/>
    <n v="0.72857142857142854"/>
    <n v="0"/>
    <s v="Bebidas"/>
    <s v="Bebidas"/>
    <s v="Bebidas"/>
  </r>
  <r>
    <x v="1"/>
    <x v="9"/>
    <x v="1"/>
    <s v="BEB616"/>
    <s v="Agua Manzana 600 Ml CB (*Extra)"/>
    <n v="7"/>
    <n v="9800"/>
    <n v="0"/>
    <n v="14973"/>
    <n v="-5173"/>
    <n v="-0.5278571428571428"/>
    <n v="0"/>
    <s v="Bebidas"/>
    <s v="Bebidas Cambio de bebida"/>
    <s v="Bebidas"/>
  </r>
  <r>
    <x v="1"/>
    <x v="9"/>
    <x v="1"/>
    <s v="BEB594"/>
    <s v="Premio 400 Ml"/>
    <n v="7"/>
    <n v="34300"/>
    <n v="0"/>
    <n v="9310"/>
    <n v="24990"/>
    <n v="0.72857142857142854"/>
    <n v="0"/>
    <s v="Bebidas"/>
    <s v="Bebidas"/>
    <s v="Bebidas"/>
  </r>
  <r>
    <x v="1"/>
    <x v="9"/>
    <x v="1"/>
    <s v="BEB598"/>
    <s v="Coca Cola 1,5 litros"/>
    <n v="7"/>
    <n v="68459"/>
    <n v="-841"/>
    <n v="31507"/>
    <n v="36952"/>
    <n v="0.53976832848858436"/>
    <n v="1.2284725163966753E-2"/>
    <s v="Bebidas"/>
    <s v="Bebidas"/>
    <s v="Bebidas"/>
  </r>
  <r>
    <x v="1"/>
    <x v="9"/>
    <x v="1"/>
    <s v="ENT03"/>
    <s v="CAMARONES APANADOS"/>
    <n v="7"/>
    <n v="153300"/>
    <n v="0"/>
    <n v="43505"/>
    <n v="109795"/>
    <n v="0.71621004566210045"/>
    <n v="0"/>
    <s v="Entradas"/>
    <s v="Otro"/>
    <s v="Otro"/>
  </r>
  <r>
    <x v="1"/>
    <x v="9"/>
    <x v="1"/>
    <s v="ADIC565"/>
    <s v="Adición Camaron"/>
    <n v="6"/>
    <n v="53400"/>
    <n v="0"/>
    <n v="18648"/>
    <n v="34752"/>
    <n v="0.65078651685393263"/>
    <n v="0"/>
    <s v="Adición"/>
    <s v="Adición"/>
    <s v="Adición"/>
  </r>
  <r>
    <x v="1"/>
    <x v="9"/>
    <x v="1"/>
    <s v="BEB601"/>
    <s v="Coca Cola 400 Ml Normal CB (*Extra)"/>
    <n v="6"/>
    <n v="12000"/>
    <n v="0"/>
    <n v="13410"/>
    <n v="-1410"/>
    <n v="-0.11749999999999999"/>
    <n v="0"/>
    <s v="Bebidas"/>
    <s v="Bebidas Cambio de bebida"/>
    <s v="Bebidas"/>
  </r>
  <r>
    <x v="1"/>
    <x v="9"/>
    <x v="1"/>
    <s v="MON301"/>
    <s v="Chop Suey Especial Duo"/>
    <n v="6"/>
    <n v="275400"/>
    <n v="0"/>
    <n v="67992"/>
    <n v="207408"/>
    <n v="0.7531154684095861"/>
    <n v="0"/>
    <s v="Platos mong"/>
    <s v="No Personal"/>
    <s v="Caja"/>
  </r>
  <r>
    <x v="1"/>
    <x v="9"/>
    <x v="1"/>
    <s v="COMC06"/>
    <s v="COMBO FAMILIAR"/>
    <n v="6"/>
    <n v="539400"/>
    <n v="0"/>
    <n v="280680"/>
    <n v="258720"/>
    <n v="0.47964404894327028"/>
    <n v="0"/>
    <s v="Combos para compartir"/>
    <s v="No Personal"/>
    <s v="Combo"/>
  </r>
  <r>
    <x v="1"/>
    <x v="9"/>
    <x v="1"/>
    <s v="MON220"/>
    <s v="Chow Mein Pollo Personal"/>
    <n v="6"/>
    <n v="107400"/>
    <n v="0"/>
    <n v="42846"/>
    <n v="64554"/>
    <n v="0.60106145251396648"/>
    <n v="0"/>
    <s v="Platos mong"/>
    <s v="Personal"/>
    <s v="Caja"/>
  </r>
  <r>
    <x v="1"/>
    <x v="9"/>
    <x v="1"/>
    <s v="ADIC490"/>
    <s v="Adicion - Pollo en trozos"/>
    <n v="5"/>
    <n v="34500"/>
    <n v="0"/>
    <n v="11225"/>
    <n v="23275"/>
    <n v="0.67463768115942024"/>
    <n v="0"/>
    <s v="Adición"/>
    <s v="Adición"/>
    <s v="Adición"/>
  </r>
  <r>
    <x v="1"/>
    <x v="9"/>
    <x v="1"/>
    <s v="BEB609"/>
    <s v="Fusetea Limon CB (*Extra)"/>
    <n v="5"/>
    <n v="7000"/>
    <n v="0"/>
    <n v="9370"/>
    <n v="-2370"/>
    <n v="-0.33857142857142858"/>
    <n v="0"/>
    <s v="Bebidas"/>
    <s v="Bebidas Cambio de bebida"/>
    <s v="Bebidas"/>
  </r>
  <r>
    <x v="1"/>
    <x v="9"/>
    <x v="1"/>
    <s v="BEB591"/>
    <s v="Jugo del valle naranja"/>
    <n v="5"/>
    <n v="24500"/>
    <n v="0"/>
    <n v="7800"/>
    <n v="16700"/>
    <n v="0.68163265306122445"/>
    <n v="0"/>
    <s v="Bebidas"/>
    <s v="Bebidas"/>
    <s v="Bebidas"/>
  </r>
  <r>
    <x v="1"/>
    <x v="9"/>
    <x v="1"/>
    <s v="MON310"/>
    <s v="Chop suey camarón personal"/>
    <n v="5"/>
    <n v="124500"/>
    <n v="0"/>
    <n v="43785"/>
    <n v="80715"/>
    <n v="0.64831325301204823"/>
    <n v="0"/>
    <s v="Platos mong"/>
    <s v="Personal"/>
    <s v="Caja"/>
  </r>
  <r>
    <x v="1"/>
    <x v="9"/>
    <x v="1"/>
    <s v="BEB588"/>
    <s v="Fusetea Limon"/>
    <n v="5"/>
    <n v="24500"/>
    <n v="0"/>
    <n v="7800"/>
    <n v="16700"/>
    <n v="0.68163265306122445"/>
    <n v="0"/>
    <s v="Bebidas"/>
    <s v="Bebidas"/>
    <s v="Bebidas"/>
  </r>
  <r>
    <x v="1"/>
    <x v="9"/>
    <x v="1"/>
    <s v="ENT01"/>
    <s v="Deditos de Pollo"/>
    <n v="5"/>
    <n v="84500"/>
    <n v="0"/>
    <n v="50140"/>
    <n v="34360"/>
    <n v="0.40662721893491122"/>
    <n v="0"/>
    <s v="Entradas"/>
    <s v="Otro"/>
    <s v="Otro"/>
  </r>
  <r>
    <x v="1"/>
    <x v="9"/>
    <x v="1"/>
    <s v="BEB597"/>
    <s v="Fusetea manzana"/>
    <n v="5"/>
    <n v="24500"/>
    <n v="0"/>
    <n v="7800"/>
    <n v="16700"/>
    <n v="0.68163265306122445"/>
    <n v="0"/>
    <s v="Bebidas"/>
    <s v="Bebidas"/>
    <s v="Bebidas"/>
  </r>
  <r>
    <x v="1"/>
    <x v="9"/>
    <x v="1"/>
    <s v="MON121"/>
    <s v="Chow Fan Pollo Duo"/>
    <n v="5"/>
    <n v="179500"/>
    <n v="0"/>
    <n v="71155"/>
    <n v="108345"/>
    <n v="0.60359331476323119"/>
    <n v="0"/>
    <s v="Platos mong"/>
    <s v="No Personal"/>
    <s v="Caja"/>
  </r>
  <r>
    <x v="1"/>
    <x v="9"/>
    <x v="1"/>
    <s v="BEB618"/>
    <s v="Fusetea manzana CB (*Extra)"/>
    <n v="5"/>
    <n v="7000"/>
    <n v="0"/>
    <n v="9480"/>
    <n v="-2480"/>
    <n v="-0.35428571428571426"/>
    <n v="0"/>
    <s v="Bebidas"/>
    <s v="Bebidas Cambio de bebida"/>
    <s v="Bebidas"/>
  </r>
  <r>
    <x v="1"/>
    <x v="9"/>
    <x v="1"/>
    <s v="COMC03"/>
    <s v="COMBO TRIO"/>
    <n v="5"/>
    <n v="284500"/>
    <n v="0"/>
    <n v="142840"/>
    <n v="141660"/>
    <n v="0.4979261862917399"/>
    <n v="0"/>
    <s v="Combos para compartir"/>
    <s v="No Personal"/>
    <s v="Combo"/>
  </r>
  <r>
    <x v="1"/>
    <x v="9"/>
    <x v="1"/>
    <s v="MON201"/>
    <s v="Chow Mein Especial Duo"/>
    <n v="4"/>
    <n v="183600"/>
    <n v="0"/>
    <n v="77764"/>
    <n v="105836"/>
    <n v="0.57644880174291935"/>
    <n v="0"/>
    <s v="Platos mong"/>
    <s v="No Personal"/>
    <s v="Caja"/>
  </r>
  <r>
    <x v="1"/>
    <x v="9"/>
    <x v="1"/>
    <s v="ADIC561"/>
    <s v="Adición Vegetales"/>
    <n v="4"/>
    <n v="27200"/>
    <n v="0"/>
    <n v="2756"/>
    <n v="24444"/>
    <n v="0.8986764705882353"/>
    <n v="0"/>
    <s v="Adición"/>
    <s v="Adición"/>
    <s v="Adición"/>
  </r>
  <r>
    <x v="1"/>
    <x v="9"/>
    <x v="1"/>
    <s v="BEB582"/>
    <s v="Kola Roman 400 Ml"/>
    <n v="4"/>
    <n v="19600"/>
    <n v="0"/>
    <n v="5320"/>
    <n v="14280"/>
    <n v="0.72857142857142854"/>
    <n v="0"/>
    <s v="Bebidas"/>
    <s v="Bebidas"/>
    <s v="Bebidas"/>
  </r>
  <r>
    <x v="1"/>
    <x v="9"/>
    <x v="1"/>
    <s v="BEB617"/>
    <s v="Fusetea mango CB (*Extra)"/>
    <n v="4"/>
    <n v="5600"/>
    <n v="0"/>
    <n v="7584"/>
    <n v="-1984"/>
    <n v="-0.35428571428571426"/>
    <n v="0"/>
    <s v="Bebidas"/>
    <s v="Bebidas Cambio de bebida"/>
    <s v="Bebidas"/>
  </r>
  <r>
    <x v="1"/>
    <x v="9"/>
    <x v="1"/>
    <s v="BEB607"/>
    <s v="Agua Gas 600 Ml CB (*Extra)"/>
    <n v="3"/>
    <n v="4200"/>
    <n v="0"/>
    <n v="4830"/>
    <n v="-630"/>
    <n v="-0.15"/>
    <n v="0"/>
    <s v="Bebidas"/>
    <s v="Bebidas Cambio de bebida"/>
    <s v="Bebidas"/>
  </r>
  <r>
    <x v="1"/>
    <x v="9"/>
    <x v="1"/>
    <s v="CAM04"/>
    <s v="Lumpia cambio (*Extra)"/>
    <n v="3"/>
    <n v="0"/>
    <n v="0"/>
    <n v="6147"/>
    <n v="-6147"/>
    <n v="0"/>
    <n v="0"/>
    <s v="Adición"/>
    <s v="Otro"/>
    <s v="Otro"/>
  </r>
  <r>
    <x v="1"/>
    <x v="9"/>
    <x v="1"/>
    <s v="BEB608"/>
    <s v="Agua Limón 600 Ml CB (*Extra)"/>
    <n v="3"/>
    <n v="4200"/>
    <n v="0"/>
    <n v="5133"/>
    <n v="-933"/>
    <n v="-0.22214285714285714"/>
    <n v="0"/>
    <s v="Bebidas"/>
    <s v="Bebidas Cambio de bebida"/>
    <s v="Bebidas"/>
  </r>
  <r>
    <x v="1"/>
    <x v="9"/>
    <x v="1"/>
    <s v="CAM03"/>
    <s v="Cambio Papas a la francesa 150 grs (*Extra)"/>
    <n v="3"/>
    <n v="1500"/>
    <n v="0"/>
    <n v="4707"/>
    <n v="-3207"/>
    <n v="-2.1379999999999999"/>
    <n v="0"/>
    <s v="Adición"/>
    <s v="Otro"/>
    <s v="Otro"/>
  </r>
  <r>
    <x v="1"/>
    <x v="9"/>
    <x v="1"/>
    <s v="MON111"/>
    <s v="Chow Fan Camarones Duo"/>
    <n v="2"/>
    <n v="103800"/>
    <n v="0"/>
    <n v="41822"/>
    <n v="61978"/>
    <n v="0.59709055876685935"/>
    <n v="0"/>
    <s v="Platos mong"/>
    <s v="No Personal"/>
    <s v="Caja"/>
  </r>
  <r>
    <x v="1"/>
    <x v="9"/>
    <x v="1"/>
    <s v="MON103"/>
    <s v="Chow Fan Especial megafamiliar"/>
    <n v="2"/>
    <n v="165800"/>
    <n v="0"/>
    <n v="85408"/>
    <n v="80392"/>
    <n v="0.48487334137515076"/>
    <n v="0"/>
    <s v="Platos mong"/>
    <s v="No Personal"/>
    <s v="Caja"/>
  </r>
  <r>
    <x v="1"/>
    <x v="9"/>
    <x v="1"/>
    <s v="MON321"/>
    <s v="Chop Suey Pollo Duo"/>
    <n v="2"/>
    <n v="79800"/>
    <n v="0"/>
    <n v="22434"/>
    <n v="57366"/>
    <n v="0.71887218045112777"/>
    <n v="0"/>
    <s v="Platos mong"/>
    <s v="No Personal"/>
    <s v="Caja"/>
  </r>
  <r>
    <x v="1"/>
    <x v="9"/>
    <x v="1"/>
    <s v="MON112"/>
    <s v="Chow Fan Camarones Familiar"/>
    <n v="2"/>
    <n v="159800"/>
    <n v="0"/>
    <n v="57630"/>
    <n v="102170"/>
    <n v="0.63936170212765953"/>
    <n v="0"/>
    <s v="Platos mong"/>
    <s v="No Personal"/>
    <s v="Caja"/>
  </r>
  <r>
    <x v="1"/>
    <x v="9"/>
    <x v="1"/>
    <s v="MON312"/>
    <s v="Chop Suey Camaron Familiar"/>
    <n v="2"/>
    <n v="159800"/>
    <n v="0"/>
    <n v="67354"/>
    <n v="92446"/>
    <n v="0.5785106382978723"/>
    <n v="0"/>
    <s v="Platos mong"/>
    <s v="No Personal"/>
    <s v="Caja"/>
  </r>
  <r>
    <x v="1"/>
    <x v="9"/>
    <x v="1"/>
    <s v="MON302"/>
    <s v="Chop Suey Especial Familiar"/>
    <n v="2"/>
    <n v="125800"/>
    <n v="0"/>
    <n v="56114"/>
    <n v="69686"/>
    <n v="0.55394276629570749"/>
    <n v="0"/>
    <s v="Platos mong"/>
    <s v="No Personal"/>
    <s v="Caja"/>
  </r>
  <r>
    <x v="1"/>
    <x v="9"/>
    <x v="1"/>
    <s v="COMP11"/>
    <s v="COMBO - Lumpia y agua 280 ML"/>
    <n v="2"/>
    <n v="13800"/>
    <n v="0"/>
    <n v="0"/>
    <n v="13800"/>
    <n v="1"/>
    <n v="0"/>
    <s v="Armalo en combo"/>
    <s v="Personal"/>
    <s v="Combo"/>
  </r>
  <r>
    <x v="1"/>
    <x v="9"/>
    <x v="1"/>
    <s v="MON102"/>
    <s v="Chow Fan Especial familiar"/>
    <n v="2"/>
    <n v="133800"/>
    <n v="0"/>
    <n v="64702"/>
    <n v="69098"/>
    <n v="0.51642750373692081"/>
    <n v="0"/>
    <s v="Platos mong"/>
    <s v="No Personal"/>
    <s v="Caja"/>
  </r>
  <r>
    <x v="1"/>
    <x v="9"/>
    <x v="1"/>
    <s v="MONFIT"/>
    <s v="Mong fit"/>
    <n v="1"/>
    <n v="10900"/>
    <n v="0"/>
    <n v="0"/>
    <n v="10900"/>
    <n v="1"/>
    <n v="0"/>
    <s v="Platos especiales"/>
    <s v="Personal"/>
    <s v="Platos Especiales"/>
  </r>
  <r>
    <x v="1"/>
    <x v="9"/>
    <x v="1"/>
    <s v="BEB604"/>
    <s v="Sprite 400 Ml CB (*Extra)"/>
    <n v="1"/>
    <n v="1400"/>
    <n v="0"/>
    <n v="1516"/>
    <n v="-116"/>
    <n v="-8.2857142857142851E-2"/>
    <n v="0"/>
    <s v="Bebidas"/>
    <s v="Bebidas Cambio de bebida"/>
    <s v="Bebidas"/>
  </r>
  <r>
    <x v="1"/>
    <x v="9"/>
    <x v="1"/>
    <s v="BEB610"/>
    <s v="Fusetea Durazno CB (*Extra)"/>
    <n v="1"/>
    <n v="1400"/>
    <n v="0"/>
    <n v="1874"/>
    <n v="-474"/>
    <n v="-0.33857142857142858"/>
    <n v="0"/>
    <s v="Bebidas"/>
    <s v="Bebidas Cambio de bebida"/>
    <s v="Bebidas"/>
  </r>
  <r>
    <x v="1"/>
    <x v="9"/>
    <x v="1"/>
    <s v="COMP09"/>
    <s v="COMBO - Papas 120 grs y agua 280 Ml"/>
    <n v="1"/>
    <n v="6900"/>
    <n v="0"/>
    <n v="2917"/>
    <n v="3983"/>
    <n v="0.57724637681159419"/>
    <n v="0"/>
    <s v="Armalo en combo"/>
    <s v="Personal"/>
    <s v="Combo"/>
  </r>
  <r>
    <x v="1"/>
    <x v="9"/>
    <x v="1"/>
    <s v="MON122"/>
    <s v="Chow Fan Pollo familiar"/>
    <n v="1"/>
    <n v="55900"/>
    <n v="0"/>
    <n v="24255"/>
    <n v="31645"/>
    <n v="0.5661001788908766"/>
    <n v="0"/>
    <s v="Platos mong"/>
    <s v="No Personal"/>
    <s v="Caja"/>
  </r>
  <r>
    <x v="1"/>
    <x v="9"/>
    <x v="1"/>
    <s v="MON311"/>
    <s v="Chop Suey Camaron Duo"/>
    <n v="1"/>
    <n v="58900"/>
    <n v="0"/>
    <n v="17732"/>
    <n v="41168"/>
    <n v="0.69894736842105265"/>
    <n v="0"/>
    <s v="Platos mong"/>
    <s v="No Personal"/>
    <s v="Caja"/>
  </r>
  <r>
    <x v="1"/>
    <x v="9"/>
    <x v="1"/>
    <s v="PESP02"/>
    <s v="MONG"/>
    <n v="1"/>
    <n v="27900"/>
    <n v="0"/>
    <n v="12718"/>
    <n v="15182"/>
    <n v="0.54415770609318992"/>
    <n v="0"/>
    <s v="Platos especiales"/>
    <s v="Personal"/>
    <s v="Platos Especiales"/>
  </r>
  <r>
    <x v="1"/>
    <x v="9"/>
    <x v="1"/>
    <s v="MON132"/>
    <s v="Chow Fan Valenciano familiar"/>
    <n v="1"/>
    <n v="67900"/>
    <n v="0"/>
    <n v="34655"/>
    <n v="33245"/>
    <n v="0.48961708394698084"/>
    <n v="0"/>
    <s v="Platos mong"/>
    <s v="No Personal"/>
    <s v="Caja"/>
  </r>
  <r>
    <x v="1"/>
    <x v="9"/>
    <x v="1"/>
    <s v="COMP13"/>
    <s v="COMBO ARMA TU PLATO"/>
    <n v="1"/>
    <n v="27900"/>
    <n v="0"/>
    <n v="0"/>
    <n v="27900"/>
    <n v="1"/>
    <n v="0"/>
    <s v="Combos personales"/>
    <s v="Personal"/>
    <s v="Combo"/>
  </r>
  <r>
    <x v="1"/>
    <x v="9"/>
    <x v="1"/>
    <s v="BEB615"/>
    <s v="Premio 400 Ml CB (*Extra)"/>
    <n v="1"/>
    <n v="1400"/>
    <n v="0"/>
    <n v="1895"/>
    <n v="-495"/>
    <n v="-0.35357142857142859"/>
    <n v="0"/>
    <s v="Bebidas"/>
    <s v="Bebidas Cambio de bebida"/>
    <s v="Bebidas"/>
  </r>
  <r>
    <x v="1"/>
    <x v="9"/>
    <x v="1"/>
    <s v="MON331"/>
    <s v="Chop suey vegetariano duo"/>
    <n v="1"/>
    <n v="37900"/>
    <n v="0"/>
    <n v="11810"/>
    <n v="26090"/>
    <n v="0.68839050131926116"/>
    <n v="0"/>
    <s v="Platos mong"/>
    <s v="No Personal"/>
    <s v="Caja"/>
  </r>
  <r>
    <x v="1"/>
    <x v="9"/>
    <x v="1"/>
    <s v="MON505"/>
    <s v="Arroz vegetales pollo personal"/>
    <n v="1"/>
    <n v="19900"/>
    <n v="0"/>
    <n v="6138"/>
    <n v="13762"/>
    <n v="0.69155778894472364"/>
    <n v="0"/>
    <s v="Platos mong"/>
    <s v="Personal"/>
    <s v="Caja"/>
  </r>
  <r>
    <x v="1"/>
    <x v="9"/>
    <x v="1"/>
    <s v="MON210"/>
    <s v="Chow Mein Camaron Personal"/>
    <n v="1"/>
    <n v="24900"/>
    <n v="0"/>
    <n v="10481"/>
    <n v="14419"/>
    <n v="0.57907630522088349"/>
    <n v="0"/>
    <s v="Platos mong"/>
    <s v="Personal"/>
    <s v="Caja"/>
  </r>
  <r>
    <x v="1"/>
    <x v="9"/>
    <x v="1"/>
    <s v="BEB602"/>
    <s v="Kola Roman 400 Ml CB (*Extra)"/>
    <n v="1"/>
    <n v="2000"/>
    <n v="0"/>
    <n v="2235"/>
    <n v="-235"/>
    <n v="-0.11749999999999999"/>
    <n v="0"/>
    <s v="Bebidas"/>
    <s v="Bebidas Cambio de bebida"/>
    <s v="Bebidas"/>
  </r>
  <r>
    <x v="1"/>
    <x v="9"/>
    <x v="1"/>
    <s v="COMC07"/>
    <s v="COMBO ANTOJO"/>
    <n v="1"/>
    <n v="21900"/>
    <n v="0"/>
    <n v="7973"/>
    <n v="13927"/>
    <n v="0.63593607305936073"/>
    <n v="0"/>
    <s v="Combos para compartir"/>
    <s v="No Personal"/>
    <s v="Combo"/>
  </r>
  <r>
    <x v="1"/>
    <x v="9"/>
    <x v="2"/>
    <s v="ADIC09"/>
    <s v="No deseo (*Extra)"/>
    <n v="210"/>
    <n v="0"/>
    <n v="0"/>
    <n v="0"/>
    <n v="0"/>
    <n v="0"/>
    <n v="0"/>
    <s v="Adición"/>
    <s v="Adición"/>
    <s v="Adición"/>
  </r>
  <r>
    <x v="1"/>
    <x v="9"/>
    <x v="2"/>
    <s v="BEB00"/>
    <s v="Coca Cola 250 Ml Zero CB (*Extra)"/>
    <n v="136"/>
    <n v="0"/>
    <n v="0"/>
    <n v="0"/>
    <n v="0"/>
    <n v="0"/>
    <n v="0"/>
    <s v="Bebidas"/>
    <s v="Bebidas Cambio de bebida"/>
    <s v="Bebidas"/>
  </r>
  <r>
    <x v="1"/>
    <x v="9"/>
    <x v="2"/>
    <s v="COMP01"/>
    <s v="COMBO 1- Valenciano personal"/>
    <n v="100"/>
    <n v="2089500"/>
    <n v="-600500"/>
    <n v="962700"/>
    <n v="1126800"/>
    <n v="0.53926776740847093"/>
    <n v="0.28738932759033259"/>
    <s v="Combos personales"/>
    <s v="Personal"/>
    <s v="Combo"/>
  </r>
  <r>
    <x v="1"/>
    <x v="9"/>
    <x v="2"/>
    <s v="COMP02"/>
    <s v="COMBO 2 - Chow fan especial personal"/>
    <n v="43"/>
    <n v="931200"/>
    <n v="-268500"/>
    <n v="408543"/>
    <n v="522657"/>
    <n v="0.56127255154639177"/>
    <n v="0.28833762886597936"/>
    <s v="Combos personales"/>
    <s v="Personal"/>
    <s v="Combo"/>
  </r>
  <r>
    <x v="1"/>
    <x v="9"/>
    <x v="2"/>
    <s v="COMP14"/>
    <s v="COMBO ESTUDIANTIL- Chow fan 250 grs"/>
    <n v="38"/>
    <n v="697750"/>
    <n v="-172450"/>
    <n v="0"/>
    <n v="697750"/>
    <n v="1"/>
    <n v="0.2471515585811537"/>
    <s v="Combos personales"/>
    <s v="Personal"/>
    <s v="Caja"/>
  </r>
  <r>
    <x v="1"/>
    <x v="9"/>
    <x v="2"/>
    <s v="ADIC10"/>
    <s v="Cubiertos + servilletas (*Extra)"/>
    <n v="29"/>
    <n v="11600"/>
    <n v="0"/>
    <n v="9309"/>
    <n v="2291"/>
    <n v="0.19750000000000001"/>
    <n v="0"/>
    <s v="Adición"/>
    <s v="Adición"/>
    <s v="Adición"/>
  </r>
  <r>
    <x v="1"/>
    <x v="9"/>
    <x v="2"/>
    <s v="COMP13"/>
    <s v="COMBO ARMA TU PLATO"/>
    <n v="20"/>
    <n v="500400"/>
    <n v="-137600"/>
    <n v="0"/>
    <n v="500400"/>
    <n v="1"/>
    <n v="0.27498001598721022"/>
    <s v="Combos personales"/>
    <s v="Personal"/>
    <s v="Combo"/>
  </r>
  <r>
    <x v="1"/>
    <x v="9"/>
    <x v="2"/>
    <s v="CAM04"/>
    <s v="Lumpia cambio (*Extra)"/>
    <n v="19"/>
    <n v="0"/>
    <n v="0"/>
    <n v="38931"/>
    <n v="-38931"/>
    <n v="0"/>
    <n v="0"/>
    <s v="Adición"/>
    <s v="Otro"/>
    <s v="Otro"/>
  </r>
  <r>
    <x v="1"/>
    <x v="9"/>
    <x v="2"/>
    <s v="TOTEATDVYERROR"/>
    <s v="ERR RAPPI: Agua brisa 280 ml"/>
    <n v="16"/>
    <n v="0"/>
    <n v="0"/>
    <n v="0"/>
    <n v="0"/>
    <n v="0"/>
    <n v="0"/>
    <s v="Otro"/>
    <s v="Otro"/>
    <s v="Otro"/>
  </r>
  <r>
    <x v="1"/>
    <x v="9"/>
    <x v="2"/>
    <s v="ADIC08"/>
    <s v="Salsa agridulce Roja (*Extra)"/>
    <n v="14"/>
    <n v="14000"/>
    <n v="0"/>
    <n v="826"/>
    <n v="13174"/>
    <n v="0.94099999999999995"/>
    <n v="0"/>
    <s v="Adición"/>
    <s v="Adición"/>
    <s v="Adición"/>
  </r>
  <r>
    <x v="1"/>
    <x v="9"/>
    <x v="2"/>
    <s v="ATP01"/>
    <s v="Pollo a la naranja (*Extra)"/>
    <n v="14"/>
    <n v="0"/>
    <n v="0"/>
    <n v="76874"/>
    <n v="-76874"/>
    <n v="0"/>
    <n v="0"/>
    <s v="Arma tu plato"/>
    <s v="Personal"/>
    <s v="Caja"/>
  </r>
  <r>
    <x v="1"/>
    <x v="9"/>
    <x v="2"/>
    <s v="COMP03"/>
    <s v="COMBO 3 - Chop suey especial personal"/>
    <n v="12"/>
    <n v="302400"/>
    <n v="-92400"/>
    <n v="114840"/>
    <n v="187560"/>
    <n v="0.62023809523809526"/>
    <n v="0.30555555555555558"/>
    <s v="Combos personales"/>
    <s v="Personal"/>
    <s v="Combo"/>
  </r>
  <r>
    <x v="1"/>
    <x v="9"/>
    <x v="2"/>
    <s v="TOTEATDVYERROR"/>
    <s v="ERR RAPPI: Coca cola 400 ml"/>
    <n v="12"/>
    <n v="24000"/>
    <n v="0"/>
    <n v="0"/>
    <n v="24000"/>
    <n v="1"/>
    <n v="0"/>
    <s v="Otro"/>
    <s v="Otro"/>
    <s v="Otro"/>
  </r>
  <r>
    <x v="1"/>
    <x v="9"/>
    <x v="2"/>
    <s v="ATP06"/>
    <s v="Arroz Frito ATP (*Extra)"/>
    <n v="10"/>
    <n v="0"/>
    <n v="0"/>
    <n v="12820"/>
    <n v="-12820"/>
    <n v="0"/>
    <n v="0"/>
    <s v="Arma tu plato"/>
    <s v="Personal"/>
    <s v="Caja"/>
  </r>
  <r>
    <x v="1"/>
    <x v="9"/>
    <x v="2"/>
    <s v="ADIC07"/>
    <s v="Lumpia X 1 (*Extra)"/>
    <n v="10"/>
    <n v="45000"/>
    <n v="0"/>
    <n v="15690"/>
    <n v="29310"/>
    <n v="0.65133333333333332"/>
    <n v="0"/>
    <s v="Adición"/>
    <s v="Adición"/>
    <s v="Adición"/>
  </r>
  <r>
    <x v="1"/>
    <x v="9"/>
    <x v="2"/>
    <s v="CAM03"/>
    <s v="Cambio Papas a la francesa 150 grs (*Extra)"/>
    <n v="9"/>
    <n v="4500"/>
    <n v="0"/>
    <n v="14121"/>
    <n v="-9621"/>
    <n v="-2.1379999999999999"/>
    <n v="0"/>
    <s v="Adición"/>
    <s v="Otro"/>
    <s v="Otro"/>
  </r>
  <r>
    <x v="1"/>
    <x v="9"/>
    <x v="2"/>
    <s v="ADIC01"/>
    <s v="Papas a la Francesa ADIC (*Extra)"/>
    <n v="8"/>
    <n v="44800"/>
    <n v="0"/>
    <n v="16392"/>
    <n v="28408"/>
    <n v="0.63410714285714287"/>
    <n v="0"/>
    <s v="Adición"/>
    <s v="Adición"/>
    <s v="Adición"/>
  </r>
  <r>
    <x v="1"/>
    <x v="9"/>
    <x v="2"/>
    <s v="COMP05"/>
    <s v="COMBO 5 - Chow Mein especial personal"/>
    <n v="8"/>
    <n v="203800"/>
    <n v="-59400"/>
    <n v="90024"/>
    <n v="113776"/>
    <n v="0.55827281648675176"/>
    <n v="0.29146221786064769"/>
    <s v="Combos personales"/>
    <s v="Personal"/>
    <s v="Combo"/>
  </r>
  <r>
    <x v="1"/>
    <x v="9"/>
    <x v="2"/>
    <s v="MONE700"/>
    <s v="Mong Express Chop suey pollo"/>
    <n v="8"/>
    <n v="151650"/>
    <n v="-39550"/>
    <n v="65464"/>
    <n v="86186"/>
    <n v="0.56832179360369273"/>
    <n v="0.26079788987800856"/>
    <s v="Mong Express"/>
    <s v="Personal"/>
    <s v="Caja"/>
  </r>
  <r>
    <x v="1"/>
    <x v="9"/>
    <x v="2"/>
    <s v="ADIC02"/>
    <s v="Pollo presa ADIC (*Extra)"/>
    <n v="8"/>
    <n v="60800"/>
    <n v="0"/>
    <n v="22792"/>
    <n v="38008"/>
    <n v="0.62513157894736837"/>
    <n v="0"/>
    <s v="Adición"/>
    <s v="Adición"/>
    <s v="Adición"/>
  </r>
  <r>
    <x v="1"/>
    <x v="9"/>
    <x v="2"/>
    <s v="ATP09"/>
    <s v="Res brócoli (*Extra)"/>
    <n v="7"/>
    <n v="0"/>
    <n v="0"/>
    <n v="23254"/>
    <n v="-23254"/>
    <n v="0"/>
    <n v="0"/>
    <s v="Arma tu plato"/>
    <s v="Personal"/>
    <s v="Caja"/>
  </r>
  <r>
    <x v="1"/>
    <x v="9"/>
    <x v="2"/>
    <s v="ADIC04"/>
    <s v="Pollo picado (*Extra)"/>
    <n v="7"/>
    <n v="56000"/>
    <n v="0"/>
    <n v="12229"/>
    <n v="43771"/>
    <n v="0.78162500000000001"/>
    <n v="0"/>
    <s v="Adición"/>
    <s v="Adición"/>
    <s v="Adición"/>
  </r>
  <r>
    <x v="1"/>
    <x v="9"/>
    <x v="2"/>
    <s v="ADIC03"/>
    <s v="Camarones (*Extra)"/>
    <n v="6"/>
    <n v="45600"/>
    <n v="0"/>
    <n v="18648"/>
    <n v="26952"/>
    <n v="0.59105263157894739"/>
    <n v="0"/>
    <s v="Adición"/>
    <s v="Adición"/>
    <s v="Adición"/>
  </r>
  <r>
    <x v="1"/>
    <x v="9"/>
    <x v="2"/>
    <s v="ATP02"/>
    <s v="Camarones apanados 7 (*Extra)"/>
    <n v="6"/>
    <n v="12000"/>
    <n v="0"/>
    <n v="18648"/>
    <n v="-6648"/>
    <n v="-0.55400000000000005"/>
    <n v="0"/>
    <s v="Arma tu plato"/>
    <s v="Personal"/>
    <s v="Caja"/>
  </r>
  <r>
    <x v="1"/>
    <x v="9"/>
    <x v="2"/>
    <s v="ADIC12"/>
    <s v="Salsa Soya (*Extra)"/>
    <n v="6"/>
    <n v="6000"/>
    <n v="0"/>
    <n v="0"/>
    <n v="6000"/>
    <n v="1"/>
    <n v="0"/>
    <s v="Adición"/>
    <s v="Adición"/>
    <s v="Adición"/>
  </r>
  <r>
    <x v="1"/>
    <x v="9"/>
    <x v="2"/>
    <s v="COMC04"/>
    <s v="COMBO FAMIAMIGOS"/>
    <n v="6"/>
    <n v="458950"/>
    <n v="-146450"/>
    <n v="235326"/>
    <n v="223624"/>
    <n v="0.48725133456803571"/>
    <n v="0.31909794095217342"/>
    <s v="Combos para compartir"/>
    <s v="No Personal"/>
    <s v="Combo"/>
  </r>
  <r>
    <x v="1"/>
    <x v="9"/>
    <x v="2"/>
    <s v="ENT04"/>
    <s v="LUMPIAS X 2"/>
    <n v="6"/>
    <n v="65400"/>
    <n v="0"/>
    <n v="18834"/>
    <n v="46566"/>
    <n v="0.71201834862385316"/>
    <n v="0"/>
    <s v="Entradas"/>
    <s v="Otro"/>
    <s v="Otro"/>
  </r>
  <r>
    <x v="1"/>
    <x v="9"/>
    <x v="2"/>
    <s v="ADIC06"/>
    <s v="Arroz Frito ADIC (*Extra)"/>
    <n v="5"/>
    <n v="24000"/>
    <n v="0"/>
    <n v="6410"/>
    <n v="17590"/>
    <n v="0.73291666666666666"/>
    <n v="0"/>
    <s v="Adición"/>
    <s v="Adición"/>
    <s v="Adición"/>
  </r>
  <r>
    <x v="1"/>
    <x v="9"/>
    <x v="2"/>
    <s v="ATP08"/>
    <s v="Pollo Apanado ATP (*Extra)"/>
    <n v="5"/>
    <n v="0"/>
    <n v="0"/>
    <n v="26315"/>
    <n v="-26315"/>
    <n v="0"/>
    <n v="0"/>
    <s v="Arma tu plato"/>
    <s v="Personal"/>
    <s v="Caja"/>
  </r>
  <r>
    <x v="1"/>
    <x v="9"/>
    <x v="2"/>
    <s v="ATP05"/>
    <s v="Chow mein (*Extra)"/>
    <n v="4"/>
    <n v="0"/>
    <n v="0"/>
    <n v="12388"/>
    <n v="-12388"/>
    <n v="0"/>
    <n v="0"/>
    <s v="Arma tu plato"/>
    <s v="Personal"/>
    <s v="Caja"/>
  </r>
  <r>
    <x v="1"/>
    <x v="9"/>
    <x v="2"/>
    <s v="ATP10"/>
    <s v="Cerdo agridulce (*Extra)"/>
    <n v="4"/>
    <n v="0"/>
    <n v="0"/>
    <n v="21868"/>
    <n v="-21868"/>
    <n v="0"/>
    <n v="0"/>
    <s v="Arma tu plato"/>
    <s v="Personal"/>
    <s v="Caja"/>
  </r>
  <r>
    <x v="1"/>
    <x v="9"/>
    <x v="2"/>
    <s v="TOTEATDVYERROR"/>
    <s v="ERR RAPPI: Coca cola zero 400 ml"/>
    <n v="4"/>
    <n v="8000"/>
    <n v="0"/>
    <n v="0"/>
    <n v="8000"/>
    <n v="1"/>
    <n v="0"/>
    <s v="Otro"/>
    <s v="Otro"/>
    <s v="Otro"/>
  </r>
  <r>
    <x v="1"/>
    <x v="9"/>
    <x v="2"/>
    <s v="COMC06"/>
    <s v="COMBO FAMILIAR"/>
    <n v="4"/>
    <n v="402600"/>
    <n v="-117000"/>
    <n v="187120"/>
    <n v="215480"/>
    <n v="0.53522106308991557"/>
    <n v="0.29061102831594637"/>
    <s v="Combos para compartir"/>
    <s v="No Personal"/>
    <s v="Combo"/>
  </r>
  <r>
    <x v="1"/>
    <x v="9"/>
    <x v="2"/>
    <s v="ADIC05"/>
    <s v="Vegetales salteados (*Extra)"/>
    <n v="3"/>
    <n v="20100"/>
    <n v="0"/>
    <n v="21"/>
    <n v="20079"/>
    <n v="0.99895522388059699"/>
    <n v="0"/>
    <s v="Adición"/>
    <s v="Adición"/>
    <s v="Adición"/>
  </r>
  <r>
    <x v="1"/>
    <x v="9"/>
    <x v="2"/>
    <s v="ATP04"/>
    <s v="Chop suey (*Extra)"/>
    <n v="3"/>
    <n v="0"/>
    <n v="0"/>
    <n v="7902"/>
    <n v="-7902"/>
    <n v="0"/>
    <n v="0"/>
    <s v="Arma tu plato"/>
    <s v="Personal"/>
    <s v="Caja"/>
  </r>
  <r>
    <x v="1"/>
    <x v="9"/>
    <x v="2"/>
    <s v="ADIC11"/>
    <s v="Salsa Teriyaki (*Extra)"/>
    <n v="3"/>
    <n v="3000"/>
    <n v="0"/>
    <n v="0"/>
    <n v="3000"/>
    <n v="1"/>
    <n v="0"/>
    <s v="Adición"/>
    <s v="Adición"/>
    <s v="Adición"/>
  </r>
  <r>
    <x v="1"/>
    <x v="9"/>
    <x v="2"/>
    <s v="TOTEATDVYERROR"/>
    <s v="ERR RAPPI: Fuze tea durazno"/>
    <n v="3"/>
    <n v="4200"/>
    <n v="0"/>
    <n v="0"/>
    <n v="4200"/>
    <n v="1"/>
    <n v="0"/>
    <s v="Otro"/>
    <s v="Otro"/>
    <s v="Otro"/>
  </r>
  <r>
    <x v="1"/>
    <x v="9"/>
    <x v="2"/>
    <s v="ATP03"/>
    <s v="Arroz vegetales (*Extra)"/>
    <n v="3"/>
    <n v="6000"/>
    <n v="0"/>
    <n v="6105"/>
    <n v="-105"/>
    <n v="-1.7500000000000002E-2"/>
    <n v="0"/>
    <s v="Arma tu plato"/>
    <s v="Personal"/>
    <s v="Caja"/>
  </r>
  <r>
    <x v="1"/>
    <x v="9"/>
    <x v="2"/>
    <s v="BEB585"/>
    <s v="Agua Normal 600 Ml"/>
    <n v="2"/>
    <n v="9800"/>
    <n v="0"/>
    <n v="2190"/>
    <n v="7610"/>
    <n v="0.77653061224489794"/>
    <n v="0"/>
    <s v="Bebidas"/>
    <s v="Bebidas"/>
    <s v="Bebidas"/>
  </r>
  <r>
    <x v="1"/>
    <x v="9"/>
    <x v="2"/>
    <s v="COMC02"/>
    <s v="COMBO AMIGOS"/>
    <n v="2"/>
    <n v="109300"/>
    <n v="-36500"/>
    <n v="47276"/>
    <n v="62024"/>
    <n v="0.56746569075937781"/>
    <n v="0.33394327538883806"/>
    <s v="Combos para compartir"/>
    <s v="No Personal"/>
    <s v="Combo"/>
  </r>
  <r>
    <x v="1"/>
    <x v="9"/>
    <x v="2"/>
    <s v="ADIC562"/>
    <s v="Adición Pasta"/>
    <n v="2"/>
    <n v="11800"/>
    <n v="0"/>
    <n v="6020"/>
    <n v="5780"/>
    <n v="0.48983050847457626"/>
    <n v="0"/>
    <s v="Adición"/>
    <s v="Adición"/>
    <s v="Adición"/>
  </r>
  <r>
    <x v="1"/>
    <x v="9"/>
    <x v="2"/>
    <s v="ADIC561"/>
    <s v="Adición Vegetales"/>
    <n v="2"/>
    <n v="16400"/>
    <n v="0"/>
    <n v="1378"/>
    <n v="15022"/>
    <n v="0.9159756097560976"/>
    <n v="0"/>
    <s v="Adición"/>
    <s v="Adición"/>
    <s v="Adición"/>
  </r>
  <r>
    <x v="1"/>
    <x v="9"/>
    <x v="2"/>
    <s v="ADIC560"/>
    <s v="Adición Papa frita"/>
    <n v="2"/>
    <n v="11800"/>
    <n v="0"/>
    <n v="8196"/>
    <n v="3604"/>
    <n v="0.30542372881355934"/>
    <n v="0"/>
    <s v="Adición"/>
    <s v="Adición"/>
    <s v="Adición"/>
  </r>
  <r>
    <x v="1"/>
    <x v="9"/>
    <x v="2"/>
    <s v="COMP12"/>
    <s v="Combo Sunkee"/>
    <n v="2"/>
    <n v="77800"/>
    <n v="0"/>
    <n v="65602"/>
    <n v="12198"/>
    <n v="0.1567866323907455"/>
    <n v="0"/>
    <s v="Combos personales"/>
    <s v="Personal"/>
    <s v="Combo"/>
  </r>
  <r>
    <x v="1"/>
    <x v="9"/>
    <x v="2"/>
    <s v="PESP05"/>
    <s v="WONG- Menú infantil"/>
    <n v="1"/>
    <n v="19900"/>
    <n v="0"/>
    <n v="7125"/>
    <n v="12775"/>
    <n v="0.64195979899497491"/>
    <n v="0"/>
    <s v="Platos especiales"/>
    <s v="Personal"/>
    <s v="Platos Especiales"/>
  </r>
  <r>
    <x v="1"/>
    <x v="9"/>
    <x v="2"/>
    <s v="TOTEATDVYERROR"/>
    <s v="ERR RAPPI: Fuze tea limón"/>
    <n v="1"/>
    <n v="1400"/>
    <n v="0"/>
    <n v="0"/>
    <n v="1400"/>
    <n v="1"/>
    <n v="0"/>
    <s v="Otro"/>
    <s v="Otro"/>
    <s v="Otro"/>
  </r>
  <r>
    <x v="1"/>
    <x v="9"/>
    <x v="2"/>
    <s v="BEB581"/>
    <s v="Coca Cola 400 Ml Normal"/>
    <n v="1"/>
    <n v="5500"/>
    <n v="0"/>
    <n v="1695"/>
    <n v="3805"/>
    <n v="0.69181818181818178"/>
    <n v="0"/>
    <s v="Bebidas"/>
    <s v="Bebidas"/>
    <s v="Bebidas"/>
  </r>
  <r>
    <x v="1"/>
    <x v="9"/>
    <x v="2"/>
    <s v="COMP04"/>
    <s v="COMBO 4 - arroz vegetales especial"/>
    <n v="1"/>
    <n v="32900"/>
    <n v="0"/>
    <n v="10247"/>
    <n v="22653"/>
    <n v="0.68854103343465045"/>
    <n v="0"/>
    <s v="Combos personales"/>
    <s v="Personal"/>
    <s v="Combo"/>
  </r>
  <r>
    <x v="1"/>
    <x v="9"/>
    <x v="2"/>
    <s v="BEB592"/>
    <s v="Coca Cola 400 Ml Zero"/>
    <n v="1"/>
    <n v="5500"/>
    <n v="0"/>
    <n v="1448"/>
    <n v="4052"/>
    <n v="0.73672727272727268"/>
    <n v="0"/>
    <s v="Bebidas"/>
    <s v="Bebidas"/>
    <s v="Bebidas"/>
  </r>
  <r>
    <x v="1"/>
    <x v="9"/>
    <x v="2"/>
    <s v="ADIC565"/>
    <s v="Adición Camaron"/>
    <n v="1"/>
    <n v="8900"/>
    <n v="0"/>
    <n v="3108"/>
    <n v="5792"/>
    <n v="0.65078651685393263"/>
    <n v="0"/>
    <s v="Adición"/>
    <s v="Adición"/>
    <s v="Adición"/>
  </r>
  <r>
    <x v="1"/>
    <x v="10"/>
    <x v="1"/>
    <s v="COMP01"/>
    <s v="COMBO 1- Valenciano personal"/>
    <n v="218"/>
    <n v="4761631"/>
    <n v="-12569"/>
    <n v="2098686"/>
    <n v="2662945"/>
    <n v="0.55925060131706972"/>
    <n v="2.6396417530043801E-3"/>
    <s v="Combos personales"/>
    <s v="Personal"/>
    <s v="Combo"/>
  </r>
  <r>
    <x v="1"/>
    <x v="10"/>
    <x v="1"/>
    <s v="MON450"/>
    <s v="Arma tu plato"/>
    <n v="180"/>
    <n v="4375039"/>
    <n v="-106961"/>
    <n v="0"/>
    <n v="4375039"/>
    <n v="1"/>
    <n v="2.4448010634876626E-2"/>
    <s v="Arma tu plato"/>
    <s v="Personal"/>
    <s v="Caja"/>
  </r>
  <r>
    <x v="1"/>
    <x v="10"/>
    <x v="1"/>
    <s v="MONE700"/>
    <s v="Mong Express Chop suey pollo"/>
    <n v="161"/>
    <n v="3038100"/>
    <n v="-4800"/>
    <n v="1317463"/>
    <n v="1720637"/>
    <n v="0.56635298377275267"/>
    <n v="1.5799348276883578E-3"/>
    <s v="Mong Express"/>
    <s v="Personal"/>
    <s v="Caja"/>
  </r>
  <r>
    <x v="1"/>
    <x v="10"/>
    <x v="1"/>
    <s v="ATP01"/>
    <s v="Pollo a la naranja (*Extra)"/>
    <n v="136"/>
    <n v="0"/>
    <n v="0"/>
    <n v="746776"/>
    <n v="-746776"/>
    <n v="0"/>
    <n v="0"/>
    <s v="Arma tu plato"/>
    <s v="Personal"/>
    <s v="Caja"/>
  </r>
  <r>
    <x v="1"/>
    <x v="10"/>
    <x v="1"/>
    <s v="COMP02"/>
    <s v="COMBO 2 - Chow fan especial personal"/>
    <n v="115"/>
    <n v="2746200"/>
    <n v="-2300"/>
    <n v="1092615"/>
    <n v="1653585"/>
    <n v="0.60213567839195981"/>
    <n v="8.375209380234506E-4"/>
    <s v="Combos personales"/>
    <s v="Personal"/>
    <s v="Combo"/>
  </r>
  <r>
    <x v="1"/>
    <x v="10"/>
    <x v="1"/>
    <s v="COMP03"/>
    <s v="COMBO 3 - Chop suey especial personal"/>
    <n v="96"/>
    <n v="2582400"/>
    <n v="0"/>
    <n v="918720"/>
    <n v="1663680"/>
    <n v="0.64423791821561338"/>
    <n v="0"/>
    <s v="Combos personales"/>
    <s v="Personal"/>
    <s v="Combo"/>
  </r>
  <r>
    <x v="1"/>
    <x v="10"/>
    <x v="1"/>
    <s v="MONE701"/>
    <s v="Mong Express Chow fan"/>
    <n v="93"/>
    <n v="1716900"/>
    <n v="-40800"/>
    <n v="0"/>
    <n v="1716900"/>
    <n v="1"/>
    <n v="2.3763760265594968E-2"/>
    <s v="Mong Express"/>
    <s v="Personal"/>
    <s v="Caja"/>
  </r>
  <r>
    <x v="1"/>
    <x v="10"/>
    <x v="1"/>
    <s v="ENT04"/>
    <s v="LUMPIAS X 2"/>
    <n v="88"/>
    <n v="769816"/>
    <n v="-13384"/>
    <n v="276232"/>
    <n v="493584"/>
    <n v="0.64117139680131352"/>
    <n v="1.738597275193033E-2"/>
    <s v="Entradas"/>
    <s v="Otro"/>
    <s v="Otro"/>
  </r>
  <r>
    <x v="1"/>
    <x v="10"/>
    <x v="1"/>
    <s v="COMP05"/>
    <s v="COMBO 5 - Chow Mein especial personal"/>
    <n v="81"/>
    <n v="2178900"/>
    <n v="0"/>
    <n v="911493"/>
    <n v="1267407"/>
    <n v="0.58167286245353156"/>
    <n v="0"/>
    <s v="Combos personales"/>
    <s v="Personal"/>
    <s v="Combo"/>
  </r>
  <r>
    <x v="1"/>
    <x v="10"/>
    <x v="1"/>
    <s v="ATP03"/>
    <s v="Arroz vegetales (*Extra)"/>
    <n v="74"/>
    <n v="145529"/>
    <n v="-2471"/>
    <n v="150590"/>
    <n v="-5061"/>
    <n v="-3.4776573741316166E-2"/>
    <n v="1.6979433652399178E-2"/>
    <s v="Arma tu plato"/>
    <s v="Personal"/>
    <s v="Caja"/>
  </r>
  <r>
    <x v="1"/>
    <x v="10"/>
    <x v="1"/>
    <s v="ATP02"/>
    <s v="Camarones apanados 7 (*Extra)"/>
    <n v="69"/>
    <n v="137328"/>
    <n v="-672"/>
    <n v="214452"/>
    <n v="-77124"/>
    <n v="-0.56160433414889899"/>
    <n v="4.8933939182104159E-3"/>
    <s v="Arma tu plato"/>
    <s v="Personal"/>
    <s v="Caja"/>
  </r>
  <r>
    <x v="1"/>
    <x v="10"/>
    <x v="1"/>
    <s v="ATP10"/>
    <s v="Cerdo agridulce (*Extra)"/>
    <n v="60"/>
    <n v="0"/>
    <n v="0"/>
    <n v="328020"/>
    <n v="-328020"/>
    <n v="0"/>
    <n v="0"/>
    <s v="Arma tu plato"/>
    <s v="Personal"/>
    <s v="Caja"/>
  </r>
  <r>
    <x v="1"/>
    <x v="10"/>
    <x v="1"/>
    <s v="ATP09"/>
    <s v="Res brócoli (*Extra)"/>
    <n v="55"/>
    <n v="0"/>
    <n v="0"/>
    <n v="182710"/>
    <n v="-182710"/>
    <n v="0"/>
    <n v="0"/>
    <s v="Arma tu plato"/>
    <s v="Personal"/>
    <s v="Caja"/>
  </r>
  <r>
    <x v="1"/>
    <x v="10"/>
    <x v="1"/>
    <s v="BEB581"/>
    <s v="Coca Cola 400 Ml Normal"/>
    <n v="49"/>
    <n v="264000"/>
    <n v="-5500"/>
    <n v="83055"/>
    <n v="180945"/>
    <n v="0.6853977272727273"/>
    <n v="2.0833333333333332E-2"/>
    <s v="Bebidas"/>
    <s v="Bebidas"/>
    <s v="Bebidas"/>
  </r>
  <r>
    <x v="1"/>
    <x v="10"/>
    <x v="1"/>
    <s v="PESP05"/>
    <s v="WONG- Menú infantil"/>
    <n v="46"/>
    <n v="707000"/>
    <n v="-70400"/>
    <n v="327750"/>
    <n v="379250"/>
    <n v="0.53642149929278637"/>
    <n v="9.9575671852899575E-2"/>
    <s v="Platos especiales"/>
    <s v="Personal"/>
    <s v="Platos Especiales"/>
  </r>
  <r>
    <x v="1"/>
    <x v="10"/>
    <x v="1"/>
    <s v="COMP04"/>
    <s v="COMBO 4 - arroz vegetales especial"/>
    <n v="44"/>
    <n v="1271600"/>
    <n v="0"/>
    <n v="450868"/>
    <n v="820732"/>
    <n v="0.64543252595155709"/>
    <n v="0"/>
    <s v="Combos personales"/>
    <s v="Personal"/>
    <s v="Combo"/>
  </r>
  <r>
    <x v="1"/>
    <x v="10"/>
    <x v="1"/>
    <s v="BEB580"/>
    <s v="Coca Cola 250 Ml Normal"/>
    <n v="43"/>
    <n v="150500"/>
    <n v="0"/>
    <n v="50009"/>
    <n v="100491"/>
    <n v="0.6677142857142857"/>
    <n v="0"/>
    <s v="Bebidas"/>
    <s v="Bebidas"/>
    <s v="Bebidas"/>
  </r>
  <r>
    <x v="1"/>
    <x v="10"/>
    <x v="1"/>
    <s v="ATP06"/>
    <s v="Arroz Frito ATP (*Extra)"/>
    <n v="41"/>
    <n v="0"/>
    <n v="0"/>
    <n v="52562"/>
    <n v="-52562"/>
    <n v="0"/>
    <n v="0"/>
    <s v="Arma tu plato"/>
    <s v="Personal"/>
    <s v="Caja"/>
  </r>
  <r>
    <x v="1"/>
    <x v="10"/>
    <x v="1"/>
    <s v="MON300"/>
    <s v="Chop suey especial personal"/>
    <n v="36"/>
    <n v="716400"/>
    <n v="0"/>
    <n v="246168"/>
    <n v="470232"/>
    <n v="0.65638190954773867"/>
    <n v="0"/>
    <s v="Platos mong"/>
    <s v="Personal"/>
    <s v="Caja"/>
  </r>
  <r>
    <x v="1"/>
    <x v="10"/>
    <x v="1"/>
    <s v="BEB585"/>
    <s v="Agua Normal 600 Ml"/>
    <n v="36"/>
    <n v="171500"/>
    <n v="-4900"/>
    <n v="39420"/>
    <n v="132080"/>
    <n v="0.77014577259475214"/>
    <n v="2.8571428571428571E-2"/>
    <s v="Bebidas"/>
    <s v="Bebidas"/>
    <s v="Bebidas"/>
  </r>
  <r>
    <x v="1"/>
    <x v="10"/>
    <x v="1"/>
    <s v="BEB620"/>
    <s v="Agua 280 ml CB (*Extra)"/>
    <n v="34"/>
    <n v="0"/>
    <n v="0"/>
    <n v="29512"/>
    <n v="-29512"/>
    <n v="0"/>
    <n v="0"/>
    <s v="Bebidas"/>
    <s v="Bebidas Cambio de bebida"/>
    <s v="Bebidas"/>
  </r>
  <r>
    <x v="1"/>
    <x v="10"/>
    <x v="1"/>
    <s v="ATP05"/>
    <s v="Chow mein (*Extra)"/>
    <n v="33"/>
    <n v="0"/>
    <n v="0"/>
    <n v="102201"/>
    <n v="-102201"/>
    <n v="0"/>
    <n v="0"/>
    <s v="Arma tu plato"/>
    <s v="Personal"/>
    <s v="Caja"/>
  </r>
  <r>
    <x v="1"/>
    <x v="10"/>
    <x v="1"/>
    <s v="ATP04"/>
    <s v="Chop suey (*Extra)"/>
    <n v="32"/>
    <n v="0"/>
    <n v="0"/>
    <n v="84288"/>
    <n v="-84288"/>
    <n v="0"/>
    <n v="0"/>
    <s v="Arma tu plato"/>
    <s v="Personal"/>
    <s v="Caja"/>
  </r>
  <r>
    <x v="1"/>
    <x v="10"/>
    <x v="1"/>
    <s v="MON500"/>
    <s v="Arroz vegetales especial personal"/>
    <n v="32"/>
    <n v="732800"/>
    <n v="0"/>
    <n v="240448"/>
    <n v="492352"/>
    <n v="0.67187772925764189"/>
    <n v="0"/>
    <s v="Platos mong"/>
    <s v="Personal"/>
    <s v="Caja"/>
  </r>
  <r>
    <x v="1"/>
    <x v="10"/>
    <x v="1"/>
    <s v="MON100"/>
    <s v="Chow Fan Especial Personal"/>
    <n v="31"/>
    <n v="553097"/>
    <n v="-1803"/>
    <n v="209808"/>
    <n v="343289"/>
    <n v="0.62066689929614516"/>
    <n v="3.2598260341314455E-3"/>
    <s v="Platos mong"/>
    <s v="Personal"/>
    <s v="Caja"/>
  </r>
  <r>
    <x v="1"/>
    <x v="10"/>
    <x v="1"/>
    <s v="ATP08"/>
    <s v="Pollo Apanado ATP (*Extra)"/>
    <n v="29"/>
    <n v="0"/>
    <n v="0"/>
    <n v="152627"/>
    <n v="-152627"/>
    <n v="0"/>
    <n v="0"/>
    <s v="Arma tu plato"/>
    <s v="Personal"/>
    <s v="Caja"/>
  </r>
  <r>
    <x v="1"/>
    <x v="10"/>
    <x v="1"/>
    <s v="ENT02"/>
    <s v="LUMPIA X 1"/>
    <n v="27"/>
    <n v="129442"/>
    <n v="-5558"/>
    <n v="42363"/>
    <n v="87079"/>
    <n v="0.67272600855981834"/>
    <n v="4.2938149904976748E-2"/>
    <s v="Entradas"/>
    <s v="Otro"/>
    <s v="Otro"/>
  </r>
  <r>
    <x v="1"/>
    <x v="10"/>
    <x v="1"/>
    <s v="BEB00"/>
    <s v="Coca Cola 250 Ml Zero CB (*Extra)"/>
    <n v="23"/>
    <n v="0"/>
    <n v="0"/>
    <n v="0"/>
    <n v="0"/>
    <n v="0"/>
    <n v="0"/>
    <s v="Bebidas"/>
    <s v="Bebidas Cambio de bebida"/>
    <s v="Bebidas"/>
  </r>
  <r>
    <x v="1"/>
    <x v="10"/>
    <x v="1"/>
    <s v="MON101"/>
    <s v="Chow fan especial duo"/>
    <n v="22"/>
    <n v="917679"/>
    <n v="-4121"/>
    <n v="441166"/>
    <n v="476513"/>
    <n v="0.51925891297501636"/>
    <n v="4.4906770232292555E-3"/>
    <s v="Platos mong"/>
    <s v="No Personal"/>
    <s v="Platos Especiales"/>
  </r>
  <r>
    <x v="1"/>
    <x v="10"/>
    <x v="1"/>
    <s v="MON120"/>
    <s v="Chow Fan Pollo Personal"/>
    <n v="22"/>
    <n v="326400"/>
    <n v="-1400"/>
    <n v="133408"/>
    <n v="192992"/>
    <n v="0.5912745098039216"/>
    <n v="4.2892156862745102E-3"/>
    <s v="Platos mong"/>
    <s v="Personal"/>
    <s v="Caja"/>
  </r>
  <r>
    <x v="1"/>
    <x v="10"/>
    <x v="1"/>
    <s v="MON320"/>
    <s v="Chop Suey Pollo Personal"/>
    <n v="21"/>
    <n v="358000"/>
    <n v="-17900"/>
    <n v="114681"/>
    <n v="243319"/>
    <n v="0.67966201117318437"/>
    <n v="0.05"/>
    <s v="Platos mong"/>
    <s v="Personal"/>
    <s v="Caja"/>
  </r>
  <r>
    <x v="1"/>
    <x v="10"/>
    <x v="1"/>
    <s v="ADIC564"/>
    <s v="Adición Presa de pollo"/>
    <n v="20"/>
    <n v="138000"/>
    <n v="0"/>
    <n v="49280"/>
    <n v="88720"/>
    <n v="0.64289855072463764"/>
    <n v="0"/>
    <s v="Adición"/>
    <s v="Adición"/>
    <s v="Adición"/>
  </r>
  <r>
    <x v="1"/>
    <x v="10"/>
    <x v="1"/>
    <s v="ADIC560"/>
    <s v="Adición Papa frita"/>
    <n v="18"/>
    <n v="105627"/>
    <n v="-573"/>
    <n v="73764"/>
    <n v="31863"/>
    <n v="0.30165582663523532"/>
    <n v="5.4247493538583883E-3"/>
    <s v="Adición"/>
    <s v="Adición"/>
    <s v="Adición"/>
  </r>
  <r>
    <x v="1"/>
    <x v="10"/>
    <x v="1"/>
    <s v="MON130"/>
    <s v="Chow Fan Valenciano Personal"/>
    <n v="18"/>
    <n v="358200"/>
    <n v="0"/>
    <n v="152352"/>
    <n v="205848"/>
    <n v="0.57467336683417081"/>
    <n v="0"/>
    <s v="Platos mong"/>
    <s v="Personal"/>
    <s v="Caja"/>
  </r>
  <r>
    <x v="1"/>
    <x v="10"/>
    <x v="1"/>
    <s v="BEB588"/>
    <s v="Fusetea Limon"/>
    <n v="17"/>
    <n v="83300"/>
    <n v="0"/>
    <n v="26520"/>
    <n v="56780"/>
    <n v="0.68163265306122445"/>
    <n v="0"/>
    <s v="Bebidas"/>
    <s v="Bebidas"/>
    <s v="Bebidas"/>
  </r>
  <r>
    <x v="1"/>
    <x v="10"/>
    <x v="1"/>
    <s v="BEB587"/>
    <s v="Agua Limón 600 Ml"/>
    <n v="16"/>
    <n v="78400"/>
    <n v="0"/>
    <n v="21968"/>
    <n v="56432"/>
    <n v="0.71979591836734691"/>
    <n v="0"/>
    <s v="Bebidas"/>
    <s v="Bebidas"/>
    <s v="Bebidas"/>
  </r>
  <r>
    <x v="1"/>
    <x v="10"/>
    <x v="1"/>
    <s v="PESP01"/>
    <s v="MING"/>
    <n v="14"/>
    <n v="350900"/>
    <n v="-95700"/>
    <n v="106470"/>
    <n v="244430"/>
    <n v="0.69658022228555139"/>
    <n v="0.27272727272727271"/>
    <s v="Platos especiales"/>
    <s v="Personal"/>
    <s v="Platos Especiales"/>
  </r>
  <r>
    <x v="1"/>
    <x v="10"/>
    <x v="1"/>
    <s v="BEB586"/>
    <s v="Agua Gas 600 Ml"/>
    <n v="13"/>
    <n v="63700"/>
    <n v="0"/>
    <n v="16744"/>
    <n v="46956"/>
    <n v="0.7371428571428571"/>
    <n v="0"/>
    <s v="Bebidas"/>
    <s v="Bebidas"/>
    <s v="Bebidas"/>
  </r>
  <r>
    <x v="1"/>
    <x v="10"/>
    <x v="1"/>
    <s v="ADIC565"/>
    <s v="Adición Camaron"/>
    <n v="13"/>
    <n v="115700"/>
    <n v="0"/>
    <n v="40404"/>
    <n v="75296"/>
    <n v="0.65078651685393263"/>
    <n v="0"/>
    <s v="Adición"/>
    <s v="Adición"/>
    <s v="Adición"/>
  </r>
  <r>
    <x v="1"/>
    <x v="10"/>
    <x v="1"/>
    <s v="BEB599"/>
    <s v="Agua 280 ml"/>
    <n v="13"/>
    <n v="45500"/>
    <n v="0"/>
    <n v="11284"/>
    <n v="34216"/>
    <n v="0.752"/>
    <n v="0"/>
    <s v="Bebidas"/>
    <s v="Bebidas"/>
    <s v="Bebidas"/>
  </r>
  <r>
    <x v="1"/>
    <x v="10"/>
    <x v="1"/>
    <s v="COMP10"/>
    <s v="COMBO - Lumpia y Coca Cola 250 ml"/>
    <n v="13"/>
    <n v="82900"/>
    <n v="-6800"/>
    <n v="0"/>
    <n v="82900"/>
    <n v="1"/>
    <n v="8.2026537997587454E-2"/>
    <s v="Armalo en combo"/>
    <s v="Personal"/>
    <s v="Combo"/>
  </r>
  <r>
    <x v="1"/>
    <x v="10"/>
    <x v="1"/>
    <s v="BEB601"/>
    <s v="Coca Cola 400 Ml Normal CB (*Extra)"/>
    <n v="13"/>
    <n v="26000"/>
    <n v="0"/>
    <n v="29055"/>
    <n v="-3055"/>
    <n v="-0.11749999999999999"/>
    <n v="0"/>
    <s v="Bebidas"/>
    <s v="Bebidas Cambio de bebida"/>
    <s v="Bebidas"/>
  </r>
  <r>
    <x v="1"/>
    <x v="10"/>
    <x v="1"/>
    <s v="BEB589"/>
    <s v="Fusetea Durazno"/>
    <n v="13"/>
    <n v="63700"/>
    <n v="0"/>
    <n v="20280"/>
    <n v="43420"/>
    <n v="0.68163265306122445"/>
    <n v="0"/>
    <s v="Bebidas"/>
    <s v="Bebidas"/>
    <s v="Bebidas"/>
  </r>
  <r>
    <x v="1"/>
    <x v="10"/>
    <x v="1"/>
    <s v="BEB598"/>
    <s v="Coca Cola 1,5 litros"/>
    <n v="12"/>
    <n v="116917"/>
    <n v="-1883"/>
    <n v="54012"/>
    <n v="62905"/>
    <n v="0.53803125294011989"/>
    <n v="1.6105442322331225E-2"/>
    <s v="Bebidas"/>
    <s v="Bebidas"/>
    <s v="Bebidas"/>
  </r>
  <r>
    <x v="1"/>
    <x v="10"/>
    <x v="1"/>
    <s v="BEB592"/>
    <s v="Coca Cola 400 Ml Zero"/>
    <n v="12"/>
    <n v="66000"/>
    <n v="0"/>
    <n v="17376"/>
    <n v="48624"/>
    <n v="0.73672727272727268"/>
    <n v="0"/>
    <s v="Bebidas"/>
    <s v="Bebidas"/>
    <s v="Bebidas"/>
  </r>
  <r>
    <x v="1"/>
    <x v="10"/>
    <x v="1"/>
    <s v="COMP08"/>
    <s v="COMBO - Papas 120 grs y Coca Cola 250 ml"/>
    <n v="11"/>
    <n v="75221"/>
    <n v="-679"/>
    <n v="35332"/>
    <n v="39889"/>
    <n v="0.53029074327647863"/>
    <n v="9.0267345555097647E-3"/>
    <s v="Armalo en combo"/>
    <s v="Personal"/>
    <s v="Combo"/>
  </r>
  <r>
    <x v="1"/>
    <x v="10"/>
    <x v="1"/>
    <s v="ADIC563"/>
    <s v="Adición Arroz Frito"/>
    <n v="11"/>
    <n v="55000"/>
    <n v="0"/>
    <n v="14102"/>
    <n v="40898"/>
    <n v="0.74360000000000004"/>
    <n v="0"/>
    <s v="Adición"/>
    <s v="Adición"/>
    <s v="Adición"/>
  </r>
  <r>
    <x v="1"/>
    <x v="10"/>
    <x v="1"/>
    <s v="MON131"/>
    <s v="Chow Fan Valenciano Duo"/>
    <n v="11"/>
    <n v="504900"/>
    <n v="0"/>
    <n v="206998"/>
    <n v="297902"/>
    <n v="0.59002178649237469"/>
    <n v="0"/>
    <s v="Platos mong"/>
    <s v="No Personal"/>
    <s v="Caja"/>
  </r>
  <r>
    <x v="1"/>
    <x v="10"/>
    <x v="1"/>
    <s v="MON110"/>
    <s v="Chow Fan Camarones Personal"/>
    <n v="11"/>
    <n v="240900"/>
    <n v="0"/>
    <n v="103444"/>
    <n v="137456"/>
    <n v="0.57059360730593611"/>
    <n v="0"/>
    <s v="Platos mong"/>
    <s v="Personal"/>
    <s v="Caja"/>
  </r>
  <r>
    <x v="1"/>
    <x v="10"/>
    <x v="1"/>
    <s v="BEB595"/>
    <s v="Agua Manzana 600 Ml"/>
    <n v="11"/>
    <n v="53900"/>
    <n v="0"/>
    <n v="15103"/>
    <n v="38797"/>
    <n v="0.71979591836734691"/>
    <n v="0"/>
    <s v="Bebidas"/>
    <s v="Bebidas"/>
    <s v="Bebidas"/>
  </r>
  <r>
    <x v="1"/>
    <x v="10"/>
    <x v="1"/>
    <s v="MON200"/>
    <s v="Chow Mein Especial Personal"/>
    <n v="10"/>
    <n v="199000"/>
    <n v="0"/>
    <n v="85210"/>
    <n v="113790"/>
    <n v="0.57180904522613063"/>
    <n v="0"/>
    <s v="Platos mong"/>
    <s v="Personal"/>
    <s v="Caja"/>
  </r>
  <r>
    <x v="1"/>
    <x v="10"/>
    <x v="1"/>
    <s v="BEB594"/>
    <s v="Premio 400 Ml"/>
    <n v="10"/>
    <n v="49000"/>
    <n v="0"/>
    <n v="13300"/>
    <n v="35700"/>
    <n v="0.72857142857142854"/>
    <n v="0"/>
    <s v="Bebidas"/>
    <s v="Bebidas"/>
    <s v="Bebidas"/>
  </r>
  <r>
    <x v="1"/>
    <x v="10"/>
    <x v="1"/>
    <s v="PESP03"/>
    <s v="LING"/>
    <n v="10"/>
    <n v="299000"/>
    <n v="0"/>
    <n v="135670"/>
    <n v="163330"/>
    <n v="0.5462541806020067"/>
    <n v="0"/>
    <s v="Platos especiales"/>
    <s v="Personal"/>
    <s v="Platos Especiales"/>
  </r>
  <r>
    <x v="1"/>
    <x v="10"/>
    <x v="1"/>
    <s v="BEB583"/>
    <s v="Sprite 400 Ml"/>
    <n v="9"/>
    <n v="39200"/>
    <n v="-4900"/>
    <n v="11970"/>
    <n v="27230"/>
    <n v="0.69464285714285712"/>
    <n v="0.125"/>
    <s v="Bebidas"/>
    <s v="Bebidas"/>
    <s v="Bebidas"/>
  </r>
  <r>
    <x v="1"/>
    <x v="10"/>
    <x v="1"/>
    <s v="ENT03"/>
    <s v="CAMARONES APANADOS"/>
    <n v="8"/>
    <n v="175200"/>
    <n v="0"/>
    <n v="49720"/>
    <n v="125480"/>
    <n v="0.71621004566210045"/>
    <n v="0"/>
    <s v="Entradas"/>
    <s v="Otro"/>
    <s v="Otro"/>
  </r>
  <r>
    <x v="1"/>
    <x v="10"/>
    <x v="1"/>
    <s v="ADIC561"/>
    <s v="Adición Vegetales"/>
    <n v="8"/>
    <n v="54400"/>
    <n v="0"/>
    <n v="5512"/>
    <n v="48888"/>
    <n v="0.8986764705882353"/>
    <n v="0"/>
    <s v="Adición"/>
    <s v="Adición"/>
    <s v="Adición"/>
  </r>
  <r>
    <x v="1"/>
    <x v="10"/>
    <x v="1"/>
    <s v="COMC04"/>
    <s v="COMBO FAMIAMIGOS"/>
    <n v="8"/>
    <n v="639200"/>
    <n v="0"/>
    <n v="313768"/>
    <n v="325432"/>
    <n v="0.50912390488110137"/>
    <n v="0"/>
    <s v="Combos para compartir"/>
    <s v="No Personal"/>
    <s v="Combo"/>
  </r>
  <r>
    <x v="1"/>
    <x v="10"/>
    <x v="1"/>
    <s v="COMP11"/>
    <s v="COMBO - Lumpia y agua 280 ML"/>
    <n v="8"/>
    <n v="55200"/>
    <n v="0"/>
    <n v="0"/>
    <n v="55200"/>
    <n v="1"/>
    <n v="0"/>
    <s v="Armalo en combo"/>
    <s v="Personal"/>
    <s v="Combo"/>
  </r>
  <r>
    <x v="1"/>
    <x v="10"/>
    <x v="1"/>
    <s v="BEB584"/>
    <s v="Quatro 400 Ml"/>
    <n v="8"/>
    <n v="39200"/>
    <n v="0"/>
    <n v="10640"/>
    <n v="28560"/>
    <n v="0.72857142857142854"/>
    <n v="0"/>
    <s v="Bebidas"/>
    <s v="Bebidas"/>
    <s v="Bebidas"/>
  </r>
  <r>
    <x v="1"/>
    <x v="10"/>
    <x v="1"/>
    <s v="MON121"/>
    <s v="Chow Fan Pollo Duo"/>
    <n v="8"/>
    <n v="287200"/>
    <n v="0"/>
    <n v="113848"/>
    <n v="173352"/>
    <n v="0.60359331476323119"/>
    <n v="0"/>
    <s v="Platos mong"/>
    <s v="No Personal"/>
    <s v="Caja"/>
  </r>
  <r>
    <x v="1"/>
    <x v="10"/>
    <x v="1"/>
    <s v="BEB591"/>
    <s v="Jugo del valle naranja"/>
    <n v="7"/>
    <n v="34300"/>
    <n v="0"/>
    <n v="10920"/>
    <n v="23380"/>
    <n v="0.68163265306122445"/>
    <n v="0"/>
    <s v="Bebidas"/>
    <s v="Bebidas"/>
    <s v="Bebidas"/>
  </r>
  <r>
    <x v="1"/>
    <x v="10"/>
    <x v="1"/>
    <s v="BEB596"/>
    <s v="Fusetea mango"/>
    <n v="7"/>
    <n v="29400"/>
    <n v="-4900"/>
    <n v="13272"/>
    <n v="16128"/>
    <n v="0.5485714285714286"/>
    <n v="0.16666666666666666"/>
    <s v="Bebidas"/>
    <s v="Bebidas"/>
    <s v="Bebidas"/>
  </r>
  <r>
    <x v="1"/>
    <x v="10"/>
    <x v="1"/>
    <s v="BEB597"/>
    <s v="Fusetea manzana"/>
    <n v="7"/>
    <n v="34300"/>
    <n v="0"/>
    <n v="10920"/>
    <n v="23380"/>
    <n v="0.68163265306122445"/>
    <n v="0"/>
    <s v="Bebidas"/>
    <s v="Bebidas"/>
    <s v="Bebidas"/>
  </r>
  <r>
    <x v="1"/>
    <x v="10"/>
    <x v="1"/>
    <s v="ATP07"/>
    <s v="Pollo presa ATP (*Extra)"/>
    <n v="7"/>
    <n v="0"/>
    <n v="0"/>
    <n v="19943"/>
    <n v="-19943"/>
    <n v="0"/>
    <n v="0"/>
    <s v="Arma tu plato"/>
    <s v="Personal"/>
    <s v="Caja"/>
  </r>
  <r>
    <x v="1"/>
    <x v="10"/>
    <x v="1"/>
    <s v="COMC06"/>
    <s v="COMBO FAMILIAR"/>
    <n v="7"/>
    <n v="629300"/>
    <n v="0"/>
    <n v="327460"/>
    <n v="301840"/>
    <n v="0.47964404894327028"/>
    <n v="0"/>
    <s v="Combos para compartir"/>
    <s v="No Personal"/>
    <s v="Combo"/>
  </r>
  <r>
    <x v="1"/>
    <x v="10"/>
    <x v="1"/>
    <s v="MON102"/>
    <s v="Chow Fan Especial familiar"/>
    <n v="7"/>
    <n v="468300"/>
    <n v="0"/>
    <n v="226457"/>
    <n v="241843"/>
    <n v="0.51642750373692081"/>
    <n v="0"/>
    <s v="Platos mong"/>
    <s v="No Personal"/>
    <s v="Caja"/>
  </r>
  <r>
    <x v="1"/>
    <x v="10"/>
    <x v="1"/>
    <s v="MON301"/>
    <s v="Chop Suey Especial Duo"/>
    <n v="7"/>
    <n v="321300"/>
    <n v="0"/>
    <n v="79324"/>
    <n v="241976"/>
    <n v="0.7531154684095861"/>
    <n v="0"/>
    <s v="Platos mong"/>
    <s v="No Personal"/>
    <s v="Caja"/>
  </r>
  <r>
    <x v="1"/>
    <x v="10"/>
    <x v="1"/>
    <s v="PESP04"/>
    <s v="SUN KEE"/>
    <n v="7"/>
    <n v="209300"/>
    <n v="0"/>
    <n v="95466"/>
    <n v="113834"/>
    <n v="0.54387959866220736"/>
    <n v="0"/>
    <s v="Platos especiales"/>
    <s v="Personal"/>
    <s v="Platos Especiales"/>
  </r>
  <r>
    <x v="1"/>
    <x v="10"/>
    <x v="1"/>
    <s v="COMC07"/>
    <s v="COMBO ANTOJO"/>
    <n v="6"/>
    <n v="131400"/>
    <n v="0"/>
    <n v="47838"/>
    <n v="83562"/>
    <n v="0.63593607305936073"/>
    <n v="0"/>
    <s v="Combos para compartir"/>
    <s v="No Personal"/>
    <s v="Combo"/>
  </r>
  <r>
    <x v="1"/>
    <x v="10"/>
    <x v="1"/>
    <s v="MON220"/>
    <s v="Chow Mein Pollo Personal"/>
    <n v="6"/>
    <n v="107400"/>
    <n v="0"/>
    <n v="42846"/>
    <n v="64554"/>
    <n v="0.60106145251396648"/>
    <n v="0"/>
    <s v="Platos mong"/>
    <s v="Personal"/>
    <s v="Caja"/>
  </r>
  <r>
    <x v="1"/>
    <x v="10"/>
    <x v="1"/>
    <s v="BEB582"/>
    <s v="Kola Roman 400 Ml"/>
    <n v="6"/>
    <n v="29400"/>
    <n v="0"/>
    <n v="7980"/>
    <n v="21420"/>
    <n v="0.72857142857142854"/>
    <n v="0"/>
    <s v="Bebidas"/>
    <s v="Bebidas"/>
    <s v="Bebidas"/>
  </r>
  <r>
    <x v="1"/>
    <x v="10"/>
    <x v="1"/>
    <s v="MON122"/>
    <s v="Chow Fan Pollo familiar"/>
    <n v="5"/>
    <n v="279500"/>
    <n v="0"/>
    <n v="121275"/>
    <n v="158225"/>
    <n v="0.5661001788908766"/>
    <n v="0"/>
    <s v="Platos mong"/>
    <s v="No Personal"/>
    <s v="Caja"/>
  </r>
  <r>
    <x v="1"/>
    <x v="10"/>
    <x v="1"/>
    <s v="BEB604"/>
    <s v="Sprite 400 Ml CB (*Extra)"/>
    <n v="5"/>
    <n v="7000"/>
    <n v="0"/>
    <n v="7580"/>
    <n v="-580"/>
    <n v="-8.2857142857142851E-2"/>
    <n v="0"/>
    <s v="Bebidas"/>
    <s v="Bebidas Cambio de bebida"/>
    <s v="Bebidas"/>
  </r>
  <r>
    <x v="1"/>
    <x v="10"/>
    <x v="1"/>
    <s v="MON310"/>
    <s v="Chop suey camarón personal"/>
    <n v="4"/>
    <n v="99600"/>
    <n v="0"/>
    <n v="35028"/>
    <n v="64572"/>
    <n v="0.64831325301204823"/>
    <n v="0"/>
    <s v="Platos mong"/>
    <s v="Personal"/>
    <s v="Caja"/>
  </r>
  <r>
    <x v="1"/>
    <x v="10"/>
    <x v="1"/>
    <s v="BEB593"/>
    <s v="Coca Cola 250 Ml Zero"/>
    <n v="4"/>
    <n v="14000"/>
    <n v="0"/>
    <n v="5164"/>
    <n v="8836"/>
    <n v="0.63114285714285712"/>
    <n v="0"/>
    <s v="Bebidas"/>
    <s v="Bebidas"/>
    <s v="Bebidas"/>
  </r>
  <r>
    <x v="1"/>
    <x v="10"/>
    <x v="1"/>
    <s v="MON330"/>
    <s v="Chop Suey Vegetariano Personal"/>
    <n v="4"/>
    <n v="63600"/>
    <n v="0"/>
    <n v="21864"/>
    <n v="41736"/>
    <n v="0.65622641509433965"/>
    <n v="0"/>
    <s v="Platos mong"/>
    <s v="Personal"/>
    <s v="Caja"/>
  </r>
  <r>
    <x v="1"/>
    <x v="10"/>
    <x v="1"/>
    <s v="BEB610"/>
    <s v="Fusetea Durazno CB (*Extra)"/>
    <n v="4"/>
    <n v="5600"/>
    <n v="0"/>
    <n v="7496"/>
    <n v="-1896"/>
    <n v="-0.33857142857142858"/>
    <n v="0"/>
    <s v="Bebidas"/>
    <s v="Bebidas Cambio de bebida"/>
    <s v="Bebidas"/>
  </r>
  <r>
    <x v="1"/>
    <x v="10"/>
    <x v="1"/>
    <s v="MON321"/>
    <s v="Chop Suey Pollo Duo"/>
    <n v="4"/>
    <n v="159600"/>
    <n v="0"/>
    <n v="44868"/>
    <n v="114732"/>
    <n v="0.71887218045112777"/>
    <n v="0"/>
    <s v="Platos mong"/>
    <s v="No Personal"/>
    <s v="Caja"/>
  </r>
  <r>
    <x v="1"/>
    <x v="10"/>
    <x v="1"/>
    <s v="BEB602"/>
    <s v="Kola Roman 400 Ml CB (*Extra)"/>
    <n v="3"/>
    <n v="6000"/>
    <n v="0"/>
    <n v="6705"/>
    <n v="-705"/>
    <n v="-0.11749999999999999"/>
    <n v="0"/>
    <s v="Bebidas"/>
    <s v="Bebidas Cambio de bebida"/>
    <s v="Bebidas"/>
  </r>
  <r>
    <x v="1"/>
    <x v="10"/>
    <x v="1"/>
    <s v="MON112"/>
    <s v="Chow Fan Camarones Familiar"/>
    <n v="3"/>
    <n v="239700"/>
    <n v="0"/>
    <n v="86445"/>
    <n v="153255"/>
    <n v="0.63936170212765953"/>
    <n v="0"/>
    <s v="Platos mong"/>
    <s v="No Personal"/>
    <s v="Caja"/>
  </r>
  <r>
    <x v="1"/>
    <x v="10"/>
    <x v="1"/>
    <s v="MON312"/>
    <s v="Chop Suey Camaron Familiar"/>
    <n v="3"/>
    <n v="239700"/>
    <n v="0"/>
    <n v="101031"/>
    <n v="138669"/>
    <n v="0.5785106382978723"/>
    <n v="0"/>
    <s v="Platos mong"/>
    <s v="No Personal"/>
    <s v="Caja"/>
  </r>
  <r>
    <x v="1"/>
    <x v="10"/>
    <x v="1"/>
    <s v="CAM04"/>
    <s v="Lumpia cambio (*Extra)"/>
    <n v="3"/>
    <n v="0"/>
    <n v="0"/>
    <n v="6147"/>
    <n v="-6147"/>
    <n v="0"/>
    <n v="0"/>
    <s v="Adición"/>
    <s v="Otro"/>
    <s v="Otro"/>
  </r>
  <r>
    <x v="1"/>
    <x v="10"/>
    <x v="1"/>
    <s v="BEB607"/>
    <s v="Agua Gas 600 Ml CB (*Extra)"/>
    <n v="3"/>
    <n v="4200"/>
    <n v="0"/>
    <n v="4830"/>
    <n v="-630"/>
    <n v="-0.15"/>
    <n v="0"/>
    <s v="Bebidas"/>
    <s v="Bebidas Cambio de bebida"/>
    <s v="Bebidas"/>
  </r>
  <r>
    <x v="1"/>
    <x v="10"/>
    <x v="1"/>
    <s v="ENT01"/>
    <s v="Deditos de Pollo"/>
    <n v="3"/>
    <n v="50700"/>
    <n v="0"/>
    <n v="30084"/>
    <n v="20616"/>
    <n v="0.40662721893491122"/>
    <n v="0"/>
    <s v="Entradas"/>
    <s v="Otro"/>
    <s v="Otro"/>
  </r>
  <r>
    <x v="1"/>
    <x v="10"/>
    <x v="1"/>
    <s v="MON302"/>
    <s v="Chop Suey Especial Familiar"/>
    <n v="3"/>
    <n v="183074"/>
    <n v="-5626"/>
    <n v="84171"/>
    <n v="98903"/>
    <n v="0.5402350961906115"/>
    <n v="3.0730742759758348E-2"/>
    <s v="Platos mong"/>
    <s v="No Personal"/>
    <s v="Caja"/>
  </r>
  <r>
    <x v="1"/>
    <x v="10"/>
    <x v="1"/>
    <s v="COMC02"/>
    <s v="COMBO AMIGOS"/>
    <n v="3"/>
    <n v="209700"/>
    <n v="0"/>
    <n v="70914"/>
    <n v="138786"/>
    <n v="0.66183118741058655"/>
    <n v="0"/>
    <s v="Combos para compartir"/>
    <s v="No Personal"/>
    <s v="Combo"/>
  </r>
  <r>
    <x v="1"/>
    <x v="10"/>
    <x v="1"/>
    <s v="COMP09"/>
    <s v="COMBO - Papas 120 grs y agua 280 Ml"/>
    <n v="3"/>
    <n v="20700"/>
    <n v="0"/>
    <n v="8751"/>
    <n v="11949"/>
    <n v="0.57724637681159419"/>
    <n v="0"/>
    <s v="Armalo en combo"/>
    <s v="Personal"/>
    <s v="Combo"/>
  </r>
  <r>
    <x v="1"/>
    <x v="10"/>
    <x v="1"/>
    <s v="BEB608"/>
    <s v="Agua Limón 600 Ml CB (*Extra)"/>
    <n v="3"/>
    <n v="4200"/>
    <n v="0"/>
    <n v="5133"/>
    <n v="-933"/>
    <n v="-0.22214285714285714"/>
    <n v="0"/>
    <s v="Bebidas"/>
    <s v="Bebidas Cambio de bebida"/>
    <s v="Bebidas"/>
  </r>
  <r>
    <x v="1"/>
    <x v="10"/>
    <x v="1"/>
    <s v="BEB613"/>
    <s v="Coca Cola 400 Ml Zero CB (*Extra)"/>
    <n v="2"/>
    <n v="4000"/>
    <n v="0"/>
    <n v="4478"/>
    <n v="-478"/>
    <n v="-0.1195"/>
    <n v="0"/>
    <s v="Bebidas"/>
    <s v="Bebidas Cambio de bebida"/>
    <s v="Bebidas"/>
  </r>
  <r>
    <x v="1"/>
    <x v="10"/>
    <x v="1"/>
    <s v="PESP02"/>
    <s v="MONG"/>
    <n v="2"/>
    <n v="55800"/>
    <n v="0"/>
    <n v="25436"/>
    <n v="30364"/>
    <n v="0.54415770609318992"/>
    <n v="0"/>
    <s v="Platos especiales"/>
    <s v="Personal"/>
    <s v="Platos Especiales"/>
  </r>
  <r>
    <x v="1"/>
    <x v="10"/>
    <x v="1"/>
    <s v="MON103"/>
    <s v="Chow Fan Especial megafamiliar"/>
    <n v="2"/>
    <n v="165800"/>
    <n v="0"/>
    <n v="85408"/>
    <n v="80392"/>
    <n v="0.48487334137515076"/>
    <n v="0"/>
    <s v="Platos mong"/>
    <s v="No Personal"/>
    <s v="Caja"/>
  </r>
  <r>
    <x v="1"/>
    <x v="10"/>
    <x v="1"/>
    <s v="MON210"/>
    <s v="Chow Mein Camaron Personal"/>
    <n v="2"/>
    <n v="49800"/>
    <n v="0"/>
    <n v="20962"/>
    <n v="28838"/>
    <n v="0.57907630522088349"/>
    <n v="0"/>
    <s v="Platos mong"/>
    <s v="Personal"/>
    <s v="Caja"/>
  </r>
  <r>
    <x v="1"/>
    <x v="10"/>
    <x v="1"/>
    <s v="BEB617"/>
    <s v="Fusetea mango CB (*Extra)"/>
    <n v="2"/>
    <n v="2800"/>
    <n v="0"/>
    <n v="3792"/>
    <n v="-992"/>
    <n v="-0.35428571428571426"/>
    <n v="0"/>
    <s v="Bebidas"/>
    <s v="Bebidas Cambio de bebida"/>
    <s v="Bebidas"/>
  </r>
  <r>
    <x v="1"/>
    <x v="10"/>
    <x v="1"/>
    <s v="MON201"/>
    <s v="Chow Mein Especial Duo"/>
    <n v="2"/>
    <n v="91800"/>
    <n v="0"/>
    <n v="38882"/>
    <n v="52918"/>
    <n v="0.57644880174291935"/>
    <n v="0"/>
    <s v="Platos mong"/>
    <s v="No Personal"/>
    <s v="Caja"/>
  </r>
  <r>
    <x v="1"/>
    <x v="10"/>
    <x v="1"/>
    <s v="MONFIT"/>
    <s v="Mong fit"/>
    <n v="2"/>
    <n v="21800"/>
    <n v="0"/>
    <n v="0"/>
    <n v="21800"/>
    <n v="1"/>
    <n v="0"/>
    <s v="Platos especiales"/>
    <s v="Personal"/>
    <s v="Platos Especiales"/>
  </r>
  <r>
    <x v="1"/>
    <x v="10"/>
    <x v="1"/>
    <s v="MON505"/>
    <s v="Arroz vegetales pollo personal"/>
    <n v="2"/>
    <n v="39800"/>
    <n v="0"/>
    <n v="12276"/>
    <n v="27524"/>
    <n v="0.69155778894472364"/>
    <n v="0"/>
    <s v="Platos mong"/>
    <s v="Personal"/>
    <s v="Caja"/>
  </r>
  <r>
    <x v="1"/>
    <x v="10"/>
    <x v="1"/>
    <s v="MON132"/>
    <s v="Chow Fan Valenciano familiar"/>
    <n v="2"/>
    <n v="135800"/>
    <n v="0"/>
    <n v="69310"/>
    <n v="66490"/>
    <n v="0.48961708394698084"/>
    <n v="0"/>
    <s v="Platos mong"/>
    <s v="No Personal"/>
    <s v="Caja"/>
  </r>
  <r>
    <x v="1"/>
    <x v="10"/>
    <x v="1"/>
    <s v="ADIC562"/>
    <s v="Adición Pasta"/>
    <n v="1"/>
    <n v="6900"/>
    <n v="0"/>
    <n v="3010"/>
    <n v="3890"/>
    <n v="0.56376811594202902"/>
    <n v="0"/>
    <s v="Adición"/>
    <s v="Adición"/>
    <s v="Adición"/>
  </r>
  <r>
    <x v="1"/>
    <x v="10"/>
    <x v="1"/>
    <s v="BEB612"/>
    <s v="Jugo del valle naranja CB (*Extra)"/>
    <n v="1"/>
    <n v="1400"/>
    <n v="0"/>
    <n v="950"/>
    <n v="450"/>
    <n v="0.32142857142857145"/>
    <n v="0"/>
    <s v="Bebidas"/>
    <s v="Bebidas Cambio de bebida"/>
    <s v="Bebidas"/>
  </r>
  <r>
    <x v="1"/>
    <x v="10"/>
    <x v="1"/>
    <s v="BEB01"/>
    <s v="Coca Cola 250 Ml Normal CB (*Extra)"/>
    <n v="1"/>
    <n v="0"/>
    <n v="0"/>
    <n v="1945"/>
    <n v="-1945"/>
    <n v="0"/>
    <n v="0"/>
    <s v="Bebidas"/>
    <s v="Bebidas Cambio de bebida"/>
    <s v="Bebidas"/>
  </r>
  <r>
    <x v="1"/>
    <x v="10"/>
    <x v="1"/>
    <s v="MON332"/>
    <s v="Chop Suey Vegetariano familar"/>
    <n v="1"/>
    <n v="49900"/>
    <n v="0"/>
    <n v="19989"/>
    <n v="29911"/>
    <n v="0.59941883767535065"/>
    <n v="0"/>
    <s v="Platos mong"/>
    <s v="No Personal"/>
    <s v="Caja"/>
  </r>
  <r>
    <x v="1"/>
    <x v="10"/>
    <x v="1"/>
    <s v="BEB605"/>
    <s v="Quatro 400 Ml CB (*Extra)"/>
    <n v="1"/>
    <n v="1400"/>
    <n v="0"/>
    <n v="1330"/>
    <n v="70"/>
    <n v="0.05"/>
    <n v="0"/>
    <s v="Bebidas"/>
    <s v="Bebidas Cambio de bebida"/>
    <s v="Bebidas"/>
  </r>
  <r>
    <x v="1"/>
    <x v="10"/>
    <x v="1"/>
    <s v="ADIC490"/>
    <s v="Adicion - Pollo en trozos"/>
    <n v="1"/>
    <n v="6900"/>
    <n v="0"/>
    <n v="2245"/>
    <n v="4655"/>
    <n v="0.67463768115942024"/>
    <n v="0"/>
    <s v="Adición"/>
    <s v="Adición"/>
    <s v="Adición"/>
  </r>
  <r>
    <x v="1"/>
    <x v="10"/>
    <x v="1"/>
    <s v="BEB609"/>
    <s v="Fusetea Limon CB (*Extra)"/>
    <n v="1"/>
    <n v="1400"/>
    <n v="0"/>
    <n v="1874"/>
    <n v="-474"/>
    <n v="-0.33857142857142858"/>
    <n v="0"/>
    <s v="Bebidas"/>
    <s v="Bebidas Cambio de bebida"/>
    <s v="Bebidas"/>
  </r>
  <r>
    <x v="1"/>
    <x v="10"/>
    <x v="1"/>
    <s v="MON202"/>
    <s v="Chow Mein Especial Familiar"/>
    <n v="1"/>
    <n v="62900"/>
    <n v="0"/>
    <n v="37744"/>
    <n v="25156"/>
    <n v="0.39993640699523053"/>
    <n v="0"/>
    <s v="Platos mong"/>
    <s v="No Personal"/>
    <s v="Caja"/>
  </r>
  <r>
    <x v="1"/>
    <x v="10"/>
    <x v="1"/>
    <s v="MON322"/>
    <s v="Chop Suey Pollo familiar"/>
    <n v="1"/>
    <n v="58900"/>
    <n v="0"/>
    <n v="21117"/>
    <n v="37783"/>
    <n v="0.64147707979626489"/>
    <n v="0"/>
    <s v="Platos mong"/>
    <s v="No Personal"/>
    <s v="Caja"/>
  </r>
  <r>
    <x v="1"/>
    <x v="10"/>
    <x v="1"/>
    <s v="BEB616"/>
    <s v="Agua Manzana 600 Ml CB (*Extra)"/>
    <n v="1"/>
    <n v="1400"/>
    <n v="0"/>
    <n v="2139"/>
    <n v="-739"/>
    <n v="-0.5278571428571428"/>
    <n v="0"/>
    <s v="Bebidas"/>
    <s v="Bebidas Cambio de bebida"/>
    <s v="Bebidas"/>
  </r>
  <r>
    <x v="1"/>
    <x v="10"/>
    <x v="1"/>
    <s v="MON221"/>
    <s v="Chow Mein Pollo Duo"/>
    <n v="1"/>
    <n v="39900"/>
    <n v="0"/>
    <n v="15895"/>
    <n v="24005"/>
    <n v="0.60162907268170429"/>
    <n v="0"/>
    <s v="Platos mong"/>
    <s v="No Personal"/>
    <s v="Caja"/>
  </r>
  <r>
    <x v="1"/>
    <x v="10"/>
    <x v="1"/>
    <s v="MON111"/>
    <s v="Chow Fan Camarones Duo"/>
    <n v="1"/>
    <n v="51900"/>
    <n v="0"/>
    <n v="20911"/>
    <n v="30989"/>
    <n v="0.59709055876685935"/>
    <n v="0"/>
    <s v="Platos mong"/>
    <s v="No Personal"/>
    <s v="Caja"/>
  </r>
  <r>
    <x v="1"/>
    <x v="10"/>
    <x v="1"/>
    <s v="COMC03"/>
    <s v="COMBO TRIO"/>
    <n v="1"/>
    <n v="56900"/>
    <n v="0"/>
    <n v="28568"/>
    <n v="28332"/>
    <n v="0.4979261862917399"/>
    <n v="0"/>
    <s v="Combos para compartir"/>
    <s v="No Personal"/>
    <s v="Combo"/>
  </r>
  <r>
    <x v="1"/>
    <x v="10"/>
    <x v="1"/>
    <s v="OTROS01"/>
    <s v="Cubiertos + servilletas"/>
    <n v="1"/>
    <n v="1000"/>
    <n v="0"/>
    <n v="0"/>
    <n v="1000"/>
    <n v="1"/>
    <n v="0"/>
    <s v="Adición"/>
    <s v="Adición"/>
    <s v="Adición"/>
  </r>
  <r>
    <x v="1"/>
    <x v="10"/>
    <x v="1"/>
    <s v="CAM03"/>
    <s v="Cambio Papas a la francesa 150 grs (*Extra)"/>
    <n v="1"/>
    <n v="500"/>
    <n v="0"/>
    <n v="1569"/>
    <n v="-1069"/>
    <n v="-2.1379999999999999"/>
    <n v="0"/>
    <s v="Adición"/>
    <s v="Otro"/>
    <s v="Otro"/>
  </r>
  <r>
    <x v="1"/>
    <x v="10"/>
    <x v="2"/>
    <s v="ADIC09"/>
    <s v="No deseo (*Extra)"/>
    <n v="218"/>
    <n v="0"/>
    <n v="0"/>
    <n v="0"/>
    <n v="0"/>
    <n v="0"/>
    <n v="0"/>
    <s v="Adición"/>
    <s v="Adición"/>
    <s v="Adición"/>
  </r>
  <r>
    <x v="1"/>
    <x v="10"/>
    <x v="2"/>
    <s v="BEB00"/>
    <s v="Coca Cola 250 Ml Zero CB (*Extra)"/>
    <n v="125"/>
    <n v="0"/>
    <n v="0"/>
    <n v="0"/>
    <n v="0"/>
    <n v="0"/>
    <n v="0"/>
    <s v="Bebidas"/>
    <s v="Bebidas Cambio de bebida"/>
    <s v="Bebidas"/>
  </r>
  <r>
    <x v="1"/>
    <x v="10"/>
    <x v="2"/>
    <s v="COMP01"/>
    <s v="COMBO 1- Valenciano personal"/>
    <n v="107"/>
    <n v="2217200"/>
    <n v="-661100"/>
    <n v="1030089"/>
    <n v="1187111"/>
    <n v="0.53540997654699618"/>
    <n v="0.29816886162727763"/>
    <s v="Combos personales"/>
    <s v="Personal"/>
    <s v="Combo"/>
  </r>
  <r>
    <x v="1"/>
    <x v="10"/>
    <x v="2"/>
    <s v="COMP02"/>
    <s v="COMBO 2 - Chow fan especial personal"/>
    <n v="55"/>
    <n v="1178000"/>
    <n v="-356500"/>
    <n v="522555"/>
    <n v="655445"/>
    <n v="0.55640492359932092"/>
    <n v="0.30263157894736842"/>
    <s v="Combos personales"/>
    <s v="Personal"/>
    <s v="Combo"/>
  </r>
  <r>
    <x v="1"/>
    <x v="10"/>
    <x v="2"/>
    <s v="COMP14"/>
    <s v="COMBO ESTUDIANTIL- Chow fan 250 grs"/>
    <n v="52"/>
    <n v="923050"/>
    <n v="-267750"/>
    <n v="0"/>
    <n v="923050"/>
    <n v="1"/>
    <n v="0.29007096040301178"/>
    <s v="Combos personales"/>
    <s v="Personal"/>
    <s v="Caja"/>
  </r>
  <r>
    <x v="1"/>
    <x v="10"/>
    <x v="2"/>
    <s v="ADIC10"/>
    <s v="Cubiertos + servilletas (*Extra)"/>
    <n v="30"/>
    <n v="12000"/>
    <n v="0"/>
    <n v="9630"/>
    <n v="2370"/>
    <n v="0.19750000000000001"/>
    <n v="0"/>
    <s v="Adición"/>
    <s v="Adición"/>
    <s v="Adición"/>
  </r>
  <r>
    <x v="1"/>
    <x v="10"/>
    <x v="2"/>
    <s v="COMP13"/>
    <s v="COMBO ARMA TU PLATO"/>
    <n v="26"/>
    <n v="629500"/>
    <n v="-199900"/>
    <n v="0"/>
    <n v="629500"/>
    <n v="1"/>
    <n v="0.31755361397934867"/>
    <s v="Combos personales"/>
    <s v="Personal"/>
    <s v="Combo"/>
  </r>
  <r>
    <x v="1"/>
    <x v="10"/>
    <x v="2"/>
    <s v="TOTEATDVYERROR"/>
    <s v="ERR RAPPI: Agua brisa 280 ml"/>
    <n v="26"/>
    <n v="0"/>
    <n v="0"/>
    <n v="0"/>
    <n v="0"/>
    <n v="0"/>
    <n v="0"/>
    <s v="Otro"/>
    <s v="Otro"/>
    <s v="Otro"/>
  </r>
  <r>
    <x v="1"/>
    <x v="10"/>
    <x v="2"/>
    <s v="ATP06"/>
    <s v="Arroz Frito ATP (*Extra)"/>
    <n v="19"/>
    <n v="0"/>
    <n v="0"/>
    <n v="24358"/>
    <n v="-24358"/>
    <n v="0"/>
    <n v="0"/>
    <s v="Arma tu plato"/>
    <s v="Personal"/>
    <s v="Caja"/>
  </r>
  <r>
    <x v="1"/>
    <x v="10"/>
    <x v="2"/>
    <s v="CAM04"/>
    <s v="Lumpia cambio (*Extra)"/>
    <n v="18"/>
    <n v="0"/>
    <n v="0"/>
    <n v="36882"/>
    <n v="-36882"/>
    <n v="0"/>
    <n v="0"/>
    <s v="Adición"/>
    <s v="Otro"/>
    <s v="Otro"/>
  </r>
  <r>
    <x v="1"/>
    <x v="10"/>
    <x v="2"/>
    <s v="TOTEATDVYERROR"/>
    <s v="ERR RAPPI: Coca cola 400 ml"/>
    <n v="17"/>
    <n v="34000"/>
    <n v="0"/>
    <n v="0"/>
    <n v="34000"/>
    <n v="1"/>
    <n v="0"/>
    <s v="Otro"/>
    <s v="Otro"/>
    <s v="Otro"/>
  </r>
  <r>
    <x v="1"/>
    <x v="10"/>
    <x v="2"/>
    <s v="ATP01"/>
    <s v="Pollo a la naranja (*Extra)"/>
    <n v="16"/>
    <n v="0"/>
    <n v="0"/>
    <n v="87856"/>
    <n v="-87856"/>
    <n v="0"/>
    <n v="0"/>
    <s v="Arma tu plato"/>
    <s v="Personal"/>
    <s v="Caja"/>
  </r>
  <r>
    <x v="1"/>
    <x v="10"/>
    <x v="2"/>
    <s v="ADIC03"/>
    <s v="Camarones (*Extra)"/>
    <n v="16"/>
    <n v="121600"/>
    <n v="0"/>
    <n v="49728"/>
    <n v="71872"/>
    <n v="0.59105263157894739"/>
    <n v="0"/>
    <s v="Adición"/>
    <s v="Adición"/>
    <s v="Adición"/>
  </r>
  <r>
    <x v="1"/>
    <x v="10"/>
    <x v="2"/>
    <s v="ADIC02"/>
    <s v="Pollo presa ADIC (*Extra)"/>
    <n v="15"/>
    <n v="114000"/>
    <n v="0"/>
    <n v="42735"/>
    <n v="71265"/>
    <n v="0.62513157894736837"/>
    <n v="0"/>
    <s v="Adición"/>
    <s v="Adición"/>
    <s v="Adición"/>
  </r>
  <r>
    <x v="1"/>
    <x v="10"/>
    <x v="2"/>
    <s v="MONE700"/>
    <s v="Mong Express Chop suey pollo"/>
    <n v="13"/>
    <n v="239950"/>
    <n v="-70750"/>
    <n v="106379"/>
    <n v="133571"/>
    <n v="0.55666180454261305"/>
    <n v="0.29485309439466556"/>
    <s v="Mong Express"/>
    <s v="Personal"/>
    <s v="Caja"/>
  </r>
  <r>
    <x v="1"/>
    <x v="10"/>
    <x v="2"/>
    <s v="COMP05"/>
    <s v="COMBO 5 - Chow Mein especial personal"/>
    <n v="13"/>
    <n v="327100"/>
    <n v="-100600"/>
    <n v="146289"/>
    <n v="180811"/>
    <n v="0.55276979516967284"/>
    <n v="0.30755120758177928"/>
    <s v="Combos personales"/>
    <s v="Personal"/>
    <s v="Combo"/>
  </r>
  <r>
    <x v="1"/>
    <x v="10"/>
    <x v="2"/>
    <s v="ADIC08"/>
    <s v="Salsa agridulce Roja (*Extra)"/>
    <n v="12"/>
    <n v="12000"/>
    <n v="0"/>
    <n v="708"/>
    <n v="11292"/>
    <n v="0.94099999999999995"/>
    <n v="0"/>
    <s v="Adición"/>
    <s v="Adición"/>
    <s v="Adición"/>
  </r>
  <r>
    <x v="1"/>
    <x v="10"/>
    <x v="2"/>
    <s v="COMP03"/>
    <s v="COMBO 3 - Chop suey especial personal"/>
    <n v="12"/>
    <n v="307350"/>
    <n v="-87450"/>
    <n v="114840"/>
    <n v="192510"/>
    <n v="0.62635431918008788"/>
    <n v="0.28452903855539285"/>
    <s v="Combos personales"/>
    <s v="Personal"/>
    <s v="Combo"/>
  </r>
  <r>
    <x v="1"/>
    <x v="10"/>
    <x v="2"/>
    <s v="TOTEATDVYERROR"/>
    <s v="ERR RAPPI: Coca cola zero 400 ml"/>
    <n v="12"/>
    <n v="24000"/>
    <n v="0"/>
    <n v="0"/>
    <n v="24000"/>
    <n v="1"/>
    <n v="0"/>
    <s v="Otro"/>
    <s v="Otro"/>
    <s v="Otro"/>
  </r>
  <r>
    <x v="1"/>
    <x v="10"/>
    <x v="2"/>
    <s v="CAM03"/>
    <s v="Cambio Papas a la francesa 150 grs (*Extra)"/>
    <n v="11"/>
    <n v="5500"/>
    <n v="0"/>
    <n v="17259"/>
    <n v="-11759"/>
    <n v="-2.1379999999999999"/>
    <n v="0"/>
    <s v="Adición"/>
    <s v="Otro"/>
    <s v="Otro"/>
  </r>
  <r>
    <x v="1"/>
    <x v="10"/>
    <x v="2"/>
    <s v="ATP08"/>
    <s v="Pollo Apanado ATP (*Extra)"/>
    <n v="10"/>
    <n v="0"/>
    <n v="0"/>
    <n v="52630"/>
    <n v="-52630"/>
    <n v="0"/>
    <n v="0"/>
    <s v="Arma tu plato"/>
    <s v="Personal"/>
    <s v="Caja"/>
  </r>
  <r>
    <x v="1"/>
    <x v="10"/>
    <x v="2"/>
    <s v="ADIC07"/>
    <s v="Lumpia X 1 (*Extra)"/>
    <n v="9"/>
    <n v="40500"/>
    <n v="0"/>
    <n v="14121"/>
    <n v="26379"/>
    <n v="0.65133333333333332"/>
    <n v="0"/>
    <s v="Adición"/>
    <s v="Adición"/>
    <s v="Adición"/>
  </r>
  <r>
    <x v="1"/>
    <x v="10"/>
    <x v="2"/>
    <s v="ENT04"/>
    <s v="LUMPIAS X 2"/>
    <n v="9"/>
    <n v="98100"/>
    <n v="0"/>
    <n v="28251"/>
    <n v="69849"/>
    <n v="0.71201834862385316"/>
    <n v="0"/>
    <s v="Entradas"/>
    <s v="Otro"/>
    <s v="Otro"/>
  </r>
  <r>
    <x v="1"/>
    <x v="10"/>
    <x v="2"/>
    <s v="ATP09"/>
    <s v="Res brócoli (*Extra)"/>
    <n v="9"/>
    <n v="0"/>
    <n v="0"/>
    <n v="29898"/>
    <n v="-29898"/>
    <n v="0"/>
    <n v="0"/>
    <s v="Arma tu plato"/>
    <s v="Personal"/>
    <s v="Caja"/>
  </r>
  <r>
    <x v="1"/>
    <x v="10"/>
    <x v="2"/>
    <s v="ADIC01"/>
    <s v="Papas a la Francesa ADIC (*Extra)"/>
    <n v="7"/>
    <n v="39200"/>
    <n v="0"/>
    <n v="14343"/>
    <n v="24857"/>
    <n v="0.63410714285714287"/>
    <n v="0"/>
    <s v="Adición"/>
    <s v="Adición"/>
    <s v="Adición"/>
  </r>
  <r>
    <x v="1"/>
    <x v="10"/>
    <x v="2"/>
    <s v="ADIC12"/>
    <s v="Salsa Soya (*Extra)"/>
    <n v="7"/>
    <n v="7000"/>
    <n v="0"/>
    <n v="0"/>
    <n v="7000"/>
    <n v="1"/>
    <n v="0"/>
    <s v="Adición"/>
    <s v="Adición"/>
    <s v="Adición"/>
  </r>
  <r>
    <x v="1"/>
    <x v="10"/>
    <x v="2"/>
    <s v="ATP10"/>
    <s v="Cerdo agridulce (*Extra)"/>
    <n v="7"/>
    <n v="0"/>
    <n v="0"/>
    <n v="38269"/>
    <n v="-38269"/>
    <n v="0"/>
    <n v="0"/>
    <s v="Arma tu plato"/>
    <s v="Personal"/>
    <s v="Caja"/>
  </r>
  <r>
    <x v="1"/>
    <x v="10"/>
    <x v="2"/>
    <s v="TOTEATDVYERROR"/>
    <s v="ERR RAPPI: Fuze tea durazno"/>
    <n v="7"/>
    <n v="9800"/>
    <n v="0"/>
    <n v="0"/>
    <n v="9800"/>
    <n v="1"/>
    <n v="0"/>
    <s v="Otro"/>
    <s v="Otro"/>
    <s v="Otro"/>
  </r>
  <r>
    <x v="1"/>
    <x v="10"/>
    <x v="2"/>
    <s v="TOTEATDVYERROR"/>
    <s v="ERR RAPPI: Fuze tea limón"/>
    <n v="6"/>
    <n v="8400"/>
    <n v="0"/>
    <n v="0"/>
    <n v="8400"/>
    <n v="1"/>
    <n v="0"/>
    <s v="Otro"/>
    <s v="Otro"/>
    <s v="Otro"/>
  </r>
  <r>
    <x v="1"/>
    <x v="10"/>
    <x v="2"/>
    <s v="ADIC06"/>
    <s v="Arroz Frito ADIC (*Extra)"/>
    <n v="5"/>
    <n v="24000"/>
    <n v="0"/>
    <n v="6410"/>
    <n v="17590"/>
    <n v="0.73291666666666666"/>
    <n v="0"/>
    <s v="Adición"/>
    <s v="Adición"/>
    <s v="Adición"/>
  </r>
  <r>
    <x v="1"/>
    <x v="10"/>
    <x v="2"/>
    <s v="ATP04"/>
    <s v="Chop suey (*Extra)"/>
    <n v="5"/>
    <n v="0"/>
    <n v="0"/>
    <n v="13170"/>
    <n v="-13170"/>
    <n v="0"/>
    <n v="0"/>
    <s v="Arma tu plato"/>
    <s v="Personal"/>
    <s v="Caja"/>
  </r>
  <r>
    <x v="1"/>
    <x v="10"/>
    <x v="2"/>
    <s v="ADIC11"/>
    <s v="Salsa Teriyaki (*Extra)"/>
    <n v="3"/>
    <n v="3000"/>
    <n v="0"/>
    <n v="0"/>
    <n v="3000"/>
    <n v="1"/>
    <n v="0"/>
    <s v="Adición"/>
    <s v="Adición"/>
    <s v="Adición"/>
  </r>
  <r>
    <x v="1"/>
    <x v="10"/>
    <x v="2"/>
    <s v="ATP07"/>
    <s v="Pollo presa ATP (*Extra)"/>
    <n v="3"/>
    <n v="0"/>
    <n v="0"/>
    <n v="8547"/>
    <n v="-8547"/>
    <n v="0"/>
    <n v="0"/>
    <s v="Arma tu plato"/>
    <s v="Personal"/>
    <s v="Caja"/>
  </r>
  <r>
    <x v="1"/>
    <x v="10"/>
    <x v="2"/>
    <s v="ATP02"/>
    <s v="Camarones apanados 7 (*Extra)"/>
    <n v="3"/>
    <n v="6000"/>
    <n v="0"/>
    <n v="9324"/>
    <n v="-3324"/>
    <n v="-0.55400000000000005"/>
    <n v="0"/>
    <s v="Arma tu plato"/>
    <s v="Personal"/>
    <s v="Caja"/>
  </r>
  <r>
    <x v="1"/>
    <x v="10"/>
    <x v="2"/>
    <s v="ADIC04"/>
    <s v="Pollo picado (*Extra)"/>
    <n v="3"/>
    <n v="24000"/>
    <n v="0"/>
    <n v="5241"/>
    <n v="18759"/>
    <n v="0.78162500000000001"/>
    <n v="0"/>
    <s v="Adición"/>
    <s v="Adición"/>
    <s v="Adición"/>
  </r>
  <r>
    <x v="1"/>
    <x v="10"/>
    <x v="2"/>
    <s v="ADIC05"/>
    <s v="Vegetales salteados (*Extra)"/>
    <n v="3"/>
    <n v="20100"/>
    <n v="0"/>
    <n v="21"/>
    <n v="20079"/>
    <n v="0.99895522388059699"/>
    <n v="0"/>
    <s v="Adición"/>
    <s v="Adición"/>
    <s v="Adición"/>
  </r>
  <r>
    <x v="1"/>
    <x v="10"/>
    <x v="2"/>
    <s v="COMC06"/>
    <s v="COMBO FAMILIAR"/>
    <n v="3"/>
    <n v="305200"/>
    <n v="-84500"/>
    <n v="140340"/>
    <n v="164860"/>
    <n v="0.54017038007863694"/>
    <n v="0.27686762778505897"/>
    <s v="Combos para compartir"/>
    <s v="No Personal"/>
    <s v="Combo"/>
  </r>
  <r>
    <x v="1"/>
    <x v="10"/>
    <x v="2"/>
    <s v="ADIC560"/>
    <s v="Adición Papa frita"/>
    <n v="2"/>
    <n v="11800"/>
    <n v="0"/>
    <n v="8196"/>
    <n v="3604"/>
    <n v="0.30542372881355934"/>
    <n v="0"/>
    <s v="Adición"/>
    <s v="Adición"/>
    <s v="Adición"/>
  </r>
  <r>
    <x v="1"/>
    <x v="10"/>
    <x v="2"/>
    <s v="ATP03"/>
    <s v="Arroz vegetales (*Extra)"/>
    <n v="2"/>
    <n v="4000"/>
    <n v="0"/>
    <n v="4070"/>
    <n v="-70"/>
    <n v="-1.7500000000000002E-2"/>
    <n v="0"/>
    <s v="Arma tu plato"/>
    <s v="Personal"/>
    <s v="Caja"/>
  </r>
  <r>
    <x v="1"/>
    <x v="10"/>
    <x v="2"/>
    <s v="ADIC564"/>
    <s v="Adición Presa de pollo"/>
    <n v="2"/>
    <n v="15800"/>
    <n v="0"/>
    <n v="4928"/>
    <n v="10872"/>
    <n v="0.68810126582278486"/>
    <n v="0"/>
    <s v="Adición"/>
    <s v="Adición"/>
    <s v="Adición"/>
  </r>
  <r>
    <x v="1"/>
    <x v="10"/>
    <x v="2"/>
    <s v="COMC02"/>
    <s v="COMBO AMIGOS"/>
    <n v="2"/>
    <n v="116600"/>
    <n v="-29200"/>
    <n v="47276"/>
    <n v="69324"/>
    <n v="0.5945454545454546"/>
    <n v="0.2504288164665523"/>
    <s v="Combos para compartir"/>
    <s v="No Personal"/>
    <s v="Combo"/>
  </r>
  <r>
    <x v="1"/>
    <x v="10"/>
    <x v="2"/>
    <s v="COMC04"/>
    <s v="COMBO FAMIAMIGOS"/>
    <n v="2"/>
    <n v="151300"/>
    <n v="-50500"/>
    <n v="78442"/>
    <n v="72858"/>
    <n v="0.48154659616655648"/>
    <n v="0.33377395902181095"/>
    <s v="Combos para compartir"/>
    <s v="No Personal"/>
    <s v="Combo"/>
  </r>
  <r>
    <x v="1"/>
    <x v="10"/>
    <x v="2"/>
    <s v="COMP12"/>
    <s v="Combo Sunkee"/>
    <n v="1"/>
    <n v="38900"/>
    <n v="0"/>
    <n v="32801"/>
    <n v="6099"/>
    <n v="0.1567866323907455"/>
    <n v="0"/>
    <s v="Combos personales"/>
    <s v="Personal"/>
    <s v="Combo"/>
  </r>
  <r>
    <x v="1"/>
    <x v="10"/>
    <x v="2"/>
    <s v="ENT03"/>
    <s v="CAMARONES APANADOS"/>
    <n v="1"/>
    <n v="26900"/>
    <n v="0"/>
    <n v="6215"/>
    <n v="20685"/>
    <n v="0.76895910780669141"/>
    <n v="0"/>
    <s v="Entradas"/>
    <s v="Otro"/>
    <s v="Otro"/>
  </r>
  <r>
    <x v="1"/>
    <x v="10"/>
    <x v="2"/>
    <s v="ADIC561"/>
    <s v="Adición Vegetales"/>
    <n v="1"/>
    <n v="8200"/>
    <n v="0"/>
    <n v="689"/>
    <n v="7511"/>
    <n v="0.9159756097560976"/>
    <n v="0"/>
    <s v="Adición"/>
    <s v="Adición"/>
    <s v="Adición"/>
  </r>
  <r>
    <x v="1"/>
    <x v="11"/>
    <x v="1"/>
    <s v="MONE700"/>
    <s v="Mong Express Chop suey pollo"/>
    <n v="185"/>
    <n v="3496500"/>
    <n v="0"/>
    <n v="1513855"/>
    <n v="1982645"/>
    <n v="0.56703703703703701"/>
    <n v="0"/>
    <s v="Mong Express"/>
    <s v="Personal"/>
    <s v="Caja"/>
  </r>
  <r>
    <x v="1"/>
    <x v="11"/>
    <x v="1"/>
    <s v="COMP01"/>
    <s v="COMBO 1- Valenciano personal"/>
    <n v="183"/>
    <n v="3955700"/>
    <n v="-52000"/>
    <n v="1761741"/>
    <n v="2193959"/>
    <n v="0.55463230275298936"/>
    <n v="1.3145587380236115E-2"/>
    <s v="Combos personales"/>
    <s v="Personal"/>
    <s v="Combo"/>
  </r>
  <r>
    <x v="1"/>
    <x v="11"/>
    <x v="1"/>
    <s v="MON450"/>
    <s v="Arma tu plato"/>
    <n v="164"/>
    <n v="4033800"/>
    <n v="-49800"/>
    <n v="0"/>
    <n v="4033800"/>
    <n v="1"/>
    <n v="1.2345679012345678E-2"/>
    <s v="Arma tu plato"/>
    <s v="Personal"/>
    <s v="Caja"/>
  </r>
  <r>
    <x v="1"/>
    <x v="11"/>
    <x v="1"/>
    <s v="ATP01"/>
    <s v="Pollo a la naranja (*Extra)"/>
    <n v="119"/>
    <n v="0"/>
    <n v="0"/>
    <n v="653429"/>
    <n v="-653429"/>
    <n v="0"/>
    <n v="0"/>
    <s v="Arma tu plato"/>
    <s v="Personal"/>
    <s v="Caja"/>
  </r>
  <r>
    <x v="1"/>
    <x v="11"/>
    <x v="1"/>
    <s v="ENT04"/>
    <s v="LUMPIAS X 2"/>
    <n v="111"/>
    <n v="970100"/>
    <n v="-17800"/>
    <n v="348429"/>
    <n v="621671"/>
    <n v="0.64083187300278321"/>
    <n v="1.834862385321101E-2"/>
    <s v="Entradas"/>
    <s v="Otro"/>
    <s v="Otro"/>
  </r>
  <r>
    <x v="1"/>
    <x v="11"/>
    <x v="1"/>
    <s v="COMP02"/>
    <s v="COMBO 2 - Chow fan especial personal"/>
    <n v="103"/>
    <n v="2457800"/>
    <n v="-3900"/>
    <n v="978603"/>
    <n v="1479197"/>
    <n v="0.60183782244283501"/>
    <n v="1.5867849296118479E-3"/>
    <s v="Combos personales"/>
    <s v="Personal"/>
    <s v="Combo"/>
  </r>
  <r>
    <x v="1"/>
    <x v="11"/>
    <x v="1"/>
    <s v="COMP03"/>
    <s v="COMBO 3 - Chop suey especial personal"/>
    <n v="96"/>
    <n v="2555500"/>
    <n v="-26900"/>
    <n v="918720"/>
    <n v="1636780"/>
    <n v="0.64049305419683034"/>
    <n v="1.0526315789473684E-2"/>
    <s v="Combos personales"/>
    <s v="Personal"/>
    <s v="Combo"/>
  </r>
  <r>
    <x v="1"/>
    <x v="11"/>
    <x v="1"/>
    <s v="MONE701"/>
    <s v="Mong Express Chow fan"/>
    <n v="82"/>
    <n v="1530900"/>
    <n v="-18900"/>
    <n v="0"/>
    <n v="1530900"/>
    <n v="1"/>
    <n v="1.2345679012345678E-2"/>
    <s v="Mong Express"/>
    <s v="Personal"/>
    <s v="Caja"/>
  </r>
  <r>
    <x v="1"/>
    <x v="11"/>
    <x v="1"/>
    <s v="ATP10"/>
    <s v="Cerdo agridulce (*Extra)"/>
    <n v="71"/>
    <n v="0"/>
    <n v="0"/>
    <n v="388157"/>
    <n v="-388157"/>
    <n v="0"/>
    <n v="0"/>
    <s v="Arma tu plato"/>
    <s v="Personal"/>
    <s v="Caja"/>
  </r>
  <r>
    <x v="1"/>
    <x v="11"/>
    <x v="1"/>
    <s v="COMP05"/>
    <s v="COMBO 5 - Chow Mein especial personal"/>
    <n v="68"/>
    <n v="1826501"/>
    <n v="-2699"/>
    <n v="765204"/>
    <n v="1061297"/>
    <n v="0.58105470514387891"/>
    <n v="1.4776887611887429E-3"/>
    <s v="Combos personales"/>
    <s v="Personal"/>
    <s v="Combo"/>
  </r>
  <r>
    <x v="1"/>
    <x v="11"/>
    <x v="1"/>
    <s v="ATP03"/>
    <s v="Arroz vegetales (*Extra)"/>
    <n v="57"/>
    <n v="112000"/>
    <n v="-2000"/>
    <n v="115995"/>
    <n v="-3995"/>
    <n v="-3.5669642857142858E-2"/>
    <n v="1.7857142857142856E-2"/>
    <s v="Arma tu plato"/>
    <s v="Personal"/>
    <s v="Caja"/>
  </r>
  <r>
    <x v="1"/>
    <x v="11"/>
    <x v="1"/>
    <s v="ATP09"/>
    <s v="Res brócoli (*Extra)"/>
    <n v="56"/>
    <n v="0"/>
    <n v="0"/>
    <n v="186032"/>
    <n v="-186032"/>
    <n v="0"/>
    <n v="0"/>
    <s v="Arma tu plato"/>
    <s v="Personal"/>
    <s v="Caja"/>
  </r>
  <r>
    <x v="1"/>
    <x v="11"/>
    <x v="1"/>
    <s v="BEB581"/>
    <s v="Coca Cola 400 Ml Normal"/>
    <n v="56"/>
    <n v="307151"/>
    <n v="-849"/>
    <n v="94920"/>
    <n v="212231"/>
    <n v="0.69096633252048667"/>
    <n v="2.7641127653824991E-3"/>
    <s v="Bebidas"/>
    <s v="Bebidas"/>
    <s v="Bebidas"/>
  </r>
  <r>
    <x v="1"/>
    <x v="11"/>
    <x v="1"/>
    <s v="BEB00"/>
    <s v="Coca Cola 250 Ml Zero CB (*Extra)"/>
    <n v="55"/>
    <n v="0"/>
    <n v="0"/>
    <n v="0"/>
    <n v="0"/>
    <n v="0"/>
    <n v="0"/>
    <s v="Bebidas"/>
    <s v="Bebidas Cambio de bebida"/>
    <s v="Bebidas"/>
  </r>
  <r>
    <x v="1"/>
    <x v="11"/>
    <x v="1"/>
    <s v="BEB620"/>
    <s v="Agua 280 ml CB (*Extra)"/>
    <n v="46"/>
    <n v="0"/>
    <n v="0"/>
    <n v="39928"/>
    <n v="-39928"/>
    <n v="0"/>
    <n v="0"/>
    <s v="Bebidas"/>
    <s v="Bebidas Cambio de bebida"/>
    <s v="Bebidas"/>
  </r>
  <r>
    <x v="1"/>
    <x v="11"/>
    <x v="1"/>
    <s v="ATP06"/>
    <s v="Arroz Frito ATP (*Extra)"/>
    <n v="44"/>
    <n v="0"/>
    <n v="0"/>
    <n v="56408"/>
    <n v="-56408"/>
    <n v="0"/>
    <n v="0"/>
    <s v="Arma tu plato"/>
    <s v="Personal"/>
    <s v="Caja"/>
  </r>
  <r>
    <x v="1"/>
    <x v="11"/>
    <x v="1"/>
    <s v="MON300"/>
    <s v="Chop suey especial personal"/>
    <n v="43"/>
    <n v="835800"/>
    <n v="-19900"/>
    <n v="294034"/>
    <n v="541766"/>
    <n v="0.64820052644173243"/>
    <n v="2.3809523809523808E-2"/>
    <s v="Platos mong"/>
    <s v="Personal"/>
    <s v="Caja"/>
  </r>
  <r>
    <x v="1"/>
    <x v="11"/>
    <x v="1"/>
    <s v="ATP02"/>
    <s v="Camarones apanados 7 (*Extra)"/>
    <n v="42"/>
    <n v="82000"/>
    <n v="-2000"/>
    <n v="130536"/>
    <n v="-48536"/>
    <n v="-0.59190243902439021"/>
    <n v="2.4390243902439025E-2"/>
    <s v="Arma tu plato"/>
    <s v="Personal"/>
    <s v="Caja"/>
  </r>
  <r>
    <x v="1"/>
    <x v="11"/>
    <x v="1"/>
    <s v="BEB580"/>
    <s v="Coca Cola 250 Ml Normal"/>
    <n v="40"/>
    <n v="138272"/>
    <n v="-1728"/>
    <n v="46520"/>
    <n v="91752"/>
    <n v="0.66356167553806988"/>
    <n v="1.2497107151122426E-2"/>
    <s v="Bebidas"/>
    <s v="Bebidas"/>
    <s v="Bebidas"/>
  </r>
  <r>
    <x v="1"/>
    <x v="11"/>
    <x v="1"/>
    <s v="BEB585"/>
    <s v="Agua Normal 600 Ml"/>
    <n v="40"/>
    <n v="195230"/>
    <n v="-770"/>
    <n v="43800"/>
    <n v="151430"/>
    <n v="0.77564923423654153"/>
    <n v="3.9440659734671923E-3"/>
    <s v="Bebidas"/>
    <s v="Bebidas"/>
    <s v="Bebidas"/>
  </r>
  <r>
    <x v="1"/>
    <x v="11"/>
    <x v="1"/>
    <s v="ENT02"/>
    <s v="LUMPIA X 1"/>
    <n v="37"/>
    <n v="161674"/>
    <n v="-23326"/>
    <n v="58053"/>
    <n v="103621"/>
    <n v="0.64092556626297359"/>
    <n v="0.14427799151378701"/>
    <s v="Entradas"/>
    <s v="Otro"/>
    <s v="Otro"/>
  </r>
  <r>
    <x v="1"/>
    <x v="11"/>
    <x v="1"/>
    <s v="COMP04"/>
    <s v="COMBO 4 - arroz vegetales especial"/>
    <n v="37"/>
    <n v="1069300"/>
    <n v="0"/>
    <n v="379139"/>
    <n v="690161"/>
    <n v="0.64543252595155709"/>
    <n v="0"/>
    <s v="Combos personales"/>
    <s v="Personal"/>
    <s v="Combo"/>
  </r>
  <r>
    <x v="1"/>
    <x v="11"/>
    <x v="1"/>
    <s v="MON500"/>
    <s v="Arroz vegetales especial personal"/>
    <n v="33"/>
    <n v="755700"/>
    <n v="0"/>
    <n v="247962"/>
    <n v="507738"/>
    <n v="0.67187772925764189"/>
    <n v="0"/>
    <s v="Platos mong"/>
    <s v="Personal"/>
    <s v="Caja"/>
  </r>
  <r>
    <x v="1"/>
    <x v="11"/>
    <x v="1"/>
    <s v="ATP05"/>
    <s v="Chow mein (*Extra)"/>
    <n v="33"/>
    <n v="0"/>
    <n v="0"/>
    <n v="102201"/>
    <n v="-102201"/>
    <n v="0"/>
    <n v="0"/>
    <s v="Arma tu plato"/>
    <s v="Personal"/>
    <s v="Caja"/>
  </r>
  <r>
    <x v="1"/>
    <x v="11"/>
    <x v="1"/>
    <s v="ATP04"/>
    <s v="Chop suey (*Extra)"/>
    <n v="30"/>
    <n v="0"/>
    <n v="0"/>
    <n v="79020"/>
    <n v="-79020"/>
    <n v="0"/>
    <n v="0"/>
    <s v="Arma tu plato"/>
    <s v="Personal"/>
    <s v="Caja"/>
  </r>
  <r>
    <x v="1"/>
    <x v="11"/>
    <x v="1"/>
    <s v="ADIC564"/>
    <s v="Adición Presa de pollo"/>
    <n v="25"/>
    <n v="171398"/>
    <n v="-1102"/>
    <n v="61600"/>
    <n v="109798"/>
    <n v="0.64060257412571908"/>
    <n v="6.4294799239197654E-3"/>
    <s v="Adición"/>
    <s v="Adición"/>
    <s v="Adición"/>
  </r>
  <r>
    <x v="1"/>
    <x v="11"/>
    <x v="1"/>
    <s v="MON320"/>
    <s v="Chop Suey Pollo Personal"/>
    <n v="25"/>
    <n v="447500"/>
    <n v="0"/>
    <n v="136525"/>
    <n v="310975"/>
    <n v="0.69491620111731844"/>
    <n v="0"/>
    <s v="Platos mong"/>
    <s v="Personal"/>
    <s v="Caja"/>
  </r>
  <r>
    <x v="1"/>
    <x v="11"/>
    <x v="1"/>
    <s v="MON130"/>
    <s v="Chow Fan Valenciano Personal"/>
    <n v="23"/>
    <n v="453900"/>
    <n v="-3800"/>
    <n v="194672"/>
    <n v="259228"/>
    <n v="0.57111257986340602"/>
    <n v="8.3718880810751267E-3"/>
    <s v="Platos mong"/>
    <s v="Personal"/>
    <s v="Caja"/>
  </r>
  <r>
    <x v="1"/>
    <x v="11"/>
    <x v="1"/>
    <s v="MON101"/>
    <s v="Chow fan especial duo"/>
    <n v="20"/>
    <n v="838000"/>
    <n v="0"/>
    <n v="401060"/>
    <n v="436940"/>
    <n v="0.52140811455847258"/>
    <n v="0"/>
    <s v="Platos mong"/>
    <s v="No Personal"/>
    <s v="Platos Especiales"/>
  </r>
  <r>
    <x v="1"/>
    <x v="11"/>
    <x v="1"/>
    <s v="MON120"/>
    <s v="Chow Fan Pollo Personal"/>
    <n v="19"/>
    <n v="283100"/>
    <n v="0"/>
    <n v="115216"/>
    <n v="167884"/>
    <n v="0.59302013422818789"/>
    <n v="0"/>
    <s v="Platos mong"/>
    <s v="Personal"/>
    <s v="Caja"/>
  </r>
  <r>
    <x v="1"/>
    <x v="11"/>
    <x v="1"/>
    <s v="BEB599"/>
    <s v="Agua 280 ml"/>
    <n v="18"/>
    <n v="45500"/>
    <n v="-17500"/>
    <n v="15624"/>
    <n v="29876"/>
    <n v="0.6566153846153846"/>
    <n v="0.38461538461538464"/>
    <s v="Bebidas"/>
    <s v="Bebidas"/>
    <s v="Bebidas"/>
  </r>
  <r>
    <x v="1"/>
    <x v="11"/>
    <x v="1"/>
    <s v="ADIC563"/>
    <s v="Adición Arroz Frito"/>
    <n v="18"/>
    <n v="89202"/>
    <n v="-798"/>
    <n v="23076"/>
    <n v="66126"/>
    <n v="0.74130624873881756"/>
    <n v="8.9459877581220155E-3"/>
    <s v="Adición"/>
    <s v="Adición"/>
    <s v="Adición"/>
  </r>
  <r>
    <x v="1"/>
    <x v="11"/>
    <x v="1"/>
    <s v="BEB593"/>
    <s v="Coca Cola 250 Ml Zero"/>
    <n v="18"/>
    <n v="59500"/>
    <n v="-3500"/>
    <n v="23238"/>
    <n v="36262"/>
    <n v="0.60944537815126054"/>
    <n v="5.8823529411764705E-2"/>
    <s v="Bebidas"/>
    <s v="Bebidas"/>
    <s v="Bebidas"/>
  </r>
  <r>
    <x v="1"/>
    <x v="11"/>
    <x v="1"/>
    <s v="ATP08"/>
    <s v="Pollo Apanado ATP (*Extra)"/>
    <n v="17"/>
    <n v="0"/>
    <n v="0"/>
    <n v="89471"/>
    <n v="-89471"/>
    <n v="0"/>
    <n v="0"/>
    <s v="Arma tu plato"/>
    <s v="Personal"/>
    <s v="Caja"/>
  </r>
  <r>
    <x v="1"/>
    <x v="11"/>
    <x v="1"/>
    <s v="MON110"/>
    <s v="Chow Fan Camarones Personal"/>
    <n v="17"/>
    <n v="334943"/>
    <n v="-37357"/>
    <n v="159868"/>
    <n v="175075"/>
    <n v="0.52270087746273242"/>
    <n v="0.11153240999214792"/>
    <s v="Platos mong"/>
    <s v="Personal"/>
    <s v="Caja"/>
  </r>
  <r>
    <x v="1"/>
    <x v="11"/>
    <x v="1"/>
    <s v="MON100"/>
    <s v="Chow Fan Especial Personal"/>
    <n v="17"/>
    <n v="268500"/>
    <n v="-35800"/>
    <n v="115056"/>
    <n v="153444"/>
    <n v="0.57148603351955307"/>
    <n v="0.13333333333333333"/>
    <s v="Platos mong"/>
    <s v="Personal"/>
    <s v="Caja"/>
  </r>
  <r>
    <x v="1"/>
    <x v="11"/>
    <x v="1"/>
    <s v="ATP07"/>
    <s v="Pollo presa ATP (*Extra)"/>
    <n v="16"/>
    <n v="0"/>
    <n v="0"/>
    <n v="45584"/>
    <n v="-45584"/>
    <n v="0"/>
    <n v="0"/>
    <s v="Arma tu plato"/>
    <s v="Personal"/>
    <s v="Caja"/>
  </r>
  <r>
    <x v="1"/>
    <x v="11"/>
    <x v="1"/>
    <s v="BEB592"/>
    <s v="Coca Cola 400 Ml Zero"/>
    <n v="15"/>
    <n v="82500"/>
    <n v="0"/>
    <n v="21720"/>
    <n v="60780"/>
    <n v="0.73672727272727268"/>
    <n v="0"/>
    <s v="Bebidas"/>
    <s v="Bebidas"/>
    <s v="Bebidas"/>
  </r>
  <r>
    <x v="1"/>
    <x v="11"/>
    <x v="1"/>
    <s v="BEB588"/>
    <s v="Fusetea Limon"/>
    <n v="15"/>
    <n v="73500"/>
    <n v="0"/>
    <n v="23400"/>
    <n v="50100"/>
    <n v="0.68163265306122445"/>
    <n v="0"/>
    <s v="Bebidas"/>
    <s v="Bebidas"/>
    <s v="Bebidas"/>
  </r>
  <r>
    <x v="1"/>
    <x v="11"/>
    <x v="1"/>
    <s v="BEB598"/>
    <s v="Coca Cola 1,5 litros"/>
    <n v="14"/>
    <n v="118800"/>
    <n v="-19800"/>
    <n v="63014"/>
    <n v="55786"/>
    <n v="0.4695791245791246"/>
    <n v="0.16666666666666666"/>
    <s v="Bebidas"/>
    <s v="Bebidas"/>
    <s v="Bebidas"/>
  </r>
  <r>
    <x v="1"/>
    <x v="11"/>
    <x v="1"/>
    <s v="COMP10"/>
    <s v="COMBO - Lumpia y Coca Cola 250 ml"/>
    <n v="14"/>
    <n v="96600"/>
    <n v="0"/>
    <n v="0"/>
    <n v="96600"/>
    <n v="1"/>
    <n v="0"/>
    <s v="Armalo en combo"/>
    <s v="Personal"/>
    <s v="Combo"/>
  </r>
  <r>
    <x v="1"/>
    <x v="11"/>
    <x v="1"/>
    <s v="PESP04"/>
    <s v="SUN KEE"/>
    <n v="13"/>
    <n v="388700"/>
    <n v="0"/>
    <n v="177294"/>
    <n v="211406"/>
    <n v="0.54387959866220736"/>
    <n v="0"/>
    <s v="Platos especiales"/>
    <s v="Personal"/>
    <s v="Platos Especiales"/>
  </r>
  <r>
    <x v="1"/>
    <x v="11"/>
    <x v="1"/>
    <s v="MON200"/>
    <s v="Chow Mein Especial Personal"/>
    <n v="12"/>
    <n v="216900"/>
    <n v="-21900"/>
    <n v="102252"/>
    <n v="114648"/>
    <n v="0.52857538035961271"/>
    <n v="0.10096818810511757"/>
    <s v="Platos mong"/>
    <s v="Personal"/>
    <s v="Caja"/>
  </r>
  <r>
    <x v="1"/>
    <x v="11"/>
    <x v="1"/>
    <s v="PESP01"/>
    <s v="MING"/>
    <n v="12"/>
    <n v="287100"/>
    <n v="-95700"/>
    <n v="91260"/>
    <n v="195840"/>
    <n v="0.68213166144200632"/>
    <n v="0.33333333333333331"/>
    <s v="Platos especiales"/>
    <s v="Personal"/>
    <s v="Platos Especiales"/>
  </r>
  <r>
    <x v="1"/>
    <x v="11"/>
    <x v="1"/>
    <s v="ENT03"/>
    <s v="CAMARONES APANADOS"/>
    <n v="12"/>
    <n v="240900"/>
    <n v="-21900"/>
    <n v="74580"/>
    <n v="166320"/>
    <n v="0.69041095890410964"/>
    <n v="9.0909090909090912E-2"/>
    <s v="Entradas"/>
    <s v="Otro"/>
    <s v="Otro"/>
  </r>
  <r>
    <x v="1"/>
    <x v="11"/>
    <x v="1"/>
    <s v="COMP08"/>
    <s v="COMBO - Papas 120 grs y Coca Cola 250 ml"/>
    <n v="12"/>
    <n v="82800"/>
    <n v="0"/>
    <n v="38544"/>
    <n v="44256"/>
    <n v="0.53449275362318838"/>
    <n v="0"/>
    <s v="Armalo en combo"/>
    <s v="Personal"/>
    <s v="Combo"/>
  </r>
  <r>
    <x v="1"/>
    <x v="11"/>
    <x v="1"/>
    <s v="COMC06"/>
    <s v="COMBO FAMILIAR"/>
    <n v="12"/>
    <n v="1078800"/>
    <n v="0"/>
    <n v="561360"/>
    <n v="517440"/>
    <n v="0.47964404894327028"/>
    <n v="0"/>
    <s v="Combos para compartir"/>
    <s v="No Personal"/>
    <s v="Combo"/>
  </r>
  <r>
    <x v="1"/>
    <x v="11"/>
    <x v="1"/>
    <s v="ADIC560"/>
    <s v="Adición Papa frita"/>
    <n v="11"/>
    <n v="59000"/>
    <n v="-5900"/>
    <n v="45078"/>
    <n v="13922"/>
    <n v="0.23596610169491525"/>
    <n v="0.1"/>
    <s v="Adición"/>
    <s v="Adición"/>
    <s v="Adición"/>
  </r>
  <r>
    <x v="1"/>
    <x v="11"/>
    <x v="1"/>
    <s v="PESP03"/>
    <s v="LING"/>
    <n v="11"/>
    <n v="328900"/>
    <n v="0"/>
    <n v="149237"/>
    <n v="179663"/>
    <n v="0.5462541806020067"/>
    <n v="0"/>
    <s v="Platos especiales"/>
    <s v="Personal"/>
    <s v="Platos Especiales"/>
  </r>
  <r>
    <x v="1"/>
    <x v="11"/>
    <x v="1"/>
    <s v="PESP05"/>
    <s v="WONG- Menú infantil"/>
    <n v="11"/>
    <n v="169000"/>
    <n v="-16900"/>
    <n v="78375"/>
    <n v="90625"/>
    <n v="0.53624260355029585"/>
    <n v="0.1"/>
    <s v="Platos especiales"/>
    <s v="Personal"/>
    <s v="Platos Especiales"/>
  </r>
  <r>
    <x v="1"/>
    <x v="11"/>
    <x v="1"/>
    <s v="BEB586"/>
    <s v="Agua Gas 600 Ml"/>
    <n v="11"/>
    <n v="44100"/>
    <n v="-9800"/>
    <n v="14168"/>
    <n v="29932"/>
    <n v="0.67873015873015874"/>
    <n v="0.22222222222222221"/>
    <s v="Bebidas"/>
    <s v="Bebidas"/>
    <s v="Bebidas"/>
  </r>
  <r>
    <x v="1"/>
    <x v="11"/>
    <x v="1"/>
    <s v="BEB583"/>
    <s v="Sprite 400 Ml"/>
    <n v="10"/>
    <n v="49000"/>
    <n v="0"/>
    <n v="13300"/>
    <n v="35700"/>
    <n v="0.72857142857142854"/>
    <n v="0"/>
    <s v="Bebidas"/>
    <s v="Bebidas"/>
    <s v="Bebidas"/>
  </r>
  <r>
    <x v="1"/>
    <x v="11"/>
    <x v="1"/>
    <s v="BEB584"/>
    <s v="Quatro 400 Ml"/>
    <n v="10"/>
    <n v="49000"/>
    <n v="0"/>
    <n v="13300"/>
    <n v="35700"/>
    <n v="0.72857142857142854"/>
    <n v="0"/>
    <s v="Bebidas"/>
    <s v="Bebidas"/>
    <s v="Bebidas"/>
  </r>
  <r>
    <x v="1"/>
    <x v="11"/>
    <x v="1"/>
    <s v="BEB589"/>
    <s v="Fusetea Durazno"/>
    <n v="10"/>
    <n v="49000"/>
    <n v="0"/>
    <n v="15600"/>
    <n v="33400"/>
    <n v="0.68163265306122445"/>
    <n v="0"/>
    <s v="Bebidas"/>
    <s v="Bebidas"/>
    <s v="Bebidas"/>
  </r>
  <r>
    <x v="1"/>
    <x v="11"/>
    <x v="1"/>
    <s v="BEB587"/>
    <s v="Agua Limón 600 Ml"/>
    <n v="10"/>
    <n v="49000"/>
    <n v="0"/>
    <n v="13730"/>
    <n v="35270"/>
    <n v="0.71979591836734691"/>
    <n v="0"/>
    <s v="Bebidas"/>
    <s v="Bebidas"/>
    <s v="Bebidas"/>
  </r>
  <r>
    <x v="1"/>
    <x v="11"/>
    <x v="1"/>
    <s v="BEB595"/>
    <s v="Agua Manzana 600 Ml"/>
    <n v="10"/>
    <n v="48230"/>
    <n v="-770"/>
    <n v="13730"/>
    <n v="34500"/>
    <n v="0.71532241343562097"/>
    <n v="1.5965166908563134E-2"/>
    <s v="Bebidas"/>
    <s v="Bebidas"/>
    <s v="Bebidas"/>
  </r>
  <r>
    <x v="1"/>
    <x v="11"/>
    <x v="1"/>
    <s v="PESP02"/>
    <s v="MONG"/>
    <n v="9"/>
    <n v="251100"/>
    <n v="0"/>
    <n v="114462"/>
    <n v="136638"/>
    <n v="0.54415770609318992"/>
    <n v="0"/>
    <s v="Platos especiales"/>
    <s v="Personal"/>
    <s v="Platos Especiales"/>
  </r>
  <r>
    <x v="1"/>
    <x v="11"/>
    <x v="1"/>
    <s v="COMC04"/>
    <s v="COMBO FAMIAMIGOS"/>
    <n v="8"/>
    <n v="639200"/>
    <n v="0"/>
    <n v="313768"/>
    <n v="325432"/>
    <n v="0.50912390488110137"/>
    <n v="0"/>
    <s v="Combos para compartir"/>
    <s v="No Personal"/>
    <s v="Combo"/>
  </r>
  <r>
    <x v="1"/>
    <x v="11"/>
    <x v="1"/>
    <s v="BEB607"/>
    <s v="Agua Gas 600 Ml CB (*Extra)"/>
    <n v="8"/>
    <n v="11200"/>
    <n v="0"/>
    <n v="12880"/>
    <n v="-1680"/>
    <n v="-0.15"/>
    <n v="0"/>
    <s v="Bebidas"/>
    <s v="Bebidas Cambio de bebida"/>
    <s v="Bebidas"/>
  </r>
  <r>
    <x v="1"/>
    <x v="11"/>
    <x v="1"/>
    <s v="ADIC565"/>
    <s v="Adición Camaron"/>
    <n v="7"/>
    <n v="62300"/>
    <n v="0"/>
    <n v="21756"/>
    <n v="40544"/>
    <n v="0.65078651685393263"/>
    <n v="0"/>
    <s v="Adición"/>
    <s v="Adición"/>
    <s v="Adición"/>
  </r>
  <r>
    <x v="1"/>
    <x v="11"/>
    <x v="1"/>
    <s v="COMC02"/>
    <s v="COMBO AMIGOS"/>
    <n v="6"/>
    <n v="419400"/>
    <n v="0"/>
    <n v="141828"/>
    <n v="277572"/>
    <n v="0.66183118741058655"/>
    <n v="0"/>
    <s v="Combos para compartir"/>
    <s v="No Personal"/>
    <s v="Combo"/>
  </r>
  <r>
    <x v="1"/>
    <x v="11"/>
    <x v="1"/>
    <s v="ENT01"/>
    <s v="Deditos de Pollo"/>
    <n v="6"/>
    <n v="101400"/>
    <n v="0"/>
    <n v="60168"/>
    <n v="41232"/>
    <n v="0.40662721893491122"/>
    <n v="0"/>
    <s v="Entradas"/>
    <s v="Otro"/>
    <s v="Otro"/>
  </r>
  <r>
    <x v="1"/>
    <x v="11"/>
    <x v="1"/>
    <s v="MON220"/>
    <s v="Chow Mein Pollo Personal"/>
    <n v="6"/>
    <n v="107400"/>
    <n v="0"/>
    <n v="42846"/>
    <n v="64554"/>
    <n v="0.60106145251396648"/>
    <n v="0"/>
    <s v="Platos mong"/>
    <s v="Personal"/>
    <s v="Caja"/>
  </r>
  <r>
    <x v="1"/>
    <x v="11"/>
    <x v="1"/>
    <s v="MON310"/>
    <s v="Chop suey camarón personal"/>
    <n v="6"/>
    <n v="149400"/>
    <n v="0"/>
    <n v="52542"/>
    <n v="96858"/>
    <n v="0.64831325301204823"/>
    <n v="0"/>
    <s v="Platos mong"/>
    <s v="Personal"/>
    <s v="Caja"/>
  </r>
  <r>
    <x v="1"/>
    <x v="11"/>
    <x v="1"/>
    <s v="BEB596"/>
    <s v="Fusetea mango"/>
    <n v="6"/>
    <n v="29400"/>
    <n v="0"/>
    <n v="11376"/>
    <n v="18024"/>
    <n v="0.61306122448979594"/>
    <n v="0"/>
    <s v="Bebidas"/>
    <s v="Bebidas"/>
    <s v="Bebidas"/>
  </r>
  <r>
    <x v="1"/>
    <x v="11"/>
    <x v="1"/>
    <s v="MON131"/>
    <s v="Chow Fan Valenciano Duo"/>
    <n v="6"/>
    <n v="275400"/>
    <n v="0"/>
    <n v="112908"/>
    <n v="162492"/>
    <n v="0.59002178649237469"/>
    <n v="0"/>
    <s v="Platos mong"/>
    <s v="No Personal"/>
    <s v="Caja"/>
  </r>
  <r>
    <x v="1"/>
    <x v="11"/>
    <x v="1"/>
    <s v="MON210"/>
    <s v="Chow Mein Camaron Personal"/>
    <n v="5"/>
    <n v="124500"/>
    <n v="0"/>
    <n v="52405"/>
    <n v="72095"/>
    <n v="0.57907630522088349"/>
    <n v="0"/>
    <s v="Platos mong"/>
    <s v="Personal"/>
    <s v="Caja"/>
  </r>
  <r>
    <x v="1"/>
    <x v="11"/>
    <x v="1"/>
    <s v="BEB601"/>
    <s v="Coca Cola 400 Ml Normal CB (*Extra)"/>
    <n v="5"/>
    <n v="10000"/>
    <n v="0"/>
    <n v="11175"/>
    <n v="-1175"/>
    <n v="-0.11749999999999999"/>
    <n v="0"/>
    <s v="Bebidas"/>
    <s v="Bebidas Cambio de bebida"/>
    <s v="Bebidas"/>
  </r>
  <r>
    <x v="1"/>
    <x v="11"/>
    <x v="1"/>
    <s v="MON121"/>
    <s v="Chow Fan Pollo Duo"/>
    <n v="5"/>
    <n v="179500"/>
    <n v="0"/>
    <n v="71155"/>
    <n v="108345"/>
    <n v="0.60359331476323119"/>
    <n v="0"/>
    <s v="Platos mong"/>
    <s v="No Personal"/>
    <s v="Caja"/>
  </r>
  <r>
    <x v="1"/>
    <x v="11"/>
    <x v="1"/>
    <s v="BEB609"/>
    <s v="Fusetea Limon CB (*Extra)"/>
    <n v="5"/>
    <n v="7000"/>
    <n v="0"/>
    <n v="9370"/>
    <n v="-2370"/>
    <n v="-0.33857142857142858"/>
    <n v="0"/>
    <s v="Bebidas"/>
    <s v="Bebidas Cambio de bebida"/>
    <s v="Bebidas"/>
  </r>
  <r>
    <x v="1"/>
    <x v="11"/>
    <x v="1"/>
    <s v="BEB616"/>
    <s v="Agua Manzana 600 Ml CB (*Extra)"/>
    <n v="4"/>
    <n v="5600"/>
    <n v="0"/>
    <n v="8556"/>
    <n v="-2956"/>
    <n v="-0.5278571428571428"/>
    <n v="0"/>
    <s v="Bebidas"/>
    <s v="Bebidas Cambio de bebida"/>
    <s v="Bebidas"/>
  </r>
  <r>
    <x v="1"/>
    <x v="11"/>
    <x v="1"/>
    <s v="COMC03"/>
    <s v="COMBO TRIO"/>
    <n v="4"/>
    <n v="227600"/>
    <n v="0"/>
    <n v="114272"/>
    <n v="113328"/>
    <n v="0.4979261862917399"/>
    <n v="0"/>
    <s v="Combos para compartir"/>
    <s v="No Personal"/>
    <s v="Combo"/>
  </r>
  <r>
    <x v="1"/>
    <x v="11"/>
    <x v="1"/>
    <s v="MON102"/>
    <s v="Chow Fan Especial familiar"/>
    <n v="4"/>
    <n v="267600"/>
    <n v="0"/>
    <n v="129404"/>
    <n v="138196"/>
    <n v="0.51642750373692081"/>
    <n v="0"/>
    <s v="Platos mong"/>
    <s v="No Personal"/>
    <s v="Caja"/>
  </r>
  <r>
    <x v="1"/>
    <x v="11"/>
    <x v="1"/>
    <s v="MON301"/>
    <s v="Chop Suey Especial Duo"/>
    <n v="4"/>
    <n v="183600"/>
    <n v="0"/>
    <n v="45328"/>
    <n v="138272"/>
    <n v="0.7531154684095861"/>
    <n v="0"/>
    <s v="Platos mong"/>
    <s v="No Personal"/>
    <s v="Caja"/>
  </r>
  <r>
    <x v="1"/>
    <x v="11"/>
    <x v="1"/>
    <s v="COMP11"/>
    <s v="COMBO - Lumpia y agua 280 ML"/>
    <n v="4"/>
    <n v="27600"/>
    <n v="0"/>
    <n v="0"/>
    <n v="27600"/>
    <n v="1"/>
    <n v="0"/>
    <s v="Armalo en combo"/>
    <s v="Personal"/>
    <s v="Combo"/>
  </r>
  <r>
    <x v="1"/>
    <x v="11"/>
    <x v="1"/>
    <s v="ADIC561"/>
    <s v="Adición Vegetales"/>
    <n v="4"/>
    <n v="27200"/>
    <n v="0"/>
    <n v="2756"/>
    <n v="24444"/>
    <n v="0.8986764705882353"/>
    <n v="0"/>
    <s v="Adición"/>
    <s v="Adición"/>
    <s v="Adición"/>
  </r>
  <r>
    <x v="1"/>
    <x v="11"/>
    <x v="1"/>
    <s v="BEB591"/>
    <s v="Jugo del valle naranja"/>
    <n v="3"/>
    <n v="9800"/>
    <n v="-4900"/>
    <n v="4680"/>
    <n v="5120"/>
    <n v="0.52244897959183678"/>
    <n v="0.5"/>
    <s v="Bebidas"/>
    <s v="Bebidas"/>
    <s v="Bebidas"/>
  </r>
  <r>
    <x v="1"/>
    <x v="11"/>
    <x v="1"/>
    <s v="BEB604"/>
    <s v="Sprite 400 Ml CB (*Extra)"/>
    <n v="3"/>
    <n v="4200"/>
    <n v="0"/>
    <n v="4548"/>
    <n v="-348"/>
    <n v="-8.2857142857142851E-2"/>
    <n v="0"/>
    <s v="Bebidas"/>
    <s v="Bebidas Cambio de bebida"/>
    <s v="Bebidas"/>
  </r>
  <r>
    <x v="1"/>
    <x v="11"/>
    <x v="1"/>
    <s v="ADIC490"/>
    <s v="Adicion - Pollo en trozos"/>
    <n v="3"/>
    <n v="20700"/>
    <n v="0"/>
    <n v="6735"/>
    <n v="13965"/>
    <n v="0.67463768115942024"/>
    <n v="0"/>
    <s v="Adición"/>
    <s v="Adición"/>
    <s v="Adición"/>
  </r>
  <r>
    <x v="1"/>
    <x v="11"/>
    <x v="1"/>
    <s v="BEB613"/>
    <s v="Coca Cola 400 Ml Zero CB (*Extra)"/>
    <n v="3"/>
    <n v="5799"/>
    <n v="-201"/>
    <n v="6717"/>
    <n v="-918"/>
    <n v="-0.15830315571650286"/>
    <n v="3.4661148473874803E-2"/>
    <s v="Bebidas"/>
    <s v="Bebidas Cambio de bebida"/>
    <s v="Bebidas"/>
  </r>
  <r>
    <x v="1"/>
    <x v="11"/>
    <x v="1"/>
    <s v="ADIC562"/>
    <s v="Adición Pasta"/>
    <n v="3"/>
    <n v="20700"/>
    <n v="0"/>
    <n v="9030"/>
    <n v="11670"/>
    <n v="0.56376811594202902"/>
    <n v="0"/>
    <s v="Adición"/>
    <s v="Adición"/>
    <s v="Adición"/>
  </r>
  <r>
    <x v="1"/>
    <x v="11"/>
    <x v="1"/>
    <s v="MON321"/>
    <s v="Chop Suey Pollo Duo"/>
    <n v="3"/>
    <n v="119700"/>
    <n v="0"/>
    <n v="33651"/>
    <n v="86049"/>
    <n v="0.71887218045112777"/>
    <n v="0"/>
    <s v="Platos mong"/>
    <s v="No Personal"/>
    <s v="Caja"/>
  </r>
  <r>
    <x v="1"/>
    <x v="11"/>
    <x v="1"/>
    <s v="BEB582"/>
    <s v="Kola Roman 400 Ml"/>
    <n v="3"/>
    <n v="14700"/>
    <n v="0"/>
    <n v="3990"/>
    <n v="10710"/>
    <n v="0.72857142857142854"/>
    <n v="0"/>
    <s v="Bebidas"/>
    <s v="Bebidas"/>
    <s v="Bebidas"/>
  </r>
  <r>
    <x v="1"/>
    <x v="11"/>
    <x v="1"/>
    <s v="BEB594"/>
    <s v="Premio 400 Ml"/>
    <n v="3"/>
    <n v="14700"/>
    <n v="0"/>
    <n v="3990"/>
    <n v="10710"/>
    <n v="0.72857142857142854"/>
    <n v="0"/>
    <s v="Bebidas"/>
    <s v="Bebidas"/>
    <s v="Bebidas"/>
  </r>
  <r>
    <x v="1"/>
    <x v="11"/>
    <x v="1"/>
    <s v="BEB610"/>
    <s v="Fusetea Durazno CB (*Extra)"/>
    <n v="3"/>
    <n v="4200"/>
    <n v="0"/>
    <n v="5622"/>
    <n v="-1422"/>
    <n v="-0.33857142857142858"/>
    <n v="0"/>
    <s v="Bebidas"/>
    <s v="Bebidas Cambio de bebida"/>
    <s v="Bebidas"/>
  </r>
  <r>
    <x v="1"/>
    <x v="11"/>
    <x v="1"/>
    <s v="BEB597"/>
    <s v="Fusetea manzana"/>
    <n v="3"/>
    <n v="14700"/>
    <n v="0"/>
    <n v="4680"/>
    <n v="10020"/>
    <n v="0.68163265306122445"/>
    <n v="0"/>
    <s v="Bebidas"/>
    <s v="Bebidas"/>
    <s v="Bebidas"/>
  </r>
  <r>
    <x v="1"/>
    <x v="11"/>
    <x v="1"/>
    <s v="BEB615"/>
    <s v="Premio 400 Ml CB (*Extra)"/>
    <n v="2"/>
    <n v="2800"/>
    <n v="0"/>
    <n v="3790"/>
    <n v="-990"/>
    <n v="-0.35357142857142859"/>
    <n v="0"/>
    <s v="Bebidas"/>
    <s v="Bebidas Cambio de bebida"/>
    <s v="Bebidas"/>
  </r>
  <r>
    <x v="1"/>
    <x v="11"/>
    <x v="1"/>
    <s v="MON330"/>
    <s v="Chop Suey Vegetariano Personal"/>
    <n v="2"/>
    <n v="31800"/>
    <n v="0"/>
    <n v="10932"/>
    <n v="20868"/>
    <n v="0.65622641509433965"/>
    <n v="0"/>
    <s v="Platos mong"/>
    <s v="Personal"/>
    <s v="Caja"/>
  </r>
  <r>
    <x v="1"/>
    <x v="11"/>
    <x v="1"/>
    <s v="MON201"/>
    <s v="Chow Mein Especial Duo"/>
    <n v="2"/>
    <n v="91800"/>
    <n v="0"/>
    <n v="38882"/>
    <n v="52918"/>
    <n v="0.57644880174291935"/>
    <n v="0"/>
    <s v="Platos mong"/>
    <s v="No Personal"/>
    <s v="Caja"/>
  </r>
  <r>
    <x v="1"/>
    <x v="11"/>
    <x v="1"/>
    <s v="MON103"/>
    <s v="Chow Fan Especial megafamiliar"/>
    <n v="2"/>
    <n v="165800"/>
    <n v="0"/>
    <n v="85408"/>
    <n v="80392"/>
    <n v="0.48487334137515076"/>
    <n v="0"/>
    <s v="Platos mong"/>
    <s v="No Personal"/>
    <s v="Caja"/>
  </r>
  <r>
    <x v="1"/>
    <x v="11"/>
    <x v="1"/>
    <s v="CAM03"/>
    <s v="Cambio Papas a la francesa 150 grs (*Extra)"/>
    <n v="2"/>
    <n v="1000"/>
    <n v="0"/>
    <n v="3138"/>
    <n v="-2138"/>
    <n v="-2.1379999999999999"/>
    <n v="0"/>
    <s v="Adición"/>
    <s v="Otro"/>
    <s v="Otro"/>
  </r>
  <r>
    <x v="1"/>
    <x v="11"/>
    <x v="1"/>
    <s v="COMP09"/>
    <s v="COMBO - Papas 120 grs y agua 280 Ml"/>
    <n v="2"/>
    <n v="13800"/>
    <n v="0"/>
    <n v="5834"/>
    <n v="7966"/>
    <n v="0.57724637681159419"/>
    <n v="0"/>
    <s v="Armalo en combo"/>
    <s v="Personal"/>
    <s v="Combo"/>
  </r>
  <r>
    <x v="1"/>
    <x v="11"/>
    <x v="1"/>
    <s v="MON112"/>
    <s v="Chow Fan Camarones Familiar"/>
    <n v="2"/>
    <n v="159800"/>
    <n v="0"/>
    <n v="57630"/>
    <n v="102170"/>
    <n v="0.63936170212765953"/>
    <n v="0"/>
    <s v="Platos mong"/>
    <s v="No Personal"/>
    <s v="Caja"/>
  </r>
  <r>
    <x v="1"/>
    <x v="11"/>
    <x v="1"/>
    <s v="MON312"/>
    <s v="Chop Suey Camaron Familiar"/>
    <n v="2"/>
    <n v="159800"/>
    <n v="0"/>
    <n v="67354"/>
    <n v="92446"/>
    <n v="0.5785106382978723"/>
    <n v="0"/>
    <s v="Platos mong"/>
    <s v="No Personal"/>
    <s v="Caja"/>
  </r>
  <r>
    <x v="1"/>
    <x v="11"/>
    <x v="1"/>
    <s v="BEB617"/>
    <s v="Fusetea mango CB (*Extra)"/>
    <n v="2"/>
    <n v="2800"/>
    <n v="0"/>
    <n v="3792"/>
    <n v="-992"/>
    <n v="-0.35428571428571426"/>
    <n v="0"/>
    <s v="Bebidas"/>
    <s v="Bebidas Cambio de bebida"/>
    <s v="Bebidas"/>
  </r>
  <r>
    <x v="1"/>
    <x v="11"/>
    <x v="1"/>
    <s v="COMC07"/>
    <s v="COMBO ANTOJO"/>
    <n v="2"/>
    <n v="43800"/>
    <n v="0"/>
    <n v="15946"/>
    <n v="27854"/>
    <n v="0.63593607305936073"/>
    <n v="0"/>
    <s v="Combos para compartir"/>
    <s v="No Personal"/>
    <s v="Combo"/>
  </r>
  <r>
    <x v="1"/>
    <x v="11"/>
    <x v="1"/>
    <s v="BEB590"/>
    <s v="Jugo Del Valle Mandarina"/>
    <n v="2"/>
    <n v="9800"/>
    <n v="0"/>
    <n v="3120"/>
    <n v="6680"/>
    <n v="0.68163265306122445"/>
    <n v="0"/>
    <s v="Bebidas"/>
    <s v="Bebidas"/>
    <s v="Bebidas"/>
  </r>
  <r>
    <x v="1"/>
    <x v="11"/>
    <x v="1"/>
    <s v="MON132"/>
    <s v="Chow Fan Valenciano familiar"/>
    <n v="2"/>
    <n v="135800"/>
    <n v="0"/>
    <n v="69310"/>
    <n v="66490"/>
    <n v="0.48961708394698084"/>
    <n v="0"/>
    <s v="Platos mong"/>
    <s v="No Personal"/>
    <s v="Caja"/>
  </r>
  <r>
    <x v="1"/>
    <x v="11"/>
    <x v="1"/>
    <s v="BEB01"/>
    <s v="Coca Cola 250 Ml Normal CB (*Extra)"/>
    <n v="1"/>
    <n v="0"/>
    <n v="0"/>
    <n v="1945"/>
    <n v="-1945"/>
    <n v="0"/>
    <n v="0"/>
    <s v="Bebidas"/>
    <s v="Bebidas Cambio de bebida"/>
    <s v="Bebidas"/>
  </r>
  <r>
    <x v="1"/>
    <x v="11"/>
    <x v="1"/>
    <s v="MON202"/>
    <s v="Chow Mein Especial Familiar"/>
    <n v="1"/>
    <n v="62900"/>
    <n v="0"/>
    <n v="37744"/>
    <n v="25156"/>
    <n v="0.39993640699523053"/>
    <n v="0"/>
    <s v="Platos mong"/>
    <s v="No Personal"/>
    <s v="Caja"/>
  </r>
  <r>
    <x v="1"/>
    <x v="11"/>
    <x v="1"/>
    <s v="COMC05"/>
    <s v="COMBO TODERO (CHOP SUEY)"/>
    <n v="1"/>
    <n v="109900"/>
    <n v="0"/>
    <n v="45484"/>
    <n v="64416"/>
    <n v="0.58613284804367605"/>
    <n v="0"/>
    <s v="Combos para compartir"/>
    <s v="No Personal"/>
    <s v="Combo"/>
  </r>
  <r>
    <x v="1"/>
    <x v="11"/>
    <x v="1"/>
    <s v="MONFIT"/>
    <s v="Mong fit"/>
    <n v="1"/>
    <n v="10900"/>
    <n v="0"/>
    <n v="0"/>
    <n v="10900"/>
    <n v="1"/>
    <n v="0"/>
    <s v="Platos especiales"/>
    <s v="Personal"/>
    <s v="Platos Especiales"/>
  </r>
  <r>
    <x v="1"/>
    <x v="11"/>
    <x v="1"/>
    <s v="MON133"/>
    <s v="Chow fan valenciano megafamiliar"/>
    <n v="1"/>
    <n v="95900"/>
    <n v="0"/>
    <n v="48608"/>
    <n v="47292"/>
    <n v="0.49313868613138684"/>
    <n v="0"/>
    <s v="Platos mong"/>
    <s v="No Personal"/>
    <s v="Caja"/>
  </r>
  <r>
    <x v="1"/>
    <x v="11"/>
    <x v="1"/>
    <s v="MON221"/>
    <s v="Chow Mein Pollo Duo"/>
    <n v="1"/>
    <n v="39900"/>
    <n v="0"/>
    <n v="15895"/>
    <n v="24005"/>
    <n v="0.60162907268170429"/>
    <n v="0"/>
    <s v="Platos mong"/>
    <s v="No Personal"/>
    <s v="Caja"/>
  </r>
  <r>
    <x v="1"/>
    <x v="11"/>
    <x v="1"/>
    <s v="MON122"/>
    <s v="Chow Fan Pollo familiar"/>
    <n v="1"/>
    <n v="55900"/>
    <n v="0"/>
    <n v="24255"/>
    <n v="31645"/>
    <n v="0.5661001788908766"/>
    <n v="0"/>
    <s v="Platos mong"/>
    <s v="No Personal"/>
    <s v="Caja"/>
  </r>
  <r>
    <x v="1"/>
    <x v="11"/>
    <x v="1"/>
    <s v="COMC01"/>
    <s v="COMBO TODERO (CHOW MEIN)"/>
    <n v="1"/>
    <n v="109900"/>
    <n v="0"/>
    <n v="50240"/>
    <n v="59660"/>
    <n v="0.54285714285714282"/>
    <n v="0"/>
    <s v="Combos para compartir"/>
    <s v="No Personal"/>
    <s v="Combo"/>
  </r>
  <r>
    <x v="1"/>
    <x v="11"/>
    <x v="1"/>
    <s v="BEB608"/>
    <s v="Agua Limón 600 Ml CB (*Extra)"/>
    <n v="1"/>
    <n v="1400"/>
    <n v="0"/>
    <n v="1711"/>
    <n v="-311"/>
    <n v="-0.22214285714285714"/>
    <n v="0"/>
    <s v="Bebidas"/>
    <s v="Bebidas Cambio de bebida"/>
    <s v="Bebidas"/>
  </r>
  <r>
    <x v="1"/>
    <x v="11"/>
    <x v="1"/>
    <s v="MON302"/>
    <s v="Chop Suey Especial Familiar"/>
    <n v="1"/>
    <n v="62900"/>
    <n v="0"/>
    <n v="28057"/>
    <n v="34843"/>
    <n v="0.55394276629570749"/>
    <n v="0"/>
    <s v="Platos mong"/>
    <s v="No Personal"/>
    <s v="Caja"/>
  </r>
  <r>
    <x v="1"/>
    <x v="11"/>
    <x v="2"/>
    <s v="ADIC09"/>
    <s v="No deseo (*Extra)"/>
    <n v="157"/>
    <n v="0"/>
    <n v="0"/>
    <n v="0"/>
    <n v="0"/>
    <n v="0"/>
    <n v="0"/>
    <s v="Adición"/>
    <s v="Adición"/>
    <s v="Adición"/>
  </r>
  <r>
    <x v="1"/>
    <x v="11"/>
    <x v="2"/>
    <s v="BEB00"/>
    <s v="Coca Cola 250 Ml Zero CB (*Extra)"/>
    <n v="84"/>
    <n v="0"/>
    <n v="0"/>
    <n v="0"/>
    <n v="0"/>
    <n v="0"/>
    <n v="0"/>
    <s v="Bebidas"/>
    <s v="Bebidas Cambio de bebida"/>
    <s v="Bebidas"/>
  </r>
  <r>
    <x v="1"/>
    <x v="11"/>
    <x v="2"/>
    <s v="COMP01"/>
    <s v="COMBO 1- Valenciano personal"/>
    <n v="59"/>
    <n v="1229700"/>
    <n v="-357400"/>
    <n v="567993"/>
    <n v="661707"/>
    <n v="0.53810441571114909"/>
    <n v="0.29063999349434821"/>
    <s v="Combos personales"/>
    <s v="Personal"/>
    <s v="Combo"/>
  </r>
  <r>
    <x v="1"/>
    <x v="11"/>
    <x v="2"/>
    <s v="COMP14"/>
    <s v="COMBO ESTUDIANTIL- Chow fan 250 grs"/>
    <n v="37"/>
    <n v="664500"/>
    <n v="-182800"/>
    <n v="0"/>
    <n v="664500"/>
    <n v="1"/>
    <n v="0.27509405568096312"/>
    <s v="Combos personales"/>
    <s v="Personal"/>
    <s v="Caja"/>
  </r>
  <r>
    <x v="1"/>
    <x v="11"/>
    <x v="2"/>
    <s v="ADIC10"/>
    <s v="Cubiertos + servilletas (*Extra)"/>
    <n v="24"/>
    <n v="9600"/>
    <n v="0"/>
    <n v="7704"/>
    <n v="1896"/>
    <n v="0.19750000000000001"/>
    <n v="0"/>
    <s v="Adición"/>
    <s v="Adición"/>
    <s v="Adición"/>
  </r>
  <r>
    <x v="1"/>
    <x v="11"/>
    <x v="2"/>
    <s v="COMP02"/>
    <s v="COMBO 2 - Chow fan especial personal"/>
    <n v="24"/>
    <n v="519850"/>
    <n v="-149750"/>
    <n v="228024"/>
    <n v="291826"/>
    <n v="0.56136577858997783"/>
    <n v="0.28806386457632011"/>
    <s v="Combos personales"/>
    <s v="Personal"/>
    <s v="Combo"/>
  </r>
  <r>
    <x v="1"/>
    <x v="11"/>
    <x v="2"/>
    <s v="COMP13"/>
    <s v="COMBO ARMA TU PLATO"/>
    <n v="20"/>
    <n v="481300"/>
    <n v="-156700"/>
    <n v="0"/>
    <n v="481300"/>
    <n v="1"/>
    <n v="0.32557656347392477"/>
    <s v="Combos personales"/>
    <s v="Personal"/>
    <s v="Combo"/>
  </r>
  <r>
    <x v="1"/>
    <x v="11"/>
    <x v="2"/>
    <s v="CAM04"/>
    <s v="Lumpia cambio (*Extra)"/>
    <n v="17"/>
    <n v="0"/>
    <n v="0"/>
    <n v="34833"/>
    <n v="-34833"/>
    <n v="0"/>
    <n v="0"/>
    <s v="Adición"/>
    <s v="Otro"/>
    <s v="Otro"/>
  </r>
  <r>
    <x v="1"/>
    <x v="11"/>
    <x v="2"/>
    <s v="ATP01"/>
    <s v="Pollo a la naranja (*Extra)"/>
    <n v="16"/>
    <n v="0"/>
    <n v="0"/>
    <n v="87856"/>
    <n v="-87856"/>
    <n v="0"/>
    <n v="0"/>
    <s v="Arma tu plato"/>
    <s v="Personal"/>
    <s v="Caja"/>
  </r>
  <r>
    <x v="1"/>
    <x v="11"/>
    <x v="2"/>
    <s v="TOTEATDVYERROR"/>
    <s v="ERR RAPPI: Agua brisa 280 ml"/>
    <n v="14"/>
    <n v="0"/>
    <n v="0"/>
    <n v="0"/>
    <n v="0"/>
    <n v="0"/>
    <n v="0"/>
    <s v="Otro"/>
    <s v="Otro"/>
    <s v="Otro"/>
  </r>
  <r>
    <x v="1"/>
    <x v="11"/>
    <x v="2"/>
    <s v="COMP03"/>
    <s v="COMBO 3 - Chop suey especial personal"/>
    <n v="12"/>
    <n v="307400"/>
    <n v="-87400"/>
    <n v="114840"/>
    <n v="192560"/>
    <n v="0.62641509433962261"/>
    <n v="0.28432010409889397"/>
    <s v="Combos personales"/>
    <s v="Personal"/>
    <s v="Combo"/>
  </r>
  <r>
    <x v="1"/>
    <x v="11"/>
    <x v="2"/>
    <s v="ATP06"/>
    <s v="Arroz Frito ATP (*Extra)"/>
    <n v="9"/>
    <n v="0"/>
    <n v="0"/>
    <n v="11538"/>
    <n v="-11538"/>
    <n v="0"/>
    <n v="0"/>
    <s v="Arma tu plato"/>
    <s v="Personal"/>
    <s v="Caja"/>
  </r>
  <r>
    <x v="1"/>
    <x v="11"/>
    <x v="2"/>
    <s v="CAM03"/>
    <s v="Cambio Papas a la francesa 150 grs (*Extra)"/>
    <n v="9"/>
    <n v="4500"/>
    <n v="0"/>
    <n v="14121"/>
    <n v="-9621"/>
    <n v="-2.1379999999999999"/>
    <n v="0"/>
    <s v="Adición"/>
    <s v="Otro"/>
    <s v="Otro"/>
  </r>
  <r>
    <x v="1"/>
    <x v="11"/>
    <x v="2"/>
    <s v="COMP05"/>
    <s v="COMBO 5 - Chow Mein especial personal"/>
    <n v="9"/>
    <n v="228450"/>
    <n v="-67650"/>
    <n v="101277"/>
    <n v="127173"/>
    <n v="0.55667760998030202"/>
    <n v="0.29612606697307947"/>
    <s v="Combos personales"/>
    <s v="Personal"/>
    <s v="Combo"/>
  </r>
  <r>
    <x v="1"/>
    <x v="11"/>
    <x v="2"/>
    <s v="ADIC08"/>
    <s v="Salsa agridulce Roja (*Extra)"/>
    <n v="8"/>
    <n v="8000"/>
    <n v="0"/>
    <n v="472"/>
    <n v="7528"/>
    <n v="0.94099999999999995"/>
    <n v="0"/>
    <s v="Adición"/>
    <s v="Adición"/>
    <s v="Adición"/>
  </r>
  <r>
    <x v="1"/>
    <x v="11"/>
    <x v="2"/>
    <s v="TOTEATDVYERROR"/>
    <s v="ERR RAPPI: Coca cola 400 ml"/>
    <n v="7"/>
    <n v="14000"/>
    <n v="0"/>
    <n v="0"/>
    <n v="14000"/>
    <n v="1"/>
    <n v="0"/>
    <s v="Otro"/>
    <s v="Otro"/>
    <s v="Otro"/>
  </r>
  <r>
    <x v="1"/>
    <x v="11"/>
    <x v="2"/>
    <s v="ATP10"/>
    <s v="Cerdo agridulce (*Extra)"/>
    <n v="7"/>
    <n v="0"/>
    <n v="0"/>
    <n v="38269"/>
    <n v="-38269"/>
    <n v="0"/>
    <n v="0"/>
    <s v="Arma tu plato"/>
    <s v="Personal"/>
    <s v="Caja"/>
  </r>
  <r>
    <x v="1"/>
    <x v="11"/>
    <x v="2"/>
    <s v="ATP09"/>
    <s v="Res brócoli (*Extra)"/>
    <n v="6"/>
    <n v="0"/>
    <n v="0"/>
    <n v="19932"/>
    <n v="-19932"/>
    <n v="0"/>
    <n v="0"/>
    <s v="Arma tu plato"/>
    <s v="Personal"/>
    <s v="Caja"/>
  </r>
  <r>
    <x v="1"/>
    <x v="11"/>
    <x v="2"/>
    <s v="ATP04"/>
    <s v="Chop suey (*Extra)"/>
    <n v="6"/>
    <n v="0"/>
    <n v="0"/>
    <n v="15804"/>
    <n v="-15804"/>
    <n v="0"/>
    <n v="0"/>
    <s v="Arma tu plato"/>
    <s v="Personal"/>
    <s v="Caja"/>
  </r>
  <r>
    <x v="1"/>
    <x v="11"/>
    <x v="2"/>
    <s v="MONE700"/>
    <s v="Mong Express Chop suey pollo"/>
    <n v="5"/>
    <n v="91900"/>
    <n v="-27600"/>
    <n v="40915"/>
    <n v="50985"/>
    <n v="0.55478781284004353"/>
    <n v="0.30032644178454843"/>
    <s v="Mong Express"/>
    <s v="Personal"/>
    <s v="Caja"/>
  </r>
  <r>
    <x v="1"/>
    <x v="11"/>
    <x v="2"/>
    <s v="ADIC07"/>
    <s v="Lumpia X 1 (*Extra)"/>
    <n v="5"/>
    <n v="22500"/>
    <n v="0"/>
    <n v="7845"/>
    <n v="14655"/>
    <n v="0.65133333333333332"/>
    <n v="0"/>
    <s v="Adición"/>
    <s v="Adición"/>
    <s v="Adición"/>
  </r>
  <r>
    <x v="1"/>
    <x v="11"/>
    <x v="2"/>
    <s v="ADIC01"/>
    <s v="Papas a la Francesa ADIC (*Extra)"/>
    <n v="5"/>
    <n v="28000"/>
    <n v="0"/>
    <n v="10245"/>
    <n v="17755"/>
    <n v="0.63410714285714287"/>
    <n v="0"/>
    <s v="Adición"/>
    <s v="Adición"/>
    <s v="Adición"/>
  </r>
  <r>
    <x v="1"/>
    <x v="11"/>
    <x v="2"/>
    <s v="ATP02"/>
    <s v="Camarones apanados 7 (*Extra)"/>
    <n v="5"/>
    <n v="10000"/>
    <n v="0"/>
    <n v="15540"/>
    <n v="-5540"/>
    <n v="-0.55400000000000005"/>
    <n v="0"/>
    <s v="Arma tu plato"/>
    <s v="Personal"/>
    <s v="Caja"/>
  </r>
  <r>
    <x v="1"/>
    <x v="11"/>
    <x v="2"/>
    <s v="TOTEATDVYERROR"/>
    <s v="ERR RAPPI: Coca cola zero 400 ml"/>
    <n v="5"/>
    <n v="10000"/>
    <n v="0"/>
    <n v="0"/>
    <n v="10000"/>
    <n v="1"/>
    <n v="0"/>
    <s v="Otro"/>
    <s v="Otro"/>
    <s v="Otro"/>
  </r>
  <r>
    <x v="1"/>
    <x v="11"/>
    <x v="2"/>
    <s v="ATP05"/>
    <s v="Chow mein (*Extra)"/>
    <n v="5"/>
    <n v="0"/>
    <n v="0"/>
    <n v="15485"/>
    <n v="-15485"/>
    <n v="0"/>
    <n v="0"/>
    <s v="Arma tu plato"/>
    <s v="Personal"/>
    <s v="Caja"/>
  </r>
  <r>
    <x v="1"/>
    <x v="11"/>
    <x v="2"/>
    <s v="TOTEATDVYERROR"/>
    <s v="ERR RAPPI: Fuze tea durazno"/>
    <n v="5"/>
    <n v="7000"/>
    <n v="0"/>
    <n v="0"/>
    <n v="7000"/>
    <n v="1"/>
    <n v="0"/>
    <s v="Otro"/>
    <s v="Otro"/>
    <s v="Otro"/>
  </r>
  <r>
    <x v="1"/>
    <x v="11"/>
    <x v="2"/>
    <s v="ADIC06"/>
    <s v="Arroz Frito ADIC (*Extra)"/>
    <n v="4"/>
    <n v="19200"/>
    <n v="0"/>
    <n v="5128"/>
    <n v="14072"/>
    <n v="0.73291666666666666"/>
    <n v="0"/>
    <s v="Adición"/>
    <s v="Adición"/>
    <s v="Adición"/>
  </r>
  <r>
    <x v="1"/>
    <x v="11"/>
    <x v="2"/>
    <s v="ADIC02"/>
    <s v="Pollo presa ADIC (*Extra)"/>
    <n v="4"/>
    <n v="30400"/>
    <n v="0"/>
    <n v="11396"/>
    <n v="19004"/>
    <n v="0.62513157894736837"/>
    <n v="0"/>
    <s v="Adición"/>
    <s v="Adición"/>
    <s v="Adición"/>
  </r>
  <r>
    <x v="1"/>
    <x v="11"/>
    <x v="2"/>
    <s v="TOTEATDVYERROR"/>
    <s v="ERR RAPPI: Fuze tea limón"/>
    <n v="3"/>
    <n v="4200"/>
    <n v="0"/>
    <n v="0"/>
    <n v="4200"/>
    <n v="1"/>
    <n v="0"/>
    <s v="Otro"/>
    <s v="Otro"/>
    <s v="Otro"/>
  </r>
  <r>
    <x v="1"/>
    <x v="11"/>
    <x v="2"/>
    <s v="ADIC564"/>
    <s v="Adición Presa de pollo"/>
    <n v="3"/>
    <n v="23700"/>
    <n v="0"/>
    <n v="7392"/>
    <n v="16308"/>
    <n v="0.68810126582278486"/>
    <n v="0"/>
    <s v="Adición"/>
    <s v="Adición"/>
    <s v="Adición"/>
  </r>
  <r>
    <x v="1"/>
    <x v="11"/>
    <x v="2"/>
    <s v="COMC02"/>
    <s v="COMBO AMIGOS"/>
    <n v="3"/>
    <n v="167600"/>
    <n v="-51100"/>
    <n v="70914"/>
    <n v="96686"/>
    <n v="0.57688544152744625"/>
    <n v="0.30489260143198088"/>
    <s v="Combos para compartir"/>
    <s v="No Personal"/>
    <s v="Combo"/>
  </r>
  <r>
    <x v="1"/>
    <x v="11"/>
    <x v="2"/>
    <s v="COMC04"/>
    <s v="COMBO FAMIAMIGOS"/>
    <n v="3"/>
    <n v="237050"/>
    <n v="-65650"/>
    <n v="117663"/>
    <n v="119387"/>
    <n v="0.50363636363636366"/>
    <n v="0.27694579202699854"/>
    <s v="Combos para compartir"/>
    <s v="No Personal"/>
    <s v="Combo"/>
  </r>
  <r>
    <x v="1"/>
    <x v="11"/>
    <x v="2"/>
    <s v="ADIC11"/>
    <s v="Salsa Teriyaki (*Extra)"/>
    <n v="3"/>
    <n v="3000"/>
    <n v="0"/>
    <n v="0"/>
    <n v="3000"/>
    <n v="1"/>
    <n v="0"/>
    <s v="Adición"/>
    <s v="Adición"/>
    <s v="Adición"/>
  </r>
  <r>
    <x v="1"/>
    <x v="11"/>
    <x v="2"/>
    <s v="ADIC04"/>
    <s v="Pollo picado (*Extra)"/>
    <n v="2"/>
    <n v="16000"/>
    <n v="0"/>
    <n v="3494"/>
    <n v="12506"/>
    <n v="0.78162500000000001"/>
    <n v="0"/>
    <s v="Adición"/>
    <s v="Adición"/>
    <s v="Adición"/>
  </r>
  <r>
    <x v="1"/>
    <x v="11"/>
    <x v="2"/>
    <s v="COMP04"/>
    <s v="COMBO 4 - arroz vegetales especial"/>
    <n v="2"/>
    <n v="65800"/>
    <n v="0"/>
    <n v="20494"/>
    <n v="45306"/>
    <n v="0.68854103343465045"/>
    <n v="0"/>
    <s v="Combos personales"/>
    <s v="Personal"/>
    <s v="Combo"/>
  </r>
  <r>
    <x v="1"/>
    <x v="11"/>
    <x v="2"/>
    <s v="ENT04"/>
    <s v="LUMPIAS X 2"/>
    <n v="2"/>
    <n v="21800"/>
    <n v="0"/>
    <n v="6278"/>
    <n v="15522"/>
    <n v="0.71201834862385316"/>
    <n v="0"/>
    <s v="Entradas"/>
    <s v="Otro"/>
    <s v="Otro"/>
  </r>
  <r>
    <x v="1"/>
    <x v="11"/>
    <x v="2"/>
    <s v="ENT03"/>
    <s v="CAMARONES APANADOS"/>
    <n v="2"/>
    <n v="53800"/>
    <n v="0"/>
    <n v="12430"/>
    <n v="41370"/>
    <n v="0.76895910780669141"/>
    <n v="0"/>
    <s v="Entradas"/>
    <s v="Otro"/>
    <s v="Otro"/>
  </r>
  <r>
    <x v="1"/>
    <x v="11"/>
    <x v="2"/>
    <s v="COMC06"/>
    <s v="COMBO FAMILIAR"/>
    <n v="2"/>
    <n v="201300"/>
    <n v="-58500"/>
    <n v="93560"/>
    <n v="107740"/>
    <n v="0.53522106308991557"/>
    <n v="0.29061102831594637"/>
    <s v="Combos para compartir"/>
    <s v="No Personal"/>
    <s v="Combo"/>
  </r>
  <r>
    <x v="1"/>
    <x v="11"/>
    <x v="2"/>
    <s v="ADIC03"/>
    <s v="Camarones (*Extra)"/>
    <n v="2"/>
    <n v="15200"/>
    <n v="0"/>
    <n v="6216"/>
    <n v="8984"/>
    <n v="0.59105263157894739"/>
    <n v="0"/>
    <s v="Adición"/>
    <s v="Adición"/>
    <s v="Adición"/>
  </r>
  <r>
    <x v="1"/>
    <x v="11"/>
    <x v="2"/>
    <s v="ATP08"/>
    <s v="Pollo Apanado ATP (*Extra)"/>
    <n v="1"/>
    <n v="0"/>
    <n v="0"/>
    <n v="5263"/>
    <n v="-5263"/>
    <n v="0"/>
    <n v="0"/>
    <s v="Arma tu plato"/>
    <s v="Personal"/>
    <s v="Caja"/>
  </r>
  <r>
    <x v="1"/>
    <x v="11"/>
    <x v="2"/>
    <s v="BEB592"/>
    <s v="Coca Cola 400 Ml Zero"/>
    <n v="1"/>
    <n v="5500"/>
    <n v="0"/>
    <n v="1448"/>
    <n v="4052"/>
    <n v="0.73672727272727268"/>
    <n v="0"/>
    <s v="Bebidas"/>
    <s v="Bebidas"/>
    <s v="Bebidas"/>
  </r>
  <r>
    <x v="1"/>
    <x v="11"/>
    <x v="2"/>
    <s v="TOTEATDVYERROR"/>
    <s v="ERR RAPPI: Agua brisa nomal 600 ml"/>
    <n v="1"/>
    <n v="1400"/>
    <n v="0"/>
    <n v="0"/>
    <n v="1400"/>
    <n v="1"/>
    <n v="0"/>
    <s v="Otro"/>
    <s v="Otro"/>
    <s v="Otro"/>
  </r>
  <r>
    <x v="1"/>
    <x v="11"/>
    <x v="2"/>
    <s v="ADIC05"/>
    <s v="Vegetales salteados (*Extra)"/>
    <n v="1"/>
    <n v="6700"/>
    <n v="0"/>
    <n v="7"/>
    <n v="6693"/>
    <n v="0.99895522388059699"/>
    <n v="0"/>
    <s v="Adición"/>
    <s v="Adición"/>
    <s v="Adición"/>
  </r>
  <r>
    <x v="1"/>
    <x v="11"/>
    <x v="2"/>
    <s v="ADIC562"/>
    <s v="Adición Pasta"/>
    <n v="1"/>
    <n v="5900"/>
    <n v="0"/>
    <n v="3010"/>
    <n v="2890"/>
    <n v="0.48983050847457626"/>
    <n v="0"/>
    <s v="Adición"/>
    <s v="Adición"/>
    <s v="Adición"/>
  </r>
  <r>
    <x v="1"/>
    <x v="11"/>
    <x v="2"/>
    <s v="BEB580"/>
    <s v="Coca Cola 250 Ml Normal"/>
    <n v="1"/>
    <n v="3900"/>
    <n v="0"/>
    <n v="1163"/>
    <n v="2737"/>
    <n v="0.70179487179487177"/>
    <n v="0"/>
    <s v="Bebidas"/>
    <s v="Bebidas"/>
    <s v="Bebidas"/>
  </r>
  <r>
    <x v="1"/>
    <x v="11"/>
    <x v="2"/>
    <s v="COMP12"/>
    <s v="Combo Sunkee"/>
    <n v="1"/>
    <n v="38900"/>
    <n v="0"/>
    <n v="32801"/>
    <n v="6099"/>
    <n v="0.1567866323907455"/>
    <n v="0"/>
    <s v="Combos personales"/>
    <s v="Personal"/>
    <s v="Combo"/>
  </r>
  <r>
    <x v="1"/>
    <x v="11"/>
    <x v="2"/>
    <s v="ADIC563"/>
    <s v="Adición Arroz Frito"/>
    <n v="1"/>
    <n v="6900"/>
    <n v="0"/>
    <n v="1282"/>
    <n v="5618"/>
    <n v="0.81420289855072459"/>
    <n v="0"/>
    <s v="Adición"/>
    <s v="Adición"/>
    <s v="Adición"/>
  </r>
  <r>
    <x v="1"/>
    <x v="11"/>
    <x v="2"/>
    <s v="ADIC560"/>
    <s v="Adición Papa frita"/>
    <n v="1"/>
    <n v="5900"/>
    <n v="0"/>
    <n v="4098"/>
    <n v="1802"/>
    <n v="0.30542372881355934"/>
    <n v="0"/>
    <s v="Adición"/>
    <s v="Adición"/>
    <s v="Adición"/>
  </r>
  <r>
    <x v="1"/>
    <x v="0"/>
    <x v="1"/>
    <s v="COMP01"/>
    <s v="COMBO 1- Valenciano personal"/>
    <n v="192"/>
    <n v="4193229"/>
    <n v="-11571"/>
    <n v="1848384"/>
    <n v="2344845"/>
    <n v="0.5591979355289205"/>
    <n v="2.7594486253910769E-3"/>
    <s v="Combos personales"/>
    <s v="Personal"/>
    <s v="Combo"/>
  </r>
  <r>
    <x v="1"/>
    <x v="0"/>
    <x v="1"/>
    <s v="MONE700"/>
    <s v="Mong Express Chop suey pollo"/>
    <n v="159"/>
    <n v="2926689"/>
    <n v="-78411"/>
    <n v="1301097"/>
    <n v="1625592"/>
    <n v="0.55543721932873635"/>
    <n v="2.6791708992653474E-2"/>
    <s v="Mong Express"/>
    <s v="Personal"/>
    <s v="Caja"/>
  </r>
  <r>
    <x v="1"/>
    <x v="0"/>
    <x v="1"/>
    <s v="MON450"/>
    <s v="Arma tu plato"/>
    <n v="154"/>
    <n v="3834600"/>
    <n v="0"/>
    <n v="0"/>
    <n v="3834600"/>
    <n v="1"/>
    <n v="0"/>
    <s v="Arma tu plato"/>
    <s v="Personal"/>
    <s v="Caja"/>
  </r>
  <r>
    <x v="1"/>
    <x v="0"/>
    <x v="1"/>
    <s v="ATP01"/>
    <s v="Pollo a la naranja (*Extra)"/>
    <n v="107"/>
    <n v="0"/>
    <n v="0"/>
    <n v="587537"/>
    <n v="-587537"/>
    <n v="0"/>
    <n v="0"/>
    <s v="Arma tu plato"/>
    <s v="Personal"/>
    <s v="Caja"/>
  </r>
  <r>
    <x v="1"/>
    <x v="0"/>
    <x v="1"/>
    <s v="ENT04"/>
    <s v="LUMPIAS X 2"/>
    <n v="105"/>
    <n v="926257"/>
    <n v="-8243"/>
    <n v="329595"/>
    <n v="596662"/>
    <n v="0.64416463249400546"/>
    <n v="8.8992579813162009E-3"/>
    <s v="Entradas"/>
    <s v="Otro"/>
    <s v="Otro"/>
  </r>
  <r>
    <x v="1"/>
    <x v="0"/>
    <x v="1"/>
    <s v="COMP02"/>
    <s v="COMBO 2 - Chow fan especial personal"/>
    <n v="102"/>
    <n v="2430010"/>
    <n v="-7790"/>
    <n v="969102"/>
    <n v="1460908"/>
    <n v="0.60119423376858527"/>
    <n v="3.205748124493315E-3"/>
    <s v="Combos personales"/>
    <s v="Personal"/>
    <s v="Combo"/>
  </r>
  <r>
    <x v="1"/>
    <x v="0"/>
    <x v="1"/>
    <s v="MONE701"/>
    <s v="Mong Express Chow fan"/>
    <n v="101"/>
    <n v="1843119"/>
    <n v="-65781"/>
    <n v="0"/>
    <n v="1843119"/>
    <n v="1"/>
    <n v="3.5690044972679462E-2"/>
    <s v="Mong Express"/>
    <s v="Personal"/>
    <s v="Caja"/>
  </r>
  <r>
    <x v="1"/>
    <x v="0"/>
    <x v="1"/>
    <s v="COMP03"/>
    <s v="COMBO 3 - Chop suey especial personal"/>
    <n v="88"/>
    <n v="2364539"/>
    <n v="-2661"/>
    <n v="842160"/>
    <n v="1522379"/>
    <n v="0.64383755142122845"/>
    <n v="1.1253779277905756E-3"/>
    <s v="Combos personales"/>
    <s v="Personal"/>
    <s v="Combo"/>
  </r>
  <r>
    <x v="1"/>
    <x v="0"/>
    <x v="1"/>
    <s v="ATP10"/>
    <s v="Cerdo agridulce (*Extra)"/>
    <n v="62"/>
    <n v="0"/>
    <n v="0"/>
    <n v="338954"/>
    <n v="-338954"/>
    <n v="0"/>
    <n v="0"/>
    <s v="Arma tu plato"/>
    <s v="Personal"/>
    <s v="Caja"/>
  </r>
  <r>
    <x v="1"/>
    <x v="0"/>
    <x v="1"/>
    <s v="COMP05"/>
    <s v="COMBO 5 - Chow Mein especial personal"/>
    <n v="57"/>
    <n v="1533300"/>
    <n v="0"/>
    <n v="641421"/>
    <n v="891879"/>
    <n v="0.58167286245353156"/>
    <n v="0"/>
    <s v="Combos personales"/>
    <s v="Personal"/>
    <s v="Combo"/>
  </r>
  <r>
    <x v="1"/>
    <x v="0"/>
    <x v="1"/>
    <s v="BEB585"/>
    <s v="Agua Normal 600 Ml"/>
    <n v="56"/>
    <n v="273911"/>
    <n v="-489"/>
    <n v="61320"/>
    <n v="212591"/>
    <n v="0.77613166320447158"/>
    <n v="1.7852514137803885E-3"/>
    <s v="Bebidas"/>
    <s v="Bebidas"/>
    <s v="Bebidas"/>
  </r>
  <r>
    <x v="1"/>
    <x v="0"/>
    <x v="1"/>
    <s v="BEB620"/>
    <s v="Agua 280 ml CB (*Extra)"/>
    <n v="54"/>
    <n v="0"/>
    <n v="0"/>
    <n v="46872"/>
    <n v="-46872"/>
    <n v="0"/>
    <n v="0"/>
    <s v="Bebidas"/>
    <s v="Bebidas Cambio de bebida"/>
    <s v="Bebidas"/>
  </r>
  <r>
    <x v="1"/>
    <x v="0"/>
    <x v="1"/>
    <s v="ATP02"/>
    <s v="Camarones apanados 7 (*Extra)"/>
    <n v="49"/>
    <n v="98000"/>
    <n v="0"/>
    <n v="152292"/>
    <n v="-54292"/>
    <n v="-0.55400000000000005"/>
    <n v="0"/>
    <s v="Arma tu plato"/>
    <s v="Personal"/>
    <s v="Caja"/>
  </r>
  <r>
    <x v="1"/>
    <x v="0"/>
    <x v="1"/>
    <s v="BEB581"/>
    <s v="Coca Cola 400 Ml Normal"/>
    <n v="49"/>
    <n v="266527"/>
    <n v="-2973"/>
    <n v="83055"/>
    <n v="183472"/>
    <n v="0.68838053930746224"/>
    <n v="1.1154592217674007E-2"/>
    <s v="Bebidas"/>
    <s v="Bebidas"/>
    <s v="Bebidas"/>
  </r>
  <r>
    <x v="1"/>
    <x v="0"/>
    <x v="1"/>
    <s v="COMP04"/>
    <s v="COMBO 4 - arroz vegetales especial"/>
    <n v="48"/>
    <n v="1386595"/>
    <n v="-605"/>
    <n v="491856"/>
    <n v="894739"/>
    <n v="0.64527782084891405"/>
    <n v="4.3632062714779731E-4"/>
    <s v="Combos personales"/>
    <s v="Personal"/>
    <s v="Combo"/>
  </r>
  <r>
    <x v="1"/>
    <x v="0"/>
    <x v="1"/>
    <s v="ATP05"/>
    <s v="Chow mein (*Extra)"/>
    <n v="45"/>
    <n v="0"/>
    <n v="0"/>
    <n v="139365"/>
    <n v="-139365"/>
    <n v="0"/>
    <n v="0"/>
    <s v="Arma tu plato"/>
    <s v="Personal"/>
    <s v="Caja"/>
  </r>
  <r>
    <x v="1"/>
    <x v="0"/>
    <x v="1"/>
    <s v="ATP03"/>
    <s v="Arroz vegetales (*Extra)"/>
    <n v="44"/>
    <n v="88000"/>
    <n v="0"/>
    <n v="89540"/>
    <n v="-1540"/>
    <n v="-1.7500000000000002E-2"/>
    <n v="0"/>
    <s v="Arma tu plato"/>
    <s v="Personal"/>
    <s v="Caja"/>
  </r>
  <r>
    <x v="1"/>
    <x v="0"/>
    <x v="1"/>
    <s v="ATP09"/>
    <s v="Res brócoli (*Extra)"/>
    <n v="42"/>
    <n v="0"/>
    <n v="0"/>
    <n v="139524"/>
    <n v="-139524"/>
    <n v="0"/>
    <n v="0"/>
    <s v="Arma tu plato"/>
    <s v="Personal"/>
    <s v="Caja"/>
  </r>
  <r>
    <x v="1"/>
    <x v="0"/>
    <x v="1"/>
    <s v="BEB00"/>
    <s v="Coca Cola 250 Ml Zero CB (*Extra)"/>
    <n v="39"/>
    <n v="0"/>
    <n v="0"/>
    <n v="0"/>
    <n v="0"/>
    <n v="0"/>
    <n v="0"/>
    <s v="Bebidas"/>
    <s v="Bebidas Cambio de bebida"/>
    <s v="Bebidas"/>
  </r>
  <r>
    <x v="1"/>
    <x v="0"/>
    <x v="1"/>
    <s v="ATP04"/>
    <s v="Chop suey (*Extra)"/>
    <n v="36"/>
    <n v="0"/>
    <n v="0"/>
    <n v="94824"/>
    <n v="-94824"/>
    <n v="0"/>
    <n v="0"/>
    <s v="Arma tu plato"/>
    <s v="Personal"/>
    <s v="Caja"/>
  </r>
  <r>
    <x v="1"/>
    <x v="0"/>
    <x v="1"/>
    <s v="MON300"/>
    <s v="Chop suey especial personal"/>
    <n v="35"/>
    <n v="696500"/>
    <n v="0"/>
    <n v="239330"/>
    <n v="457170"/>
    <n v="0.65638190954773867"/>
    <n v="0"/>
    <s v="Platos mong"/>
    <s v="Personal"/>
    <s v="Caja"/>
  </r>
  <r>
    <x v="1"/>
    <x v="0"/>
    <x v="1"/>
    <s v="BEB580"/>
    <s v="Coca Cola 250 Ml Normal"/>
    <n v="30"/>
    <n v="105000"/>
    <n v="0"/>
    <n v="34890"/>
    <n v="70110"/>
    <n v="0.6677142857142857"/>
    <n v="0"/>
    <s v="Bebidas"/>
    <s v="Bebidas"/>
    <s v="Bebidas"/>
  </r>
  <r>
    <x v="1"/>
    <x v="0"/>
    <x v="1"/>
    <s v="ATP08"/>
    <s v="Pollo Apanado ATP (*Extra)"/>
    <n v="30"/>
    <n v="0"/>
    <n v="0"/>
    <n v="157890"/>
    <n v="-157890"/>
    <n v="0"/>
    <n v="0"/>
    <s v="Arma tu plato"/>
    <s v="Personal"/>
    <s v="Caja"/>
  </r>
  <r>
    <x v="1"/>
    <x v="0"/>
    <x v="1"/>
    <s v="ATP06"/>
    <s v="Arroz Frito ATP (*Extra)"/>
    <n v="29"/>
    <n v="0"/>
    <n v="0"/>
    <n v="37178"/>
    <n v="-37178"/>
    <n v="0"/>
    <n v="0"/>
    <s v="Arma tu plato"/>
    <s v="Personal"/>
    <s v="Caja"/>
  </r>
  <r>
    <x v="1"/>
    <x v="0"/>
    <x v="1"/>
    <s v="ADIC564"/>
    <s v="Adición Presa de pollo"/>
    <n v="28"/>
    <n v="192933"/>
    <n v="-267"/>
    <n v="68992"/>
    <n v="123941"/>
    <n v="0.64240435798956119"/>
    <n v="1.3839001104010201E-3"/>
    <s v="Adición"/>
    <s v="Adición"/>
    <s v="Adición"/>
  </r>
  <r>
    <x v="1"/>
    <x v="0"/>
    <x v="1"/>
    <s v="MON100"/>
    <s v="Chow Fan Especial Personal"/>
    <n v="28"/>
    <n v="501200"/>
    <n v="0"/>
    <n v="189504"/>
    <n v="311696"/>
    <n v="0.62189944134078212"/>
    <n v="0"/>
    <s v="Platos mong"/>
    <s v="Personal"/>
    <s v="Caja"/>
  </r>
  <r>
    <x v="1"/>
    <x v="0"/>
    <x v="1"/>
    <s v="MON200"/>
    <s v="Chow Mein Especial Personal"/>
    <n v="26"/>
    <n v="517400"/>
    <n v="0"/>
    <n v="221546"/>
    <n v="295854"/>
    <n v="0.57180904522613063"/>
    <n v="0"/>
    <s v="Platos mong"/>
    <s v="Personal"/>
    <s v="Caja"/>
  </r>
  <r>
    <x v="1"/>
    <x v="0"/>
    <x v="1"/>
    <s v="MON500"/>
    <s v="Arroz vegetales especial personal"/>
    <n v="24"/>
    <n v="549052"/>
    <n v="-548"/>
    <n v="180336"/>
    <n v="368716"/>
    <n v="0.67155023567895211"/>
    <n v="9.9808397018861595E-4"/>
    <s v="Platos mong"/>
    <s v="Personal"/>
    <s v="Caja"/>
  </r>
  <r>
    <x v="1"/>
    <x v="0"/>
    <x v="1"/>
    <s v="MON320"/>
    <s v="Chop Suey Pollo Personal"/>
    <n v="23"/>
    <n v="410000"/>
    <n v="-1700"/>
    <n v="125603"/>
    <n v="284397"/>
    <n v="0.69365121951219511"/>
    <n v="4.1463414634146344E-3"/>
    <s v="Platos mong"/>
    <s v="Personal"/>
    <s v="Caja"/>
  </r>
  <r>
    <x v="1"/>
    <x v="0"/>
    <x v="1"/>
    <s v="COMC04"/>
    <s v="COMBO FAMIAMIGOS"/>
    <n v="21"/>
    <n v="1677900"/>
    <n v="0"/>
    <n v="823641"/>
    <n v="854259"/>
    <n v="0.50912390488110137"/>
    <n v="0"/>
    <s v="Combos para compartir"/>
    <s v="No Personal"/>
    <s v="Combo"/>
  </r>
  <r>
    <x v="1"/>
    <x v="0"/>
    <x v="1"/>
    <s v="MON220"/>
    <s v="Chow Mein Pollo Personal"/>
    <n v="21"/>
    <n v="375900"/>
    <n v="0"/>
    <n v="149961"/>
    <n v="225939"/>
    <n v="0.60106145251396648"/>
    <n v="0"/>
    <s v="Platos mong"/>
    <s v="Personal"/>
    <s v="Caja"/>
  </r>
  <r>
    <x v="1"/>
    <x v="0"/>
    <x v="1"/>
    <s v="MON101"/>
    <s v="Chow fan especial duo"/>
    <n v="20"/>
    <n v="829698"/>
    <n v="-8302"/>
    <n v="401060"/>
    <n v="428638"/>
    <n v="0.51661930003447032"/>
    <n v="1.0006050394239832E-2"/>
    <s v="Platos mong"/>
    <s v="No Personal"/>
    <s v="Platos Especiales"/>
  </r>
  <r>
    <x v="1"/>
    <x v="0"/>
    <x v="1"/>
    <s v="BEB599"/>
    <s v="Agua 280 ml"/>
    <n v="20"/>
    <n v="70000"/>
    <n v="0"/>
    <n v="17360"/>
    <n v="52640"/>
    <n v="0.752"/>
    <n v="0"/>
    <s v="Bebidas"/>
    <s v="Bebidas"/>
    <s v="Bebidas"/>
  </r>
  <r>
    <x v="1"/>
    <x v="0"/>
    <x v="1"/>
    <s v="ENT02"/>
    <s v="LUMPIA X 1"/>
    <n v="20"/>
    <n v="90000"/>
    <n v="-10000"/>
    <n v="31380"/>
    <n v="58620"/>
    <n v="0.65133333333333332"/>
    <n v="0.1111111111111111"/>
    <s v="Entradas"/>
    <s v="Otro"/>
    <s v="Otro"/>
  </r>
  <r>
    <x v="1"/>
    <x v="0"/>
    <x v="1"/>
    <s v="MON120"/>
    <s v="Chow Fan Pollo Personal"/>
    <n v="19"/>
    <n v="283100"/>
    <n v="0"/>
    <n v="115216"/>
    <n v="167884"/>
    <n v="0.59302013422818789"/>
    <n v="0"/>
    <s v="Platos mong"/>
    <s v="Personal"/>
    <s v="Caja"/>
  </r>
  <r>
    <x v="1"/>
    <x v="0"/>
    <x v="1"/>
    <s v="BEB592"/>
    <s v="Coca Cola 400 Ml Zero"/>
    <n v="19"/>
    <n v="104500"/>
    <n v="0"/>
    <n v="27512"/>
    <n v="76988"/>
    <n v="0.73672727272727268"/>
    <n v="0"/>
    <s v="Bebidas"/>
    <s v="Bebidas"/>
    <s v="Bebidas"/>
  </r>
  <r>
    <x v="1"/>
    <x v="0"/>
    <x v="1"/>
    <s v="COMP10"/>
    <s v="COMBO - Lumpia y Coca Cola 250 ml"/>
    <n v="19"/>
    <n v="127618"/>
    <n v="-3482"/>
    <n v="0"/>
    <n v="127618"/>
    <n v="1"/>
    <n v="2.7284552335877385E-2"/>
    <s v="Armalo en combo"/>
    <s v="Personal"/>
    <s v="Combo"/>
  </r>
  <r>
    <x v="1"/>
    <x v="0"/>
    <x v="1"/>
    <s v="PESP01"/>
    <s v="MING"/>
    <n v="19"/>
    <n v="534795"/>
    <n v="-71305"/>
    <n v="144495"/>
    <n v="390300"/>
    <n v="0.72981235800633892"/>
    <n v="0.13333146345796051"/>
    <s v="Platos especiales"/>
    <s v="Personal"/>
    <s v="Platos Especiales"/>
  </r>
  <r>
    <x v="1"/>
    <x v="0"/>
    <x v="1"/>
    <s v="BEB589"/>
    <s v="Fusetea Durazno"/>
    <n v="18"/>
    <n v="88200"/>
    <n v="0"/>
    <n v="28080"/>
    <n v="60120"/>
    <n v="0.68163265306122445"/>
    <n v="0"/>
    <s v="Bebidas"/>
    <s v="Bebidas"/>
    <s v="Bebidas"/>
  </r>
  <r>
    <x v="1"/>
    <x v="0"/>
    <x v="1"/>
    <s v="ADIC563"/>
    <s v="Adición Arroz Frito"/>
    <n v="18"/>
    <n v="90000"/>
    <n v="0"/>
    <n v="23076"/>
    <n v="66924"/>
    <n v="0.74360000000000004"/>
    <n v="0"/>
    <s v="Adición"/>
    <s v="Adición"/>
    <s v="Adición"/>
  </r>
  <r>
    <x v="1"/>
    <x v="0"/>
    <x v="1"/>
    <s v="PESP04"/>
    <s v="SUN KEE"/>
    <n v="17"/>
    <n v="468001"/>
    <n v="-40299"/>
    <n v="231846"/>
    <n v="236155"/>
    <n v="0.50460362264183201"/>
    <n v="8.6108790365832549E-2"/>
    <s v="Platos especiales"/>
    <s v="Personal"/>
    <s v="Platos Especiales"/>
  </r>
  <r>
    <x v="1"/>
    <x v="0"/>
    <x v="1"/>
    <s v="BEB584"/>
    <s v="Quatro 400 Ml"/>
    <n v="17"/>
    <n v="81309"/>
    <n v="-1991"/>
    <n v="22610"/>
    <n v="58699"/>
    <n v="0.72192500215228328"/>
    <n v="2.4486834175798496E-2"/>
    <s v="Bebidas"/>
    <s v="Bebidas"/>
    <s v="Bebidas"/>
  </r>
  <r>
    <x v="1"/>
    <x v="0"/>
    <x v="1"/>
    <s v="BEB595"/>
    <s v="Agua Manzana 600 Ml"/>
    <n v="16"/>
    <n v="78400"/>
    <n v="0"/>
    <n v="21968"/>
    <n v="56432"/>
    <n v="0.71979591836734691"/>
    <n v="0"/>
    <s v="Bebidas"/>
    <s v="Bebidas"/>
    <s v="Bebidas"/>
  </r>
  <r>
    <x v="1"/>
    <x v="0"/>
    <x v="1"/>
    <s v="BEB588"/>
    <s v="Fusetea Limon"/>
    <n v="14"/>
    <n v="68465"/>
    <n v="-135"/>
    <n v="21840"/>
    <n v="46625"/>
    <n v="0.68100489301102751"/>
    <n v="1.9718104140801869E-3"/>
    <s v="Bebidas"/>
    <s v="Bebidas"/>
    <s v="Bebidas"/>
  </r>
  <r>
    <x v="1"/>
    <x v="0"/>
    <x v="1"/>
    <s v="ADIC560"/>
    <s v="Adición Papa frita"/>
    <n v="14"/>
    <n v="82600"/>
    <n v="0"/>
    <n v="57372"/>
    <n v="25228"/>
    <n v="0.30542372881355934"/>
    <n v="0"/>
    <s v="Adición"/>
    <s v="Adición"/>
    <s v="Adición"/>
  </r>
  <r>
    <x v="1"/>
    <x v="0"/>
    <x v="1"/>
    <s v="ATP07"/>
    <s v="Pollo presa ATP (*Extra)"/>
    <n v="14"/>
    <n v="0"/>
    <n v="0"/>
    <n v="39886"/>
    <n v="-39886"/>
    <n v="0"/>
    <n v="0"/>
    <s v="Arma tu plato"/>
    <s v="Personal"/>
    <s v="Caja"/>
  </r>
  <r>
    <x v="1"/>
    <x v="0"/>
    <x v="1"/>
    <s v="MON130"/>
    <s v="Chow Fan Valenciano Personal"/>
    <n v="13"/>
    <n v="256765"/>
    <n v="-1935"/>
    <n v="110032"/>
    <n v="146733"/>
    <n v="0.57146807391973209"/>
    <n v="7.5360738418398148E-3"/>
    <s v="Platos mong"/>
    <s v="Personal"/>
    <s v="Caja"/>
  </r>
  <r>
    <x v="1"/>
    <x v="0"/>
    <x v="1"/>
    <s v="BEB598"/>
    <s v="Coca Cola 1,5 litros"/>
    <n v="13"/>
    <n v="128700"/>
    <n v="0"/>
    <n v="58513"/>
    <n v="70187"/>
    <n v="0.54535353535353537"/>
    <n v="0"/>
    <s v="Bebidas"/>
    <s v="Bebidas"/>
    <s v="Bebidas"/>
  </r>
  <r>
    <x v="1"/>
    <x v="0"/>
    <x v="1"/>
    <s v="BEB593"/>
    <s v="Coca Cola 250 Ml Zero"/>
    <n v="13"/>
    <n v="45500"/>
    <n v="0"/>
    <n v="16783"/>
    <n v="28717"/>
    <n v="0.63114285714285712"/>
    <n v="0"/>
    <s v="Bebidas"/>
    <s v="Bebidas"/>
    <s v="Bebidas"/>
  </r>
  <r>
    <x v="1"/>
    <x v="0"/>
    <x v="1"/>
    <s v="BEB586"/>
    <s v="Agua Gas 600 Ml"/>
    <n v="11"/>
    <n v="49000"/>
    <n v="-4900"/>
    <n v="14168"/>
    <n v="34832"/>
    <n v="0.71085714285714285"/>
    <n v="0.1"/>
    <s v="Bebidas"/>
    <s v="Bebidas"/>
    <s v="Bebidas"/>
  </r>
  <r>
    <x v="1"/>
    <x v="0"/>
    <x v="1"/>
    <s v="MONFIT"/>
    <s v="Mong fit"/>
    <n v="11"/>
    <n v="119900"/>
    <n v="0"/>
    <n v="0"/>
    <n v="119900"/>
    <n v="1"/>
    <n v="0"/>
    <s v="Platos especiales"/>
    <s v="Personal"/>
    <s v="Platos Especiales"/>
  </r>
  <r>
    <x v="1"/>
    <x v="0"/>
    <x v="1"/>
    <s v="ADIC565"/>
    <s v="Adición Camaron"/>
    <n v="11"/>
    <n v="97580"/>
    <n v="-320"/>
    <n v="34188"/>
    <n v="63392"/>
    <n v="0.64964131994261121"/>
    <n v="3.279360524697684E-3"/>
    <s v="Adición"/>
    <s v="Adición"/>
    <s v="Adición"/>
  </r>
  <r>
    <x v="1"/>
    <x v="0"/>
    <x v="1"/>
    <s v="ADIC561"/>
    <s v="Adición Vegetales"/>
    <n v="11"/>
    <n v="74800"/>
    <n v="0"/>
    <n v="7579"/>
    <n v="67221"/>
    <n v="0.8986764705882353"/>
    <n v="0"/>
    <s v="Adición"/>
    <s v="Adición"/>
    <s v="Adición"/>
  </r>
  <r>
    <x v="1"/>
    <x v="0"/>
    <x v="1"/>
    <s v="ENT01"/>
    <s v="Deditos de Pollo"/>
    <n v="11"/>
    <n v="185900"/>
    <n v="0"/>
    <n v="110308"/>
    <n v="75592"/>
    <n v="0.40662721893491122"/>
    <n v="0"/>
    <s v="Entradas"/>
    <s v="Otro"/>
    <s v="Otro"/>
  </r>
  <r>
    <x v="1"/>
    <x v="0"/>
    <x v="1"/>
    <s v="PESP03"/>
    <s v="LING"/>
    <n v="11"/>
    <n v="299947"/>
    <n v="-28953"/>
    <n v="149237"/>
    <n v="150710"/>
    <n v="0.50245543379330349"/>
    <n v="9.6527053112716574E-2"/>
    <s v="Platos especiales"/>
    <s v="Personal"/>
    <s v="Platos Especiales"/>
  </r>
  <r>
    <x v="1"/>
    <x v="0"/>
    <x v="1"/>
    <s v="PESP02"/>
    <s v="MONG"/>
    <n v="10"/>
    <n v="255372"/>
    <n v="-23628"/>
    <n v="127180"/>
    <n v="128192"/>
    <n v="0.50198142317873529"/>
    <n v="9.2523847563554348E-2"/>
    <s v="Platos especiales"/>
    <s v="Personal"/>
    <s v="Platos Especiales"/>
  </r>
  <r>
    <x v="1"/>
    <x v="0"/>
    <x v="1"/>
    <s v="MON330"/>
    <s v="Chop Suey Vegetariano Personal"/>
    <n v="10"/>
    <n v="159000"/>
    <n v="0"/>
    <n v="54660"/>
    <n v="104340"/>
    <n v="0.65622641509433965"/>
    <n v="0"/>
    <s v="Platos mong"/>
    <s v="Personal"/>
    <s v="Caja"/>
  </r>
  <r>
    <x v="1"/>
    <x v="0"/>
    <x v="1"/>
    <s v="BEB583"/>
    <s v="Sprite 400 Ml"/>
    <n v="10"/>
    <n v="48909"/>
    <n v="-91"/>
    <n v="13300"/>
    <n v="35609"/>
    <n v="0.72806640904537001"/>
    <n v="1.8605982539001001E-3"/>
    <s v="Bebidas"/>
    <s v="Bebidas"/>
    <s v="Bebidas"/>
  </r>
  <r>
    <x v="1"/>
    <x v="0"/>
    <x v="1"/>
    <s v="COMP08"/>
    <s v="COMBO - Papas 120 grs y Coca Cola 250 ml"/>
    <n v="9"/>
    <n v="62100"/>
    <n v="0"/>
    <n v="28908"/>
    <n v="33192"/>
    <n v="0.53449275362318838"/>
    <n v="0"/>
    <s v="Armalo en combo"/>
    <s v="Personal"/>
    <s v="Combo"/>
  </r>
  <r>
    <x v="1"/>
    <x v="0"/>
    <x v="1"/>
    <s v="ENT03"/>
    <s v="CAMARONES APANADOS"/>
    <n v="9"/>
    <n v="197100"/>
    <n v="0"/>
    <n v="55935"/>
    <n v="141165"/>
    <n v="0.71621004566210045"/>
    <n v="0"/>
    <s v="Entradas"/>
    <s v="Otro"/>
    <s v="Otro"/>
  </r>
  <r>
    <x v="1"/>
    <x v="0"/>
    <x v="1"/>
    <s v="BEB596"/>
    <s v="Fusetea mango"/>
    <n v="8"/>
    <n v="39200"/>
    <n v="0"/>
    <n v="15168"/>
    <n v="24032"/>
    <n v="0.61306122448979594"/>
    <n v="0"/>
    <s v="Bebidas"/>
    <s v="Bebidas"/>
    <s v="Bebidas"/>
  </r>
  <r>
    <x v="1"/>
    <x v="0"/>
    <x v="1"/>
    <s v="BEB587"/>
    <s v="Agua Limón 600 Ml"/>
    <n v="8"/>
    <n v="39200"/>
    <n v="0"/>
    <n v="10984"/>
    <n v="28216"/>
    <n v="0.71979591836734691"/>
    <n v="0"/>
    <s v="Bebidas"/>
    <s v="Bebidas"/>
    <s v="Bebidas"/>
  </r>
  <r>
    <x v="1"/>
    <x v="0"/>
    <x v="1"/>
    <s v="COMC03"/>
    <s v="COMBO TRIO"/>
    <n v="8"/>
    <n v="455200"/>
    <n v="0"/>
    <n v="228544"/>
    <n v="226656"/>
    <n v="0.4979261862917399"/>
    <n v="0"/>
    <s v="Combos para compartir"/>
    <s v="No Personal"/>
    <s v="Combo"/>
  </r>
  <r>
    <x v="1"/>
    <x v="0"/>
    <x v="1"/>
    <s v="COMC02"/>
    <s v="COMBO AMIGOS"/>
    <n v="8"/>
    <n v="559200"/>
    <n v="0"/>
    <n v="189104"/>
    <n v="370096"/>
    <n v="0.66183118741058655"/>
    <n v="0"/>
    <s v="Combos para compartir"/>
    <s v="No Personal"/>
    <s v="Combo"/>
  </r>
  <r>
    <x v="1"/>
    <x v="0"/>
    <x v="1"/>
    <s v="BEB601"/>
    <s v="Coca Cola 400 Ml Normal CB (*Extra)"/>
    <n v="7"/>
    <n v="14000"/>
    <n v="0"/>
    <n v="15645"/>
    <n v="-1645"/>
    <n v="-0.11749999999999999"/>
    <n v="0"/>
    <s v="Bebidas"/>
    <s v="Bebidas Cambio de bebida"/>
    <s v="Bebidas"/>
  </r>
  <r>
    <x v="1"/>
    <x v="0"/>
    <x v="1"/>
    <s v="COMC06"/>
    <s v="COMBO FAMILIAR"/>
    <n v="7"/>
    <n v="629300"/>
    <n v="0"/>
    <n v="327460"/>
    <n v="301840"/>
    <n v="0.47964404894327028"/>
    <n v="0"/>
    <s v="Combos para compartir"/>
    <s v="No Personal"/>
    <s v="Combo"/>
  </r>
  <r>
    <x v="1"/>
    <x v="0"/>
    <x v="1"/>
    <s v="MON121"/>
    <s v="Chow Fan Pollo Duo"/>
    <n v="7"/>
    <n v="251300"/>
    <n v="0"/>
    <n v="99617"/>
    <n v="151683"/>
    <n v="0.60359331476323119"/>
    <n v="0"/>
    <s v="Platos mong"/>
    <s v="No Personal"/>
    <s v="Caja"/>
  </r>
  <r>
    <x v="1"/>
    <x v="0"/>
    <x v="1"/>
    <s v="BEB591"/>
    <s v="Jugo del valle naranja"/>
    <n v="7"/>
    <n v="34300"/>
    <n v="0"/>
    <n v="10920"/>
    <n v="23380"/>
    <n v="0.68163265306122445"/>
    <n v="0"/>
    <s v="Bebidas"/>
    <s v="Bebidas"/>
    <s v="Bebidas"/>
  </r>
  <r>
    <x v="1"/>
    <x v="0"/>
    <x v="1"/>
    <s v="ADIC490"/>
    <s v="Adicion - Pollo en trozos"/>
    <n v="6"/>
    <n v="41400"/>
    <n v="0"/>
    <n v="13470"/>
    <n v="27930"/>
    <n v="0.67463768115942024"/>
    <n v="0"/>
    <s v="Adición"/>
    <s v="Adición"/>
    <s v="Adición"/>
  </r>
  <r>
    <x v="1"/>
    <x v="0"/>
    <x v="1"/>
    <s v="MON310"/>
    <s v="Chop suey camarón personal"/>
    <n v="6"/>
    <n v="149400"/>
    <n v="0"/>
    <n v="52542"/>
    <n v="96858"/>
    <n v="0.64831325301204823"/>
    <n v="0"/>
    <s v="Platos mong"/>
    <s v="Personal"/>
    <s v="Caja"/>
  </r>
  <r>
    <x v="1"/>
    <x v="0"/>
    <x v="1"/>
    <s v="MON110"/>
    <s v="Chow Fan Camarones Personal"/>
    <n v="6"/>
    <n v="131400"/>
    <n v="0"/>
    <n v="56424"/>
    <n v="74976"/>
    <n v="0.57059360730593611"/>
    <n v="0"/>
    <s v="Platos mong"/>
    <s v="Personal"/>
    <s v="Caja"/>
  </r>
  <r>
    <x v="1"/>
    <x v="0"/>
    <x v="1"/>
    <s v="MON210"/>
    <s v="Chow Mein Camaron Personal"/>
    <n v="6"/>
    <n v="149400"/>
    <n v="0"/>
    <n v="62886"/>
    <n v="86514"/>
    <n v="0.57907630522088349"/>
    <n v="0"/>
    <s v="Platos mong"/>
    <s v="Personal"/>
    <s v="Caja"/>
  </r>
  <r>
    <x v="1"/>
    <x v="0"/>
    <x v="1"/>
    <s v="PESP05"/>
    <s v="WONG- Menú infantil"/>
    <n v="6"/>
    <n v="101400"/>
    <n v="0"/>
    <n v="42750"/>
    <n v="58650"/>
    <n v="0.57840236686390534"/>
    <n v="0"/>
    <s v="Platos especiales"/>
    <s v="Personal"/>
    <s v="Platos Especiales"/>
  </r>
  <r>
    <x v="1"/>
    <x v="0"/>
    <x v="1"/>
    <s v="MON131"/>
    <s v="Chow Fan Valenciano Duo"/>
    <n v="5"/>
    <n v="229500"/>
    <n v="0"/>
    <n v="94090"/>
    <n v="135410"/>
    <n v="0.59002178649237469"/>
    <n v="0"/>
    <s v="Platos mong"/>
    <s v="No Personal"/>
    <s v="Caja"/>
  </r>
  <r>
    <x v="1"/>
    <x v="0"/>
    <x v="1"/>
    <s v="COMP09"/>
    <s v="COMBO - Papas 120 grs y agua 280 Ml"/>
    <n v="5"/>
    <n v="34500"/>
    <n v="0"/>
    <n v="14585"/>
    <n v="19915"/>
    <n v="0.57724637681159419"/>
    <n v="0"/>
    <s v="Armalo en combo"/>
    <s v="Personal"/>
    <s v="Combo"/>
  </r>
  <r>
    <x v="1"/>
    <x v="0"/>
    <x v="1"/>
    <s v="COMP11"/>
    <s v="COMBO - Lumpia y agua 280 ML"/>
    <n v="5"/>
    <n v="34500"/>
    <n v="0"/>
    <n v="0"/>
    <n v="34500"/>
    <n v="1"/>
    <n v="0"/>
    <s v="Armalo en combo"/>
    <s v="Personal"/>
    <s v="Combo"/>
  </r>
  <r>
    <x v="1"/>
    <x v="0"/>
    <x v="1"/>
    <s v="BEB597"/>
    <s v="Fusetea manzana"/>
    <n v="5"/>
    <n v="24500"/>
    <n v="0"/>
    <n v="7800"/>
    <n v="16700"/>
    <n v="0.68163265306122445"/>
    <n v="0"/>
    <s v="Bebidas"/>
    <s v="Bebidas"/>
    <s v="Bebidas"/>
  </r>
  <r>
    <x v="1"/>
    <x v="0"/>
    <x v="1"/>
    <s v="MON301"/>
    <s v="Chop Suey Especial Duo"/>
    <n v="4"/>
    <n v="179019"/>
    <n v="-4581"/>
    <n v="45328"/>
    <n v="133691"/>
    <n v="0.74679782592909127"/>
    <n v="2.5589462571012016E-2"/>
    <s v="Platos mong"/>
    <s v="No Personal"/>
    <s v="Caja"/>
  </r>
  <r>
    <x v="1"/>
    <x v="0"/>
    <x v="1"/>
    <s v="MON321"/>
    <s v="Chop Suey Pollo Duo"/>
    <n v="4"/>
    <n v="159600"/>
    <n v="0"/>
    <n v="44868"/>
    <n v="114732"/>
    <n v="0.71887218045112777"/>
    <n v="0"/>
    <s v="Platos mong"/>
    <s v="No Personal"/>
    <s v="Caja"/>
  </r>
  <r>
    <x v="1"/>
    <x v="0"/>
    <x v="1"/>
    <s v="BEB582"/>
    <s v="Kola Roman 400 Ml"/>
    <n v="3"/>
    <n v="14700"/>
    <n v="0"/>
    <n v="3990"/>
    <n v="10710"/>
    <n v="0.72857142857142854"/>
    <n v="0"/>
    <s v="Bebidas"/>
    <s v="Bebidas"/>
    <s v="Bebidas"/>
  </r>
  <r>
    <x v="1"/>
    <x v="0"/>
    <x v="1"/>
    <s v="BEB594"/>
    <s v="Premio 400 Ml"/>
    <n v="3"/>
    <n v="14700"/>
    <n v="0"/>
    <n v="3990"/>
    <n v="10710"/>
    <n v="0.72857142857142854"/>
    <n v="0"/>
    <s v="Bebidas"/>
    <s v="Bebidas"/>
    <s v="Bebidas"/>
  </r>
  <r>
    <x v="1"/>
    <x v="0"/>
    <x v="1"/>
    <s v="BEB607"/>
    <s v="Agua Gas 600 Ml CB (*Extra)"/>
    <n v="3"/>
    <n v="4200"/>
    <n v="0"/>
    <n v="4830"/>
    <n v="-630"/>
    <n v="-0.15"/>
    <n v="0"/>
    <s v="Bebidas"/>
    <s v="Bebidas Cambio de bebida"/>
    <s v="Bebidas"/>
  </r>
  <r>
    <x v="1"/>
    <x v="0"/>
    <x v="1"/>
    <s v="MON302"/>
    <s v="Chop Suey Especial Familiar"/>
    <n v="3"/>
    <n v="188700"/>
    <n v="0"/>
    <n v="84171"/>
    <n v="104529"/>
    <n v="0.55394276629570749"/>
    <n v="0"/>
    <s v="Platos mong"/>
    <s v="No Personal"/>
    <s v="Caja"/>
  </r>
  <r>
    <x v="1"/>
    <x v="0"/>
    <x v="1"/>
    <s v="BEB608"/>
    <s v="Agua Limón 600 Ml CB (*Extra)"/>
    <n v="3"/>
    <n v="4200"/>
    <n v="0"/>
    <n v="5133"/>
    <n v="-933"/>
    <n v="-0.22214285714285714"/>
    <n v="0"/>
    <s v="Bebidas"/>
    <s v="Bebidas Cambio de bebida"/>
    <s v="Bebidas"/>
  </r>
  <r>
    <x v="1"/>
    <x v="0"/>
    <x v="1"/>
    <s v="MON122"/>
    <s v="Chow Fan Pollo familiar"/>
    <n v="3"/>
    <n v="167700"/>
    <n v="0"/>
    <n v="72765"/>
    <n v="94935"/>
    <n v="0.5661001788908766"/>
    <n v="0"/>
    <s v="Platos mong"/>
    <s v="No Personal"/>
    <s v="Caja"/>
  </r>
  <r>
    <x v="1"/>
    <x v="0"/>
    <x v="1"/>
    <s v="MON111"/>
    <s v="Chow Fan Camarones Duo"/>
    <n v="3"/>
    <n v="155700"/>
    <n v="0"/>
    <n v="62733"/>
    <n v="92967"/>
    <n v="0.59709055876685935"/>
    <n v="0"/>
    <s v="Platos mong"/>
    <s v="No Personal"/>
    <s v="Caja"/>
  </r>
  <r>
    <x v="1"/>
    <x v="0"/>
    <x v="1"/>
    <s v="COMC01"/>
    <s v="COMBO TODERO (CHOW MEIN)"/>
    <n v="3"/>
    <n v="329700"/>
    <n v="0"/>
    <n v="150720"/>
    <n v="178980"/>
    <n v="0.54285714285714282"/>
    <n v="0"/>
    <s v="Combos para compartir"/>
    <s v="No Personal"/>
    <s v="Combo"/>
  </r>
  <r>
    <x v="1"/>
    <x v="0"/>
    <x v="1"/>
    <s v="BEB616"/>
    <s v="Agua Manzana 600 Ml CB (*Extra)"/>
    <n v="2"/>
    <n v="2800"/>
    <n v="0"/>
    <n v="4278"/>
    <n v="-1478"/>
    <n v="-0.5278571428571428"/>
    <n v="0"/>
    <s v="Bebidas"/>
    <s v="Bebidas Cambio de bebida"/>
    <s v="Bebidas"/>
  </r>
  <r>
    <x v="1"/>
    <x v="0"/>
    <x v="1"/>
    <s v="CAM04"/>
    <s v="Lumpia cambio (*Extra)"/>
    <n v="2"/>
    <n v="0"/>
    <n v="0"/>
    <n v="4098"/>
    <n v="-4098"/>
    <n v="0"/>
    <n v="0"/>
    <s v="Adición"/>
    <s v="Otro"/>
    <s v="Otro"/>
  </r>
  <r>
    <x v="1"/>
    <x v="0"/>
    <x v="1"/>
    <s v="MON133"/>
    <s v="Chow fan valenciano megafamiliar"/>
    <n v="2"/>
    <n v="191800"/>
    <n v="0"/>
    <n v="97216"/>
    <n v="94584"/>
    <n v="0.49313868613138684"/>
    <n v="0"/>
    <s v="Platos mong"/>
    <s v="No Personal"/>
    <s v="Caja"/>
  </r>
  <r>
    <x v="1"/>
    <x v="0"/>
    <x v="1"/>
    <s v="BEB606"/>
    <s v="Agua Normal 600 Ml CB (*Extra)"/>
    <n v="2"/>
    <n v="2800"/>
    <n v="0"/>
    <n v="2736"/>
    <n v="64"/>
    <n v="2.2857142857142857E-2"/>
    <n v="0"/>
    <s v="Bebidas"/>
    <s v="Bebidas Cambio de bebida"/>
    <s v="Bebidas"/>
  </r>
  <r>
    <x v="1"/>
    <x v="0"/>
    <x v="1"/>
    <s v="ADIC562"/>
    <s v="Adición Pasta"/>
    <n v="2"/>
    <n v="13800"/>
    <n v="0"/>
    <n v="6020"/>
    <n v="7780"/>
    <n v="0.56376811594202902"/>
    <n v="0"/>
    <s v="Adición"/>
    <s v="Adición"/>
    <s v="Adición"/>
  </r>
  <r>
    <x v="1"/>
    <x v="0"/>
    <x v="1"/>
    <s v="BEB602"/>
    <s v="Kola Roman 400 Ml CB (*Extra)"/>
    <n v="2"/>
    <n v="4000"/>
    <n v="0"/>
    <n v="4470"/>
    <n v="-470"/>
    <n v="-0.11749999999999999"/>
    <n v="0"/>
    <s v="Bebidas"/>
    <s v="Bebidas Cambio de bebida"/>
    <s v="Bebidas"/>
  </r>
  <r>
    <x v="1"/>
    <x v="0"/>
    <x v="1"/>
    <s v="MON103"/>
    <s v="Chow Fan Especial megafamiliar"/>
    <n v="2"/>
    <n v="165800"/>
    <n v="0"/>
    <n v="85408"/>
    <n v="80392"/>
    <n v="0.48487334137515076"/>
    <n v="0"/>
    <s v="Platos mong"/>
    <s v="No Personal"/>
    <s v="Caja"/>
  </r>
  <r>
    <x v="1"/>
    <x v="0"/>
    <x v="1"/>
    <s v="MON201"/>
    <s v="Chow Mein Especial Duo"/>
    <n v="2"/>
    <n v="91800"/>
    <n v="0"/>
    <n v="38882"/>
    <n v="52918"/>
    <n v="0.57644880174291935"/>
    <n v="0"/>
    <s v="Platos mong"/>
    <s v="No Personal"/>
    <s v="Caja"/>
  </r>
  <r>
    <x v="1"/>
    <x v="0"/>
    <x v="1"/>
    <s v="COMC07"/>
    <s v="COMBO ANTOJO"/>
    <n v="1"/>
    <n v="21900"/>
    <n v="0"/>
    <n v="7973"/>
    <n v="13927"/>
    <n v="0.63593607305936073"/>
    <n v="0"/>
    <s v="Combos para compartir"/>
    <s v="No Personal"/>
    <s v="Combo"/>
  </r>
  <r>
    <x v="1"/>
    <x v="0"/>
    <x v="1"/>
    <s v="BEB605"/>
    <s v="Quatro 400 Ml CB (*Extra)"/>
    <n v="1"/>
    <n v="1261"/>
    <n v="-139"/>
    <n v="1330"/>
    <n v="-69"/>
    <n v="-5.471847739888977E-2"/>
    <n v="0.11022997620935765"/>
    <s v="Bebidas"/>
    <s v="Bebidas Cambio de bebida"/>
    <s v="Bebidas"/>
  </r>
  <r>
    <x v="1"/>
    <x v="0"/>
    <x v="1"/>
    <s v="BEB604"/>
    <s v="Sprite 400 Ml CB (*Extra)"/>
    <n v="1"/>
    <n v="1400"/>
    <n v="0"/>
    <n v="1516"/>
    <n v="-116"/>
    <n v="-8.2857142857142851E-2"/>
    <n v="0"/>
    <s v="Bebidas"/>
    <s v="Bebidas Cambio de bebida"/>
    <s v="Bebidas"/>
  </r>
  <r>
    <x v="1"/>
    <x v="0"/>
    <x v="1"/>
    <s v="MON102"/>
    <s v="Chow Fan Especial familiar"/>
    <n v="1"/>
    <n v="66900"/>
    <n v="0"/>
    <n v="32351"/>
    <n v="34549"/>
    <n v="0.51642750373692081"/>
    <n v="0"/>
    <s v="Platos mong"/>
    <s v="No Personal"/>
    <s v="Caja"/>
  </r>
  <r>
    <x v="1"/>
    <x v="0"/>
    <x v="1"/>
    <s v="MON502"/>
    <s v="Arroz vegetales especial dúo"/>
    <n v="1"/>
    <n v="59900"/>
    <n v="0"/>
    <n v="18195"/>
    <n v="41705"/>
    <n v="0.69624373956594321"/>
    <n v="0"/>
    <s v="Platos mong"/>
    <s v="No Personal"/>
    <s v="Caja"/>
  </r>
  <r>
    <x v="1"/>
    <x v="0"/>
    <x v="1"/>
    <s v="ADIC01"/>
    <s v="Papas a la Francesa ADIC (*Extra)"/>
    <n v="1"/>
    <n v="5900"/>
    <n v="0"/>
    <n v="2049"/>
    <n v="3851"/>
    <n v="0.65271186440677964"/>
    <n v="0"/>
    <s v="Adición"/>
    <s v="Adición"/>
    <s v="Adición"/>
  </r>
  <r>
    <x v="1"/>
    <x v="0"/>
    <x v="1"/>
    <s v="BEB590"/>
    <s v="Jugo Del Valle Mandarina"/>
    <n v="1"/>
    <n v="4900"/>
    <n v="0"/>
    <n v="1560"/>
    <n v="3340"/>
    <n v="0.68163265306122445"/>
    <n v="0"/>
    <s v="Bebidas"/>
    <s v="Bebidas"/>
    <s v="Bebidas"/>
  </r>
  <r>
    <x v="1"/>
    <x v="0"/>
    <x v="1"/>
    <s v="MON332"/>
    <s v="Chop Suey Vegetariano familar"/>
    <n v="1"/>
    <n v="49900"/>
    <n v="0"/>
    <n v="19989"/>
    <n v="29911"/>
    <n v="0.59941883767535065"/>
    <n v="0"/>
    <s v="Platos mong"/>
    <s v="No Personal"/>
    <s v="Caja"/>
  </r>
  <r>
    <x v="1"/>
    <x v="0"/>
    <x v="1"/>
    <s v="BEB611"/>
    <s v="Jugo Del Valle Mandarina CB (*Extra)"/>
    <n v="1"/>
    <n v="1400"/>
    <n v="0"/>
    <n v="950"/>
    <n v="450"/>
    <n v="0.32142857142857145"/>
    <n v="0"/>
    <s v="Bebidas"/>
    <s v="Bebidas Cambio de bebida"/>
    <s v="Bebidas"/>
  </r>
  <r>
    <x v="1"/>
    <x v="0"/>
    <x v="1"/>
    <s v="BEB617"/>
    <s v="Fusetea mango CB (*Extra)"/>
    <n v="1"/>
    <n v="1400"/>
    <n v="0"/>
    <n v="1896"/>
    <n v="-496"/>
    <n v="-0.35428571428571426"/>
    <n v="0"/>
    <s v="Bebidas"/>
    <s v="Bebidas Cambio de bebida"/>
    <s v="Bebidas"/>
  </r>
  <r>
    <x v="1"/>
    <x v="0"/>
    <x v="1"/>
    <s v="BEB609"/>
    <s v="Fusetea Limon CB (*Extra)"/>
    <n v="1"/>
    <n v="1400"/>
    <n v="0"/>
    <n v="1874"/>
    <n v="-474"/>
    <n v="-0.33857142857142858"/>
    <n v="0"/>
    <s v="Bebidas"/>
    <s v="Bebidas Cambio de bebida"/>
    <s v="Bebidas"/>
  </r>
  <r>
    <x v="1"/>
    <x v="0"/>
    <x v="1"/>
    <s v="ADIC07"/>
    <s v="Lumpia X 1 (*Extra)"/>
    <n v="1"/>
    <n v="5000"/>
    <n v="0"/>
    <n v="1569"/>
    <n v="3431"/>
    <n v="0.68620000000000003"/>
    <n v="0"/>
    <s v="Adición"/>
    <s v="Adición"/>
    <s v="Adición"/>
  </r>
  <r>
    <x v="1"/>
    <x v="0"/>
    <x v="1"/>
    <s v="MON212"/>
    <s v="Chow Mein Camaron Familiar"/>
    <n v="1"/>
    <n v="79900"/>
    <n v="0"/>
    <n v="43364"/>
    <n v="36536"/>
    <n v="0.45727158948685859"/>
    <n v="0"/>
    <s v="Platos mong"/>
    <s v="No Personal"/>
    <s v="Caja"/>
  </r>
  <r>
    <x v="1"/>
    <x v="0"/>
    <x v="1"/>
    <s v="CAM03"/>
    <s v="Cambio Papas a la francesa 150 grs (*Extra)"/>
    <n v="1"/>
    <n v="500"/>
    <n v="0"/>
    <n v="1569"/>
    <n v="-1069"/>
    <n v="-2.1379999999999999"/>
    <n v="0"/>
    <s v="Adición"/>
    <s v="Otro"/>
    <s v="Otro"/>
  </r>
  <r>
    <x v="1"/>
    <x v="0"/>
    <x v="2"/>
    <s v="ADIC09"/>
    <s v="No deseo (*Extra)"/>
    <n v="93"/>
    <n v="0"/>
    <n v="0"/>
    <n v="0"/>
    <n v="0"/>
    <n v="0"/>
    <n v="0"/>
    <s v="Adición"/>
    <s v="Adición"/>
    <s v="Adición"/>
  </r>
  <r>
    <x v="1"/>
    <x v="0"/>
    <x v="2"/>
    <s v="BEB00"/>
    <s v="Coca Cola 250 Ml Zero CB (*Extra)"/>
    <n v="50"/>
    <n v="0"/>
    <n v="0"/>
    <n v="0"/>
    <n v="0"/>
    <n v="0"/>
    <n v="0"/>
    <s v="Bebidas"/>
    <s v="Bebidas Cambio de bebida"/>
    <s v="Bebidas"/>
  </r>
  <r>
    <x v="1"/>
    <x v="0"/>
    <x v="2"/>
    <s v="COMP01"/>
    <s v="COMBO 1- Valenciano personal"/>
    <n v="36"/>
    <n v="751150"/>
    <n v="-217250"/>
    <n v="346572"/>
    <n v="404578"/>
    <n v="0.53861146242428282"/>
    <n v="0.28922319110696931"/>
    <s v="Combos personales"/>
    <s v="Personal"/>
    <s v="Combo"/>
  </r>
  <r>
    <x v="1"/>
    <x v="0"/>
    <x v="2"/>
    <s v="COMP02"/>
    <s v="COMBO 2 - Chow fan especial personal"/>
    <n v="26"/>
    <n v="561900"/>
    <n v="-163500"/>
    <n v="247026"/>
    <n v="314874"/>
    <n v="0.56037373198077944"/>
    <n v="0.29097704217832354"/>
    <s v="Combos personales"/>
    <s v="Personal"/>
    <s v="Combo"/>
  </r>
  <r>
    <x v="1"/>
    <x v="0"/>
    <x v="2"/>
    <s v="COMP14"/>
    <s v="COMBO ESTUDIANTIL- Chow fan 250 grs"/>
    <n v="18"/>
    <n v="322550"/>
    <n v="-89650"/>
    <n v="0"/>
    <n v="322550"/>
    <n v="1"/>
    <n v="0.27794140443342119"/>
    <s v="Combos personales"/>
    <s v="Personal"/>
    <s v="Caja"/>
  </r>
  <r>
    <x v="1"/>
    <x v="0"/>
    <x v="2"/>
    <s v="TOTEATDVYERROR"/>
    <s v="ERR RAPPI: Agua brisa 280 ml"/>
    <n v="13"/>
    <n v="0"/>
    <n v="0"/>
    <n v="0"/>
    <n v="0"/>
    <n v="0"/>
    <n v="0"/>
    <s v="Otro"/>
    <s v="Otro"/>
    <s v="Otro"/>
  </r>
  <r>
    <x v="1"/>
    <x v="0"/>
    <x v="2"/>
    <s v="COMP03"/>
    <s v="COMBO 3 - Chop suey especial personal"/>
    <n v="11"/>
    <n v="282800"/>
    <n v="-79100"/>
    <n v="105270"/>
    <n v="177530"/>
    <n v="0.62775813295615279"/>
    <n v="0.27970297029702973"/>
    <s v="Combos personales"/>
    <s v="Personal"/>
    <s v="Combo"/>
  </r>
  <r>
    <x v="1"/>
    <x v="0"/>
    <x v="2"/>
    <s v="COMP05"/>
    <s v="COMBO 5 - Chow Mein especial personal"/>
    <n v="10"/>
    <n v="254750"/>
    <n v="-74250"/>
    <n v="112530"/>
    <n v="142220"/>
    <n v="0.55827281648675176"/>
    <n v="0.29146221786064769"/>
    <s v="Combos personales"/>
    <s v="Personal"/>
    <s v="Combo"/>
  </r>
  <r>
    <x v="1"/>
    <x v="0"/>
    <x v="2"/>
    <s v="ADIC10"/>
    <s v="Cubiertos + servilletas (*Extra)"/>
    <n v="9"/>
    <n v="3600"/>
    <n v="0"/>
    <n v="2889"/>
    <n v="711"/>
    <n v="0.19750000000000001"/>
    <n v="0"/>
    <s v="Adición"/>
    <s v="Adición"/>
    <s v="Adición"/>
  </r>
  <r>
    <x v="1"/>
    <x v="0"/>
    <x v="2"/>
    <s v="COMP13"/>
    <s v="COMBO ARMA TU PLATO"/>
    <n v="7"/>
    <n v="173700"/>
    <n v="-49600"/>
    <n v="0"/>
    <n v="173700"/>
    <n v="1"/>
    <n v="0.28554979850316636"/>
    <s v="Combos personales"/>
    <s v="Personal"/>
    <s v="Combo"/>
  </r>
  <r>
    <x v="1"/>
    <x v="0"/>
    <x v="2"/>
    <s v="CAM04"/>
    <s v="Lumpia cambio (*Extra)"/>
    <n v="7"/>
    <n v="0"/>
    <n v="0"/>
    <n v="14343"/>
    <n v="-14343"/>
    <n v="0"/>
    <n v="0"/>
    <s v="Adición"/>
    <s v="Otro"/>
    <s v="Otro"/>
  </r>
  <r>
    <x v="1"/>
    <x v="0"/>
    <x v="2"/>
    <s v="ATP01"/>
    <s v="Pollo a la naranja (*Extra)"/>
    <n v="6"/>
    <n v="0"/>
    <n v="0"/>
    <n v="32946"/>
    <n v="-32946"/>
    <n v="0"/>
    <n v="0"/>
    <s v="Arma tu plato"/>
    <s v="Personal"/>
    <s v="Caja"/>
  </r>
  <r>
    <x v="1"/>
    <x v="0"/>
    <x v="2"/>
    <s v="ADIC07"/>
    <s v="Lumpia X 1 (*Extra)"/>
    <n v="6"/>
    <n v="27000"/>
    <n v="0"/>
    <n v="9414"/>
    <n v="17586"/>
    <n v="0.65133333333333332"/>
    <n v="0"/>
    <s v="Adición"/>
    <s v="Adición"/>
    <s v="Adición"/>
  </r>
  <r>
    <x v="1"/>
    <x v="0"/>
    <x v="2"/>
    <s v="CAM03"/>
    <s v="Cambio Papas a la francesa 150 grs (*Extra)"/>
    <n v="6"/>
    <n v="3000"/>
    <n v="0"/>
    <n v="9414"/>
    <n v="-6414"/>
    <n v="-2.1379999999999999"/>
    <n v="0"/>
    <s v="Adición"/>
    <s v="Otro"/>
    <s v="Otro"/>
  </r>
  <r>
    <x v="1"/>
    <x v="0"/>
    <x v="2"/>
    <s v="ADIC562"/>
    <s v="Adición Pasta"/>
    <n v="4"/>
    <n v="23600"/>
    <n v="0"/>
    <n v="12040"/>
    <n v="11560"/>
    <n v="0.48983050847457626"/>
    <n v="0"/>
    <s v="Adición"/>
    <s v="Adición"/>
    <s v="Adición"/>
  </r>
  <r>
    <x v="1"/>
    <x v="0"/>
    <x v="2"/>
    <s v="MONE700"/>
    <s v="Mong Express Chop suey pollo"/>
    <n v="4"/>
    <n v="71600"/>
    <n v="-24000"/>
    <n v="32732"/>
    <n v="38868"/>
    <n v="0.54284916201117317"/>
    <n v="0.33519553072625696"/>
    <s v="Mong Express"/>
    <s v="Personal"/>
    <s v="Caja"/>
  </r>
  <r>
    <x v="1"/>
    <x v="0"/>
    <x v="2"/>
    <s v="ATP06"/>
    <s v="Arroz Frito ATP (*Extra)"/>
    <n v="4"/>
    <n v="0"/>
    <n v="0"/>
    <n v="5128"/>
    <n v="-5128"/>
    <n v="0"/>
    <n v="0"/>
    <s v="Arma tu plato"/>
    <s v="Personal"/>
    <s v="Caja"/>
  </r>
  <r>
    <x v="1"/>
    <x v="0"/>
    <x v="2"/>
    <s v="ADIC08"/>
    <s v="Salsa agridulce Roja (*Extra)"/>
    <n v="4"/>
    <n v="4000"/>
    <n v="0"/>
    <n v="236"/>
    <n v="3764"/>
    <n v="0.94099999999999995"/>
    <n v="0"/>
    <s v="Adición"/>
    <s v="Adición"/>
    <s v="Adición"/>
  </r>
  <r>
    <x v="1"/>
    <x v="0"/>
    <x v="2"/>
    <s v="ADIC05"/>
    <s v="Vegetales salteados (*Extra)"/>
    <n v="3"/>
    <n v="20100"/>
    <n v="0"/>
    <n v="21"/>
    <n v="20079"/>
    <n v="0.99895522388059699"/>
    <n v="0"/>
    <s v="Adición"/>
    <s v="Adición"/>
    <s v="Adición"/>
  </r>
  <r>
    <x v="1"/>
    <x v="0"/>
    <x v="2"/>
    <s v="ATP05"/>
    <s v="Chow mein (*Extra)"/>
    <n v="3"/>
    <n v="0"/>
    <n v="0"/>
    <n v="9291"/>
    <n v="-9291"/>
    <n v="0"/>
    <n v="0"/>
    <s v="Arma tu plato"/>
    <s v="Personal"/>
    <s v="Caja"/>
  </r>
  <r>
    <x v="1"/>
    <x v="0"/>
    <x v="2"/>
    <s v="TOTEATDVYERROR"/>
    <s v="ERR RAPPI: Coca cola 400 ml"/>
    <n v="3"/>
    <n v="6000"/>
    <n v="0"/>
    <n v="0"/>
    <n v="6000"/>
    <n v="1"/>
    <n v="0"/>
    <s v="Otro"/>
    <s v="Otro"/>
    <s v="Otro"/>
  </r>
  <r>
    <x v="1"/>
    <x v="0"/>
    <x v="2"/>
    <s v="ADIC11"/>
    <s v="Salsa Teriyaki (*Extra)"/>
    <n v="3"/>
    <n v="3000"/>
    <n v="0"/>
    <n v="0"/>
    <n v="3000"/>
    <n v="1"/>
    <n v="0"/>
    <s v="Adición"/>
    <s v="Adición"/>
    <s v="Adición"/>
  </r>
  <r>
    <x v="1"/>
    <x v="0"/>
    <x v="2"/>
    <s v="ADIC564"/>
    <s v="Adición Presa de pollo"/>
    <n v="2"/>
    <n v="15800"/>
    <n v="0"/>
    <n v="4928"/>
    <n v="10872"/>
    <n v="0.68810126582278486"/>
    <n v="0"/>
    <s v="Adición"/>
    <s v="Adición"/>
    <s v="Adición"/>
  </r>
  <r>
    <x v="1"/>
    <x v="0"/>
    <x v="2"/>
    <s v="COMC02"/>
    <s v="COMBO AMIGOS"/>
    <n v="2"/>
    <n v="112950"/>
    <n v="-32850"/>
    <n v="47276"/>
    <n v="65674"/>
    <n v="0.58144311642319613"/>
    <n v="0.2908366533864542"/>
    <s v="Combos para compartir"/>
    <s v="No Personal"/>
    <s v="Combo"/>
  </r>
  <r>
    <x v="1"/>
    <x v="0"/>
    <x v="2"/>
    <s v="ATP09"/>
    <s v="Res brócoli (*Extra)"/>
    <n v="2"/>
    <n v="0"/>
    <n v="0"/>
    <n v="6644"/>
    <n v="-6644"/>
    <n v="0"/>
    <n v="0"/>
    <s v="Arma tu plato"/>
    <s v="Personal"/>
    <s v="Caja"/>
  </r>
  <r>
    <x v="1"/>
    <x v="0"/>
    <x v="2"/>
    <s v="ATP02"/>
    <s v="Camarones apanados 7 (*Extra)"/>
    <n v="2"/>
    <n v="4000"/>
    <n v="0"/>
    <n v="6216"/>
    <n v="-2216"/>
    <n v="-0.55400000000000005"/>
    <n v="0"/>
    <s v="Arma tu plato"/>
    <s v="Personal"/>
    <s v="Caja"/>
  </r>
  <r>
    <x v="1"/>
    <x v="0"/>
    <x v="2"/>
    <s v="ADIC06"/>
    <s v="Arroz Frito ADIC (*Extra)"/>
    <n v="2"/>
    <n v="9600"/>
    <n v="0"/>
    <n v="2564"/>
    <n v="7036"/>
    <n v="0.73291666666666666"/>
    <n v="0"/>
    <s v="Adición"/>
    <s v="Adición"/>
    <s v="Adición"/>
  </r>
  <r>
    <x v="1"/>
    <x v="0"/>
    <x v="2"/>
    <s v="ENT04"/>
    <s v="LUMPIAS X 2"/>
    <n v="2"/>
    <n v="21800"/>
    <n v="0"/>
    <n v="6278"/>
    <n v="15522"/>
    <n v="0.71201834862385316"/>
    <n v="0"/>
    <s v="Entradas"/>
    <s v="Otro"/>
    <s v="Otro"/>
  </r>
  <r>
    <x v="1"/>
    <x v="0"/>
    <x v="2"/>
    <s v="ADIC04"/>
    <s v="Pollo picado (*Extra)"/>
    <n v="2"/>
    <n v="16000"/>
    <n v="0"/>
    <n v="3494"/>
    <n v="12506"/>
    <n v="0.78162500000000001"/>
    <n v="0"/>
    <s v="Adición"/>
    <s v="Adición"/>
    <s v="Adición"/>
  </r>
  <r>
    <x v="1"/>
    <x v="0"/>
    <x v="2"/>
    <s v="ADIC02"/>
    <s v="Pollo presa ADIC (*Extra)"/>
    <n v="2"/>
    <n v="15200"/>
    <n v="0"/>
    <n v="5698"/>
    <n v="9502"/>
    <n v="0.62513157894736837"/>
    <n v="0"/>
    <s v="Adición"/>
    <s v="Adición"/>
    <s v="Adición"/>
  </r>
  <r>
    <x v="1"/>
    <x v="0"/>
    <x v="2"/>
    <s v="ADIC03"/>
    <s v="Camarones (*Extra)"/>
    <n v="2"/>
    <n v="15200"/>
    <n v="0"/>
    <n v="6216"/>
    <n v="8984"/>
    <n v="0.59105263157894739"/>
    <n v="0"/>
    <s v="Adición"/>
    <s v="Adición"/>
    <s v="Adición"/>
  </r>
  <r>
    <x v="1"/>
    <x v="0"/>
    <x v="2"/>
    <s v="ATP10"/>
    <s v="Cerdo agridulce (*Extra)"/>
    <n v="1"/>
    <n v="0"/>
    <n v="0"/>
    <n v="5467"/>
    <n v="-5467"/>
    <n v="0"/>
    <n v="0"/>
    <s v="Arma tu plato"/>
    <s v="Personal"/>
    <s v="Caja"/>
  </r>
  <r>
    <x v="1"/>
    <x v="0"/>
    <x v="2"/>
    <s v="ADIC12"/>
    <s v="Salsa Soya (*Extra)"/>
    <n v="1"/>
    <n v="1000"/>
    <n v="0"/>
    <n v="0"/>
    <n v="1000"/>
    <n v="1"/>
    <n v="0"/>
    <s v="Adición"/>
    <s v="Adición"/>
    <s v="Adición"/>
  </r>
  <r>
    <x v="1"/>
    <x v="0"/>
    <x v="2"/>
    <s v="ADIC563"/>
    <s v="Adición Arroz Frito"/>
    <n v="1"/>
    <n v="6900"/>
    <n v="0"/>
    <n v="1282"/>
    <n v="5618"/>
    <n v="0.81420289855072459"/>
    <n v="0"/>
    <s v="Adición"/>
    <s v="Adición"/>
    <s v="Adición"/>
  </r>
  <r>
    <x v="1"/>
    <x v="0"/>
    <x v="2"/>
    <s v="ADIC01"/>
    <s v="Papas a la Francesa ADIC (*Extra)"/>
    <n v="1"/>
    <n v="5600"/>
    <n v="0"/>
    <n v="2049"/>
    <n v="3551"/>
    <n v="0.63410714285714287"/>
    <n v="0"/>
    <s v="Adición"/>
    <s v="Adición"/>
    <s v="Adición"/>
  </r>
  <r>
    <x v="1"/>
    <x v="0"/>
    <x v="2"/>
    <s v="TOTEATDVYERROR"/>
    <s v="ERR RAPPI: Coca cola zero 400 ml"/>
    <n v="1"/>
    <n v="2000"/>
    <n v="0"/>
    <n v="0"/>
    <n v="2000"/>
    <n v="1"/>
    <n v="0"/>
    <s v="Otro"/>
    <s v="Otro"/>
    <s v="Otro"/>
  </r>
  <r>
    <x v="1"/>
    <x v="0"/>
    <x v="2"/>
    <s v="PESP05"/>
    <s v="WONG- Menú infantil"/>
    <n v="1"/>
    <n v="19900"/>
    <n v="0"/>
    <n v="7125"/>
    <n v="12775"/>
    <n v="0.64195979899497491"/>
    <n v="0"/>
    <s v="Platos especiales"/>
    <s v="Personal"/>
    <s v="Platos Especial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84B19-15DB-46D3-873A-CF25DF6C8F2E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F20" firstHeaderRow="1" firstDataRow="2" firstDataCol="2"/>
  <pivotFields count="15">
    <pivotField axis="axisRow" compact="0" outline="0" multipleItemSelectionAllowed="1" showAll="0">
      <items count="3">
        <item x="1"/>
        <item x="0"/>
        <item t="default"/>
      </items>
    </pivotField>
    <pivotField axis="axisRow" compact="0" outline="0" showAll="0">
      <items count="13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3" outline="0" showAll="0"/>
    <pivotField compact="0" numFmtId="9" outline="0" showAll="0"/>
    <pivotField compact="0" numFmtId="167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1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t="default"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a de VENTA" fld="6" baseField="0" baseItem="0" numFmtId="166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5FCFC8-E506-40FB-889E-B05883651D03}" name="MOONGCOOK" displayName="MOONGCOOK" ref="A1:O2775" totalsRowShown="0" headerRowDxfId="9" headerRowCellStyle="Millares">
  <autoFilter ref="A1:O2775" xr:uid="{AF5FCFC8-E506-40FB-889E-B05883651D03}">
    <filterColumn colId="13">
      <filters>
        <filter val="No Personal"/>
        <filter val="Personal"/>
      </filters>
    </filterColumn>
  </autoFilter>
  <tableColumns count="15">
    <tableColumn id="1" xr3:uid="{BD9D65B9-356A-4F4B-8C34-25BB926AE8E8}" name="AÑO"/>
    <tableColumn id="2" xr3:uid="{C1150423-3476-4F8A-BAED-CD40C0646B8C}" name="MES"/>
    <tableColumn id="3" xr3:uid="{5841AB75-9546-49BA-8F9B-CEB8A04A775F}" name="UNIDAD DE NEGOCIO"/>
    <tableColumn id="4" xr3:uid="{9C36440D-7A11-470A-985A-FDB7630186B4}" name="ID" dataDxfId="8"/>
    <tableColumn id="5" xr3:uid="{E3886F58-1E90-48EA-850B-F350666C561B}" name="PRODUCTO" dataDxfId="7"/>
    <tableColumn id="6" xr3:uid="{E1F7CB66-36C4-4C51-B9DF-1051803B2B0B}" name="CANTIDAD" dataDxfId="6"/>
    <tableColumn id="7" xr3:uid="{BF8A6C75-354B-4E77-9D0A-92CC0BA02CE3}" name="VENTA" dataDxfId="5"/>
    <tableColumn id="8" xr3:uid="{A626BA6F-A7F1-4174-8520-2E23C0AF8173}" name="DESCUENTO" dataDxfId="4"/>
    <tableColumn id="9" xr3:uid="{B0D235F1-3C5C-49CF-9A16-09B6FD5582E1}" name="COSTO" dataDxfId="3"/>
    <tableColumn id="10" xr3:uid="{33D037C5-F976-4F58-BCC8-0FAAE10E763B}" name="UTILIDAD BRUTA" dataDxfId="2">
      <calculatedColumnFormula>G2-I2</calculatedColumnFormula>
    </tableColumn>
    <tableColumn id="11" xr3:uid="{6136B2DA-D0AF-439B-B7F7-1CCC1CD51116}" name="MARGEN BRUTO" dataDxfId="1" dataCellStyle="Porcentaje">
      <calculatedColumnFormula>IFERROR(J2/G2,0)</calculatedColumnFormula>
    </tableColumn>
    <tableColumn id="12" xr3:uid="{6113FCF7-4FE8-4EEA-BD40-8DF98A7DEB14}" name="% DCTO." dataDxfId="0" dataCellStyle="Porcentaje">
      <calculatedColumnFormula>IFERROR((H2/G2)*-1,0)</calculatedColumnFormula>
    </tableColumn>
    <tableColumn id="13" xr3:uid="{431E6327-C141-48F2-9153-F6038BADF44D}" name="JERARQUIA">
      <calculatedColumnFormula>VLOOKUP(D2,'Jer-Tip-Emp'!B:E,4,0)</calculatedColumnFormula>
    </tableColumn>
    <tableColumn id="14" xr3:uid="{BB0A1882-F733-46C1-8515-EE090D2F29C3}" name="TIPO">
      <calculatedColumnFormula>VLOOKUP(D2,'Jer-Tip-Emp'!B:F,5,0)</calculatedColumnFormula>
    </tableColumn>
    <tableColumn id="15" xr3:uid="{89D5D478-79F1-4686-850E-02AC8216D784}" name="EMPAQUE">
      <calculatedColumnFormula>VLOOKUP(D2,'Jer-Tip-Emp'!B:G,6,0)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C9F8-9BE9-4222-BD6C-1F0EB3B0A53A}">
  <dimension ref="A2:G9"/>
  <sheetViews>
    <sheetView workbookViewId="0">
      <selection activeCell="E13" sqref="E13"/>
    </sheetView>
  </sheetViews>
  <sheetFormatPr baseColWidth="10" defaultRowHeight="15" x14ac:dyDescent="0.2"/>
  <cols>
    <col min="1" max="1" width="12.6640625" customWidth="1"/>
    <col min="3" max="6" width="15.33203125" customWidth="1"/>
    <col min="7" max="7" width="19.1640625" customWidth="1"/>
  </cols>
  <sheetData>
    <row r="2" spans="1:7" x14ac:dyDescent="0.2">
      <c r="C2" s="11" t="s">
        <v>537</v>
      </c>
      <c r="D2" s="11" t="s">
        <v>538</v>
      </c>
      <c r="E2" s="11" t="s">
        <v>539</v>
      </c>
      <c r="F2" s="11" t="s">
        <v>171</v>
      </c>
    </row>
    <row r="3" spans="1:7" x14ac:dyDescent="0.2">
      <c r="A3" s="7" t="s">
        <v>590</v>
      </c>
      <c r="B3" s="7" t="s">
        <v>584</v>
      </c>
      <c r="C3" s="7">
        <v>4367</v>
      </c>
      <c r="D3" s="9">
        <v>69669850</v>
      </c>
      <c r="E3" s="9">
        <v>-2957750</v>
      </c>
      <c r="F3" s="9">
        <v>27156689</v>
      </c>
      <c r="G3" s="7" t="s">
        <v>589</v>
      </c>
    </row>
    <row r="4" spans="1:7" x14ac:dyDescent="0.2">
      <c r="A4" t="s">
        <v>596</v>
      </c>
      <c r="B4" t="s">
        <v>585</v>
      </c>
      <c r="C4">
        <v>3114</v>
      </c>
      <c r="D4" s="6">
        <v>43714200</v>
      </c>
      <c r="E4" s="6">
        <v>-307100</v>
      </c>
      <c r="F4" s="6">
        <v>16756600</v>
      </c>
      <c r="G4" t="s">
        <v>588</v>
      </c>
    </row>
    <row r="5" spans="1:7" x14ac:dyDescent="0.2">
      <c r="A5" t="s">
        <v>596</v>
      </c>
      <c r="B5" t="s">
        <v>586</v>
      </c>
      <c r="C5">
        <v>593</v>
      </c>
      <c r="D5" s="6">
        <v>8289850</v>
      </c>
      <c r="E5" s="6">
        <v>-2256550</v>
      </c>
      <c r="F5" s="6">
        <v>2119104</v>
      </c>
      <c r="G5" t="s">
        <v>586</v>
      </c>
    </row>
    <row r="6" spans="1:7" x14ac:dyDescent="0.2">
      <c r="A6" t="s">
        <v>596</v>
      </c>
      <c r="B6" t="s">
        <v>587</v>
      </c>
      <c r="C6">
        <v>660</v>
      </c>
      <c r="D6" s="6">
        <v>17665800</v>
      </c>
      <c r="E6" s="6">
        <v>-394100</v>
      </c>
      <c r="F6" s="6">
        <v>8280985</v>
      </c>
      <c r="G6" t="s">
        <v>587</v>
      </c>
    </row>
    <row r="7" spans="1:7" x14ac:dyDescent="0.2">
      <c r="C7">
        <f>SUM(C4:C6)</f>
        <v>4367</v>
      </c>
      <c r="D7" s="6">
        <f t="shared" ref="D7:F7" si="0">SUM(D4:D6)</f>
        <v>69669850</v>
      </c>
      <c r="E7" s="6">
        <f t="shared" si="0"/>
        <v>-2957750</v>
      </c>
      <c r="F7" s="6">
        <f t="shared" si="0"/>
        <v>27156689</v>
      </c>
    </row>
    <row r="9" spans="1:7" x14ac:dyDescent="0.2">
      <c r="C9" t="s">
        <v>597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EEA7-D34B-4F1D-90DF-24BA77B58AE2}">
  <dimension ref="A1:Y77"/>
  <sheetViews>
    <sheetView topLeftCell="A32" zoomScale="70" zoomScaleNormal="70" workbookViewId="0">
      <selection activeCell="D72" sqref="D72"/>
    </sheetView>
  </sheetViews>
  <sheetFormatPr baseColWidth="10" defaultRowHeight="15" x14ac:dyDescent="0.2"/>
  <cols>
    <col min="2" max="13" width="14.1640625" customWidth="1"/>
    <col min="20" max="20" width="10.83203125" customWidth="1"/>
  </cols>
  <sheetData>
    <row r="1" spans="1:25" ht="16" thickBot="1" x14ac:dyDescent="0.25"/>
    <row r="2" spans="1:25" ht="16" thickBot="1" x14ac:dyDescent="0.25">
      <c r="I2" s="78" t="s">
        <v>636</v>
      </c>
      <c r="J2" s="79"/>
      <c r="K2" s="79"/>
      <c r="L2" s="79"/>
      <c r="M2" s="80"/>
    </row>
    <row r="3" spans="1:25" ht="16" thickBot="1" x14ac:dyDescent="0.25">
      <c r="I3" s="25" t="s">
        <v>5</v>
      </c>
      <c r="J3" s="24" t="s">
        <v>637</v>
      </c>
      <c r="K3" s="30" t="s">
        <v>6</v>
      </c>
      <c r="L3" s="24" t="s">
        <v>638</v>
      </c>
      <c r="M3" s="36" t="s">
        <v>639</v>
      </c>
    </row>
    <row r="4" spans="1:25" ht="16" thickBot="1" x14ac:dyDescent="0.25">
      <c r="I4" s="34">
        <v>2117</v>
      </c>
      <c r="J4" s="26">
        <v>4000000</v>
      </c>
      <c r="K4" s="26">
        <v>3000000</v>
      </c>
      <c r="L4" s="35" t="e">
        <f>I4/(#REF!+#REF!+#REF!+#REF!)</f>
        <v>#REF!</v>
      </c>
      <c r="M4" s="29" t="e">
        <f>J4/(#REF!+#REF!+#REF!+#REF!)</f>
        <v>#REF!</v>
      </c>
    </row>
    <row r="5" spans="1:25" ht="16" thickBot="1" x14ac:dyDescent="0.25">
      <c r="I5" s="78" t="s">
        <v>640</v>
      </c>
      <c r="J5" s="79"/>
      <c r="K5" s="79"/>
      <c r="L5" s="79"/>
      <c r="M5" s="80"/>
    </row>
    <row r="6" spans="1:25" ht="16" thickBot="1" x14ac:dyDescent="0.25">
      <c r="I6" s="31" t="s">
        <v>5</v>
      </c>
      <c r="J6" s="30" t="s">
        <v>637</v>
      </c>
      <c r="K6" s="30" t="s">
        <v>6</v>
      </c>
      <c r="L6" s="30" t="s">
        <v>638</v>
      </c>
      <c r="M6" s="28" t="s">
        <v>639</v>
      </c>
    </row>
    <row r="7" spans="1:25" ht="16" thickBot="1" x14ac:dyDescent="0.25">
      <c r="I7" s="33">
        <v>4000</v>
      </c>
      <c r="J7" s="23">
        <v>15500000</v>
      </c>
      <c r="K7" s="23">
        <v>5000000</v>
      </c>
      <c r="L7" s="35" t="e">
        <f>I7/(#REF!+#REF!+#REF!+#REF!)</f>
        <v>#REF!</v>
      </c>
      <c r="M7" s="29" t="e">
        <f>J7/(#REF!+#REF!+#REF!+#REF!)</f>
        <v>#REF!</v>
      </c>
    </row>
    <row r="8" spans="1:25" ht="16" thickBot="1" x14ac:dyDescent="0.25">
      <c r="I8" s="78" t="s">
        <v>641</v>
      </c>
      <c r="J8" s="79"/>
      <c r="K8" s="79"/>
      <c r="L8" s="79"/>
      <c r="M8" s="80"/>
    </row>
    <row r="9" spans="1:25" ht="16" thickBot="1" x14ac:dyDescent="0.25">
      <c r="A9" s="87" t="s">
        <v>651</v>
      </c>
      <c r="B9" s="87"/>
      <c r="D9" s="87" t="s">
        <v>652</v>
      </c>
      <c r="E9" s="87"/>
      <c r="G9" s="87" t="s">
        <v>653</v>
      </c>
      <c r="H9" s="88"/>
      <c r="I9" s="25" t="s">
        <v>5</v>
      </c>
      <c r="J9" s="24" t="s">
        <v>637</v>
      </c>
      <c r="K9" s="30" t="s">
        <v>6</v>
      </c>
      <c r="L9" s="24" t="s">
        <v>638</v>
      </c>
      <c r="M9" s="36" t="s">
        <v>639</v>
      </c>
    </row>
    <row r="10" spans="1:25" ht="16" thickBot="1" x14ac:dyDescent="0.25">
      <c r="I10" s="33">
        <v>4000</v>
      </c>
      <c r="J10" s="23">
        <v>12500000</v>
      </c>
      <c r="K10" s="23">
        <v>5000000</v>
      </c>
      <c r="L10" s="35" t="e">
        <f>I10/(#REF!+#REF!+#REF!+#REF!)</f>
        <v>#REF!</v>
      </c>
      <c r="M10" s="29" t="e">
        <f>J10/(#REF!+#REF!+#REF!+#REF!)</f>
        <v>#REF!</v>
      </c>
    </row>
    <row r="11" spans="1:25" ht="16" thickBot="1" x14ac:dyDescent="0.25">
      <c r="I11" s="78" t="s">
        <v>642</v>
      </c>
      <c r="J11" s="79"/>
      <c r="K11" s="79"/>
      <c r="L11" s="79"/>
      <c r="M11" s="80"/>
    </row>
    <row r="12" spans="1:25" ht="16" thickBot="1" x14ac:dyDescent="0.25">
      <c r="A12" s="21"/>
      <c r="B12" s="21"/>
      <c r="C12" s="21"/>
      <c r="I12" s="25" t="s">
        <v>5</v>
      </c>
      <c r="J12" s="24" t="s">
        <v>637</v>
      </c>
      <c r="K12" s="30" t="s">
        <v>6</v>
      </c>
      <c r="L12" s="24" t="s">
        <v>638</v>
      </c>
      <c r="M12" s="36" t="s">
        <v>639</v>
      </c>
    </row>
    <row r="13" spans="1:25" ht="16" thickBot="1" x14ac:dyDescent="0.25">
      <c r="A13" s="15"/>
      <c r="B13" s="15"/>
      <c r="C13" s="21"/>
      <c r="I13" s="33">
        <v>4000</v>
      </c>
      <c r="J13" s="23">
        <v>12500000</v>
      </c>
      <c r="K13" s="23">
        <v>5000000</v>
      </c>
      <c r="L13" s="35" t="e">
        <f>I13/(#REF!+#REF!+#REF!+#REF!)</f>
        <v>#REF!</v>
      </c>
      <c r="M13" s="29" t="e">
        <f>J13/(#REF!+#REF!+#REF!+#REF!)</f>
        <v>#REF!</v>
      </c>
    </row>
    <row r="14" spans="1:25" ht="16" thickBot="1" x14ac:dyDescent="0.25">
      <c r="A14" s="81" t="s">
        <v>643</v>
      </c>
      <c r="B14" s="82"/>
      <c r="C14" s="83"/>
      <c r="D14" s="84" t="s">
        <v>644</v>
      </c>
      <c r="E14" s="85"/>
      <c r="F14" s="85"/>
      <c r="G14" s="85"/>
      <c r="H14" s="86"/>
    </row>
    <row r="15" spans="1:25" ht="16" thickBot="1" x14ac:dyDescent="0.25">
      <c r="A15" s="39" t="s">
        <v>5</v>
      </c>
      <c r="B15" s="40" t="s">
        <v>637</v>
      </c>
      <c r="C15" s="28" t="s">
        <v>6</v>
      </c>
      <c r="D15" s="40" t="s">
        <v>5</v>
      </c>
      <c r="E15" s="24" t="s">
        <v>637</v>
      </c>
      <c r="F15" s="30" t="s">
        <v>6</v>
      </c>
      <c r="G15" s="24" t="s">
        <v>638</v>
      </c>
      <c r="H15" s="36" t="s">
        <v>639</v>
      </c>
    </row>
    <row r="16" spans="1:25" ht="25" thickBot="1" x14ac:dyDescent="0.35">
      <c r="A16" s="68">
        <v>16117</v>
      </c>
      <c r="B16" s="71">
        <v>54000000</v>
      </c>
      <c r="C16" s="70">
        <v>20000000</v>
      </c>
      <c r="D16" s="69">
        <v>14117</v>
      </c>
      <c r="E16" s="26">
        <v>44000000</v>
      </c>
      <c r="F16" s="26">
        <v>18000000</v>
      </c>
      <c r="G16" s="35">
        <f>D16/(D16+D19)</f>
        <v>0.87590742694049761</v>
      </c>
      <c r="H16" s="29">
        <f>E16/(E16+E19)</f>
        <v>0.81481481481481477</v>
      </c>
      <c r="N16" s="99" t="s">
        <v>658</v>
      </c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spans="1:13" ht="16" thickBot="1" x14ac:dyDescent="0.25">
      <c r="A17" s="15"/>
      <c r="B17" s="15"/>
      <c r="C17" s="21"/>
      <c r="D17" s="72" t="s">
        <v>657</v>
      </c>
      <c r="E17" s="73"/>
      <c r="F17" s="73"/>
      <c r="G17" s="73"/>
      <c r="H17" s="74"/>
    </row>
    <row r="18" spans="1:13" x14ac:dyDescent="0.2">
      <c r="A18" s="15"/>
      <c r="B18" s="15"/>
      <c r="C18" s="21"/>
      <c r="D18" s="32" t="s">
        <v>5</v>
      </c>
      <c r="E18" s="38" t="s">
        <v>637</v>
      </c>
      <c r="F18" s="41" t="s">
        <v>6</v>
      </c>
      <c r="G18" s="42"/>
      <c r="H18" s="43"/>
    </row>
    <row r="19" spans="1:13" ht="16" thickBot="1" x14ac:dyDescent="0.25">
      <c r="A19" s="15"/>
      <c r="B19" s="15"/>
      <c r="C19" s="21"/>
      <c r="D19" s="33">
        <v>2000</v>
      </c>
      <c r="E19" s="23">
        <v>10000000</v>
      </c>
      <c r="F19" s="23">
        <v>2000000</v>
      </c>
      <c r="G19" s="44">
        <f>D19/(D19+D16)</f>
        <v>0.12409257305950239</v>
      </c>
      <c r="H19" s="45">
        <f>E19/(E19+E16)</f>
        <v>0.18518518518518517</v>
      </c>
    </row>
    <row r="20" spans="1:13" ht="16" thickBot="1" x14ac:dyDescent="0.25">
      <c r="A20" s="15"/>
      <c r="B20" s="15"/>
      <c r="C20" s="21"/>
      <c r="I20" s="75" t="s">
        <v>645</v>
      </c>
      <c r="J20" s="76"/>
      <c r="K20" s="76"/>
      <c r="L20" s="76"/>
      <c r="M20" s="77"/>
    </row>
    <row r="21" spans="1:13" ht="16" thickBot="1" x14ac:dyDescent="0.25">
      <c r="A21" s="15"/>
      <c r="B21" s="15"/>
      <c r="C21" s="21"/>
      <c r="I21" s="25" t="s">
        <v>5</v>
      </c>
      <c r="J21" s="24" t="s">
        <v>637</v>
      </c>
      <c r="K21" s="30" t="s">
        <v>6</v>
      </c>
      <c r="L21" s="24" t="s">
        <v>638</v>
      </c>
      <c r="M21" s="36" t="s">
        <v>639</v>
      </c>
    </row>
    <row r="22" spans="1:13" ht="16" thickBot="1" x14ac:dyDescent="0.25">
      <c r="A22" s="15"/>
      <c r="B22" s="15"/>
      <c r="C22" s="21"/>
      <c r="I22" s="33">
        <v>300</v>
      </c>
      <c r="J22" s="23">
        <v>2000000</v>
      </c>
      <c r="K22" s="23">
        <v>18000000</v>
      </c>
      <c r="L22" s="35" t="e">
        <f>I22/(#REF!+#REF!+#REF!+#REF!)</f>
        <v>#REF!</v>
      </c>
      <c r="M22" s="29" t="e">
        <f>J22/(#REF!+#REF!+#REF!+#REF!)</f>
        <v>#REF!</v>
      </c>
    </row>
    <row r="23" spans="1:13" ht="16" thickBot="1" x14ac:dyDescent="0.25">
      <c r="A23" s="15"/>
      <c r="B23" s="15"/>
      <c r="C23" s="21"/>
      <c r="I23" s="75" t="s">
        <v>646</v>
      </c>
      <c r="J23" s="76"/>
      <c r="K23" s="76"/>
      <c r="L23" s="76"/>
      <c r="M23" s="77"/>
    </row>
    <row r="24" spans="1:13" ht="16" thickBot="1" x14ac:dyDescent="0.25">
      <c r="A24" s="15"/>
      <c r="B24" s="15"/>
      <c r="C24" s="21"/>
      <c r="I24" s="31" t="s">
        <v>5</v>
      </c>
      <c r="J24" s="30" t="s">
        <v>637</v>
      </c>
      <c r="K24" s="30" t="s">
        <v>6</v>
      </c>
      <c r="L24" s="30" t="s">
        <v>638</v>
      </c>
      <c r="M24" s="28" t="s">
        <v>639</v>
      </c>
    </row>
    <row r="25" spans="1:13" ht="16" thickBot="1" x14ac:dyDescent="0.25">
      <c r="A25" s="15"/>
      <c r="B25" s="15"/>
      <c r="C25" s="21"/>
      <c r="I25" s="33">
        <v>200</v>
      </c>
      <c r="J25" s="23">
        <v>1000000</v>
      </c>
      <c r="K25" s="23">
        <v>18000000</v>
      </c>
      <c r="L25" s="35" t="e">
        <f>I25/(#REF!+#REF!+#REF!+#REF!)</f>
        <v>#REF!</v>
      </c>
      <c r="M25" s="29" t="e">
        <f>J25/(#REF!+#REF!+#REF!+#REF!)</f>
        <v>#REF!</v>
      </c>
    </row>
    <row r="26" spans="1:13" ht="16" thickBot="1" x14ac:dyDescent="0.25">
      <c r="A26" s="15"/>
      <c r="B26" s="15"/>
      <c r="C26" s="21"/>
      <c r="I26" s="75" t="s">
        <v>647</v>
      </c>
      <c r="J26" s="76"/>
      <c r="K26" s="76"/>
      <c r="L26" s="76"/>
      <c r="M26" s="77"/>
    </row>
    <row r="27" spans="1:13" ht="16" thickBot="1" x14ac:dyDescent="0.25">
      <c r="A27" s="15" t="s">
        <v>648</v>
      </c>
      <c r="B27" s="15"/>
      <c r="C27" s="21"/>
      <c r="I27" s="25" t="s">
        <v>5</v>
      </c>
      <c r="J27" s="24" t="s">
        <v>637</v>
      </c>
      <c r="K27" s="30" t="s">
        <v>6</v>
      </c>
      <c r="L27" s="24" t="s">
        <v>638</v>
      </c>
      <c r="M27" s="36" t="s">
        <v>639</v>
      </c>
    </row>
    <row r="28" spans="1:13" ht="16" thickBot="1" x14ac:dyDescent="0.25">
      <c r="A28" s="15"/>
      <c r="B28" s="15"/>
      <c r="C28" s="21"/>
      <c r="I28" s="33">
        <v>750</v>
      </c>
      <c r="J28" s="23">
        <v>3500000</v>
      </c>
      <c r="K28" s="23">
        <v>18000000</v>
      </c>
      <c r="L28" s="35" t="e">
        <f>I28/(#REF!+#REF!+#REF!+#REF!)</f>
        <v>#REF!</v>
      </c>
      <c r="M28" s="29" t="e">
        <f>J28/(#REF!+#REF!+#REF!+#REF!)</f>
        <v>#REF!</v>
      </c>
    </row>
    <row r="29" spans="1:13" ht="16" thickBot="1" x14ac:dyDescent="0.25">
      <c r="A29" s="15" t="s">
        <v>648</v>
      </c>
      <c r="B29" s="15"/>
      <c r="C29" s="21"/>
      <c r="I29" s="75" t="s">
        <v>649</v>
      </c>
      <c r="J29" s="76"/>
      <c r="K29" s="76"/>
      <c r="L29" s="76"/>
      <c r="M29" s="77"/>
    </row>
    <row r="30" spans="1:13" ht="16" thickBot="1" x14ac:dyDescent="0.25">
      <c r="A30" s="15"/>
      <c r="B30" s="15"/>
      <c r="C30" s="21"/>
      <c r="I30" s="25" t="s">
        <v>5</v>
      </c>
      <c r="J30" s="24" t="s">
        <v>637</v>
      </c>
      <c r="K30" s="30" t="s">
        <v>6</v>
      </c>
      <c r="L30" s="24" t="s">
        <v>638</v>
      </c>
      <c r="M30" s="36" t="s">
        <v>639</v>
      </c>
    </row>
    <row r="31" spans="1:13" ht="16" thickBot="1" x14ac:dyDescent="0.25">
      <c r="A31" s="15" t="s">
        <v>648</v>
      </c>
      <c r="B31" s="15"/>
      <c r="C31" s="21"/>
      <c r="I31" s="33">
        <v>750</v>
      </c>
      <c r="J31" s="23">
        <v>3500000</v>
      </c>
      <c r="K31" s="23">
        <v>18000000</v>
      </c>
      <c r="L31" s="35" t="e">
        <f>I31/(#REF!+#REF!+#REF!+#REF!)</f>
        <v>#REF!</v>
      </c>
      <c r="M31" s="29" t="e">
        <f>J31/(#REF!+#REF!+#REF!+#REF!)</f>
        <v>#REF!</v>
      </c>
    </row>
    <row r="32" spans="1:13" x14ac:dyDescent="0.2">
      <c r="A32" s="15"/>
      <c r="B32" s="15"/>
      <c r="C32" s="21"/>
      <c r="I32" s="65"/>
      <c r="J32" s="50"/>
      <c r="K32" s="50"/>
      <c r="L32" s="66"/>
      <c r="M32" s="66"/>
    </row>
    <row r="38" spans="9:25" ht="16" thickBot="1" x14ac:dyDescent="0.25"/>
    <row r="39" spans="9:25" ht="16" thickBot="1" x14ac:dyDescent="0.25">
      <c r="J39" s="98" t="s">
        <v>655</v>
      </c>
      <c r="K39" s="95"/>
      <c r="L39" s="96"/>
      <c r="P39" s="94" t="s">
        <v>595</v>
      </c>
      <c r="Q39" s="95"/>
      <c r="R39" s="96"/>
      <c r="V39" s="94" t="s">
        <v>594</v>
      </c>
      <c r="W39" s="95"/>
      <c r="X39" s="96"/>
    </row>
    <row r="40" spans="9:25" ht="16" thickBot="1" x14ac:dyDescent="0.25">
      <c r="I40" s="78" t="s">
        <v>636</v>
      </c>
      <c r="J40" s="97"/>
      <c r="K40" s="97"/>
      <c r="L40" s="97"/>
      <c r="M40" s="80"/>
      <c r="O40" s="78" t="s">
        <v>636</v>
      </c>
      <c r="P40" s="97"/>
      <c r="Q40" s="97"/>
      <c r="R40" s="97"/>
      <c r="S40" s="80"/>
      <c r="U40" s="78" t="s">
        <v>636</v>
      </c>
      <c r="V40" s="97"/>
      <c r="W40" s="97"/>
      <c r="X40" s="97"/>
      <c r="Y40" s="80"/>
    </row>
    <row r="41" spans="9:25" ht="16" thickBot="1" x14ac:dyDescent="0.25">
      <c r="I41" s="25" t="s">
        <v>5</v>
      </c>
      <c r="J41" s="24" t="s">
        <v>637</v>
      </c>
      <c r="K41" s="30" t="s">
        <v>6</v>
      </c>
      <c r="L41" s="24" t="s">
        <v>638</v>
      </c>
      <c r="M41" s="36" t="s">
        <v>639</v>
      </c>
      <c r="O41" s="25" t="s">
        <v>5</v>
      </c>
      <c r="P41" s="24" t="s">
        <v>637</v>
      </c>
      <c r="Q41" s="30" t="s">
        <v>6</v>
      </c>
      <c r="R41" s="24" t="s">
        <v>638</v>
      </c>
      <c r="S41" s="36" t="s">
        <v>639</v>
      </c>
      <c r="U41" s="25" t="s">
        <v>5</v>
      </c>
      <c r="V41" s="24" t="s">
        <v>637</v>
      </c>
      <c r="W41" s="30" t="s">
        <v>6</v>
      </c>
      <c r="X41" s="24" t="s">
        <v>638</v>
      </c>
      <c r="Y41" s="36" t="s">
        <v>639</v>
      </c>
    </row>
    <row r="42" spans="9:25" ht="16" thickBot="1" x14ac:dyDescent="0.25">
      <c r="I42" s="34"/>
      <c r="J42" s="26"/>
      <c r="K42" s="26"/>
      <c r="L42" s="35" t="e">
        <f>I42/(#REF!+#REF!+#REF!+#REF!)</f>
        <v>#REF!</v>
      </c>
      <c r="M42" s="29" t="e">
        <f>J42/(#REF!+#REF!+#REF!+#REF!)</f>
        <v>#REF!</v>
      </c>
      <c r="O42" s="34"/>
      <c r="P42" s="26"/>
      <c r="Q42" s="26"/>
      <c r="R42" s="35" t="e">
        <f>O42/(#REF!+#REF!+#REF!+#REF!)</f>
        <v>#REF!</v>
      </c>
      <c r="S42" s="29" t="e">
        <f>P42/(#REF!+#REF!+#REF!+#REF!)</f>
        <v>#REF!</v>
      </c>
      <c r="U42" s="34"/>
      <c r="V42" s="26"/>
      <c r="W42" s="26"/>
      <c r="X42" s="35" t="e">
        <f>U42/(#REF!+#REF!+#REF!+#REF!)</f>
        <v>#REF!</v>
      </c>
      <c r="Y42" s="29" t="e">
        <f>V42/(#REF!+#REF!+#REF!+#REF!)</f>
        <v>#REF!</v>
      </c>
    </row>
    <row r="43" spans="9:25" ht="16" thickBot="1" x14ac:dyDescent="0.25">
      <c r="I43" s="78" t="s">
        <v>640</v>
      </c>
      <c r="J43" s="79"/>
      <c r="K43" s="79"/>
      <c r="L43" s="79"/>
      <c r="M43" s="80"/>
      <c r="O43" s="78" t="s">
        <v>640</v>
      </c>
      <c r="P43" s="79"/>
      <c r="Q43" s="79"/>
      <c r="R43" s="79"/>
      <c r="S43" s="80"/>
      <c r="U43" s="78" t="s">
        <v>640</v>
      </c>
      <c r="V43" s="79"/>
      <c r="W43" s="79"/>
      <c r="X43" s="79"/>
      <c r="Y43" s="80"/>
    </row>
    <row r="44" spans="9:25" ht="16" thickBot="1" x14ac:dyDescent="0.25">
      <c r="I44" s="31" t="s">
        <v>5</v>
      </c>
      <c r="J44" s="30" t="s">
        <v>637</v>
      </c>
      <c r="K44" s="30" t="s">
        <v>6</v>
      </c>
      <c r="L44" s="30" t="s">
        <v>638</v>
      </c>
      <c r="M44" s="28" t="s">
        <v>639</v>
      </c>
      <c r="O44" s="31" t="s">
        <v>5</v>
      </c>
      <c r="P44" s="30" t="s">
        <v>637</v>
      </c>
      <c r="Q44" s="30" t="s">
        <v>6</v>
      </c>
      <c r="R44" s="30" t="s">
        <v>638</v>
      </c>
      <c r="S44" s="28" t="s">
        <v>639</v>
      </c>
      <c r="U44" s="31" t="s">
        <v>5</v>
      </c>
      <c r="V44" s="30" t="s">
        <v>637</v>
      </c>
      <c r="W44" s="30" t="s">
        <v>6</v>
      </c>
      <c r="X44" s="30" t="s">
        <v>638</v>
      </c>
      <c r="Y44" s="28" t="s">
        <v>639</v>
      </c>
    </row>
    <row r="45" spans="9:25" ht="16" thickBot="1" x14ac:dyDescent="0.25">
      <c r="I45" s="33"/>
      <c r="J45" s="23"/>
      <c r="K45" s="23"/>
      <c r="L45" s="35" t="e">
        <f>I45/(#REF!+#REF!+#REF!+#REF!)</f>
        <v>#REF!</v>
      </c>
      <c r="M45" s="29" t="e">
        <f>J45/(#REF!+#REF!+#REF!+#REF!)</f>
        <v>#REF!</v>
      </c>
      <c r="O45" s="33"/>
      <c r="P45" s="23"/>
      <c r="Q45" s="23"/>
      <c r="R45" s="35" t="e">
        <f>O45/(#REF!+#REF!+#REF!+#REF!)</f>
        <v>#REF!</v>
      </c>
      <c r="S45" s="29" t="e">
        <f>P45/(#REF!+#REF!+#REF!+#REF!)</f>
        <v>#REF!</v>
      </c>
      <c r="U45" s="33"/>
      <c r="V45" s="23"/>
      <c r="W45" s="23"/>
      <c r="X45" s="35" t="e">
        <f>U45/(#REF!+#REF!+#REF!+#REF!)</f>
        <v>#REF!</v>
      </c>
      <c r="Y45" s="29" t="e">
        <f>V45/(#REF!+#REF!+#REF!+#REF!)</f>
        <v>#REF!</v>
      </c>
    </row>
    <row r="46" spans="9:25" ht="16" thickBot="1" x14ac:dyDescent="0.25">
      <c r="I46" s="78" t="s">
        <v>641</v>
      </c>
      <c r="J46" s="79"/>
      <c r="K46" s="79"/>
      <c r="L46" s="79"/>
      <c r="M46" s="80"/>
      <c r="O46" s="78" t="s">
        <v>641</v>
      </c>
      <c r="P46" s="79"/>
      <c r="Q46" s="79"/>
      <c r="R46" s="79"/>
      <c r="S46" s="80"/>
      <c r="U46" s="78" t="s">
        <v>641</v>
      </c>
      <c r="V46" s="79"/>
      <c r="W46" s="79"/>
      <c r="X46" s="79"/>
      <c r="Y46" s="80"/>
    </row>
    <row r="47" spans="9:25" ht="16" thickBot="1" x14ac:dyDescent="0.25">
      <c r="I47" s="25" t="s">
        <v>5</v>
      </c>
      <c r="J47" s="24" t="s">
        <v>637</v>
      </c>
      <c r="K47" s="30" t="s">
        <v>6</v>
      </c>
      <c r="L47" s="24" t="s">
        <v>638</v>
      </c>
      <c r="M47" s="36" t="s">
        <v>639</v>
      </c>
      <c r="O47" s="25" t="s">
        <v>5</v>
      </c>
      <c r="P47" s="24" t="s">
        <v>637</v>
      </c>
      <c r="Q47" s="30" t="s">
        <v>6</v>
      </c>
      <c r="R47" s="24" t="s">
        <v>638</v>
      </c>
      <c r="S47" s="36" t="s">
        <v>639</v>
      </c>
      <c r="U47" s="25" t="s">
        <v>5</v>
      </c>
      <c r="V47" s="24" t="s">
        <v>637</v>
      </c>
      <c r="W47" s="30" t="s">
        <v>6</v>
      </c>
      <c r="X47" s="24" t="s">
        <v>638</v>
      </c>
      <c r="Y47" s="36" t="s">
        <v>639</v>
      </c>
    </row>
    <row r="48" spans="9:25" ht="16" thickBot="1" x14ac:dyDescent="0.25">
      <c r="I48" s="33"/>
      <c r="J48" s="23"/>
      <c r="K48" s="23"/>
      <c r="L48" s="35" t="e">
        <f>I48/(#REF!+#REF!+#REF!+#REF!)</f>
        <v>#REF!</v>
      </c>
      <c r="M48" s="29" t="e">
        <f>J48/(#REF!+#REF!+#REF!+#REF!)</f>
        <v>#REF!</v>
      </c>
      <c r="O48" s="33"/>
      <c r="P48" s="23"/>
      <c r="Q48" s="23"/>
      <c r="R48" s="35" t="e">
        <f>O48/(#REF!+#REF!+#REF!+#REF!)</f>
        <v>#REF!</v>
      </c>
      <c r="S48" s="29" t="e">
        <f>P48/(#REF!+#REF!+#REF!+#REF!)</f>
        <v>#REF!</v>
      </c>
      <c r="U48" s="33"/>
      <c r="V48" s="23"/>
      <c r="W48" s="23"/>
      <c r="X48" s="35" t="e">
        <f>U48/(#REF!+#REF!+#REF!+#REF!)</f>
        <v>#REF!</v>
      </c>
      <c r="Y48" s="29" t="e">
        <f>V48/(#REF!+#REF!+#REF!+#REF!)</f>
        <v>#REF!</v>
      </c>
    </row>
    <row r="49" spans="1:25" ht="16" thickBot="1" x14ac:dyDescent="0.25">
      <c r="I49" s="78" t="s">
        <v>642</v>
      </c>
      <c r="J49" s="79"/>
      <c r="K49" s="79"/>
      <c r="L49" s="79"/>
      <c r="M49" s="80"/>
      <c r="O49" s="78" t="s">
        <v>642</v>
      </c>
      <c r="P49" s="79"/>
      <c r="Q49" s="79"/>
      <c r="R49" s="79"/>
      <c r="S49" s="80"/>
      <c r="U49" s="78" t="s">
        <v>642</v>
      </c>
      <c r="V49" s="79"/>
      <c r="W49" s="79"/>
      <c r="X49" s="79"/>
      <c r="Y49" s="80"/>
    </row>
    <row r="50" spans="1:25" ht="16" thickBot="1" x14ac:dyDescent="0.25">
      <c r="I50" s="53" t="s">
        <v>5</v>
      </c>
      <c r="J50" s="54" t="s">
        <v>637</v>
      </c>
      <c r="K50" s="30" t="s">
        <v>6</v>
      </c>
      <c r="L50" s="24" t="s">
        <v>638</v>
      </c>
      <c r="M50" s="36" t="s">
        <v>639</v>
      </c>
      <c r="O50" s="53" t="s">
        <v>5</v>
      </c>
      <c r="P50" s="54" t="s">
        <v>637</v>
      </c>
      <c r="Q50" s="30" t="s">
        <v>6</v>
      </c>
      <c r="R50" s="24" t="s">
        <v>638</v>
      </c>
      <c r="S50" s="36" t="s">
        <v>639</v>
      </c>
      <c r="U50" s="53" t="s">
        <v>5</v>
      </c>
      <c r="V50" s="54" t="s">
        <v>637</v>
      </c>
      <c r="W50" s="30" t="s">
        <v>6</v>
      </c>
      <c r="X50" s="24" t="s">
        <v>638</v>
      </c>
      <c r="Y50" s="36" t="s">
        <v>639</v>
      </c>
    </row>
    <row r="51" spans="1:25" ht="16" thickBot="1" x14ac:dyDescent="0.25">
      <c r="I51" s="55"/>
      <c r="J51" s="56"/>
      <c r="K51" s="23"/>
      <c r="L51" s="35" t="e">
        <f>I51/(#REF!+#REF!+#REF!+#REF!)</f>
        <v>#REF!</v>
      </c>
      <c r="M51" s="29" t="e">
        <f>J51/(#REF!+#REF!+#REF!+#REF!)</f>
        <v>#REF!</v>
      </c>
      <c r="O51" s="55"/>
      <c r="P51" s="56"/>
      <c r="Q51" s="23"/>
      <c r="R51" s="35" t="e">
        <f>O51/(#REF!+#REF!+#REF!+#REF!)</f>
        <v>#REF!</v>
      </c>
      <c r="S51" s="29" t="e">
        <f>P51/(#REF!+#REF!+#REF!+#REF!)</f>
        <v>#REF!</v>
      </c>
      <c r="U51" s="55"/>
      <c r="V51" s="56"/>
      <c r="W51" s="23"/>
      <c r="X51" s="35" t="e">
        <f>U51/(#REF!+#REF!+#REF!+#REF!)</f>
        <v>#REF!</v>
      </c>
      <c r="Y51" s="29" t="e">
        <f>V51/(#REF!+#REF!+#REF!+#REF!)</f>
        <v>#REF!</v>
      </c>
    </row>
    <row r="52" spans="1:25" x14ac:dyDescent="0.2">
      <c r="I52" s="51"/>
    </row>
    <row r="53" spans="1:25" x14ac:dyDescent="0.2">
      <c r="I53" s="51"/>
    </row>
    <row r="54" spans="1:25" x14ac:dyDescent="0.2">
      <c r="I54" s="51"/>
    </row>
    <row r="55" spans="1:25" ht="16" thickBot="1" x14ac:dyDescent="0.25">
      <c r="I55" s="51"/>
    </row>
    <row r="56" spans="1:25" ht="16" thickBot="1" x14ac:dyDescent="0.25">
      <c r="A56" s="81" t="s">
        <v>643</v>
      </c>
      <c r="B56" s="82"/>
      <c r="C56" s="83"/>
      <c r="D56" s="84" t="s">
        <v>644</v>
      </c>
      <c r="E56" s="85"/>
      <c r="F56" s="85"/>
      <c r="G56" s="85"/>
      <c r="H56" s="86"/>
      <c r="S56" s="61"/>
      <c r="U56" s="61"/>
      <c r="V56" s="61"/>
      <c r="Y56" s="61"/>
    </row>
    <row r="57" spans="1:25" ht="25" thickBot="1" x14ac:dyDescent="0.35">
      <c r="A57" s="39" t="s">
        <v>5</v>
      </c>
      <c r="B57" s="40" t="s">
        <v>637</v>
      </c>
      <c r="C57" s="28" t="s">
        <v>6</v>
      </c>
      <c r="D57" s="40" t="s">
        <v>5</v>
      </c>
      <c r="E57" s="24" t="s">
        <v>637</v>
      </c>
      <c r="F57" s="30" t="s">
        <v>6</v>
      </c>
      <c r="G57" s="24" t="s">
        <v>638</v>
      </c>
      <c r="H57" s="36" t="s">
        <v>639</v>
      </c>
      <c r="N57" s="58"/>
      <c r="O57" s="59"/>
      <c r="P57" s="60"/>
      <c r="Q57" s="59"/>
      <c r="R57" s="59"/>
      <c r="S57" s="60"/>
      <c r="T57" s="60"/>
      <c r="U57" s="57"/>
      <c r="V57" s="62"/>
      <c r="W57" s="59"/>
      <c r="X57" s="60"/>
      <c r="Y57" s="63"/>
    </row>
    <row r="58" spans="1:25" ht="25" thickBot="1" x14ac:dyDescent="0.35">
      <c r="A58" s="34">
        <v>16117</v>
      </c>
      <c r="B58" s="71">
        <v>54000000</v>
      </c>
      <c r="C58" s="67">
        <v>20000000</v>
      </c>
      <c r="D58" s="69">
        <v>14117</v>
      </c>
      <c r="E58" s="26">
        <v>44000000</v>
      </c>
      <c r="F58" s="26">
        <v>18000000</v>
      </c>
      <c r="G58" s="35">
        <f>D58/(D58+D61)</f>
        <v>0.87590742694049761</v>
      </c>
      <c r="H58" s="29">
        <f>E58/(E58+E61)</f>
        <v>0.81481481481481477</v>
      </c>
      <c r="N58" s="93" t="s">
        <v>654</v>
      </c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</row>
    <row r="59" spans="1:25" ht="16" thickBot="1" x14ac:dyDescent="0.25">
      <c r="A59" s="15"/>
      <c r="B59" s="15"/>
      <c r="C59" s="21"/>
      <c r="D59" s="72" t="s">
        <v>656</v>
      </c>
      <c r="E59" s="73"/>
      <c r="F59" s="73"/>
      <c r="G59" s="73"/>
      <c r="H59" s="74"/>
    </row>
    <row r="60" spans="1:25" x14ac:dyDescent="0.2">
      <c r="A60" s="15"/>
      <c r="B60" s="15"/>
      <c r="C60" s="21"/>
      <c r="D60" s="32" t="s">
        <v>5</v>
      </c>
      <c r="E60" s="38" t="s">
        <v>637</v>
      </c>
      <c r="F60" s="41" t="s">
        <v>6</v>
      </c>
      <c r="G60" s="42"/>
      <c r="H60" s="43"/>
    </row>
    <row r="61" spans="1:25" ht="16" thickBot="1" x14ac:dyDescent="0.25">
      <c r="A61" s="15"/>
      <c r="B61" s="15"/>
      <c r="C61" s="21"/>
      <c r="D61" s="33">
        <v>2000</v>
      </c>
      <c r="E61" s="23">
        <v>10000000</v>
      </c>
      <c r="F61" s="23">
        <v>2000000</v>
      </c>
      <c r="G61" s="44">
        <f>D61/(D61+D58)</f>
        <v>0.12409257305950239</v>
      </c>
      <c r="H61" s="45">
        <f>E61/(E61+E58)</f>
        <v>0.18518518518518517</v>
      </c>
      <c r="I61" s="51"/>
    </row>
    <row r="62" spans="1:25" x14ac:dyDescent="0.2">
      <c r="I62" s="51"/>
    </row>
    <row r="63" spans="1:25" x14ac:dyDescent="0.2">
      <c r="I63" s="51"/>
    </row>
    <row r="64" spans="1:25" ht="16" thickBot="1" x14ac:dyDescent="0.25">
      <c r="I64" s="51"/>
    </row>
    <row r="65" spans="9:25" ht="16" thickBot="1" x14ac:dyDescent="0.25">
      <c r="I65" s="52"/>
      <c r="J65" s="90" t="s">
        <v>609</v>
      </c>
      <c r="K65" s="91"/>
      <c r="L65" s="92"/>
      <c r="O65" s="64"/>
      <c r="P65" s="90" t="s">
        <v>595</v>
      </c>
      <c r="Q65" s="91"/>
      <c r="R65" s="92"/>
      <c r="U65" s="64"/>
      <c r="V65" s="90" t="s">
        <v>594</v>
      </c>
      <c r="W65" s="91"/>
      <c r="X65" s="92"/>
    </row>
    <row r="66" spans="9:25" ht="16" thickBot="1" x14ac:dyDescent="0.25">
      <c r="I66" s="75" t="s">
        <v>645</v>
      </c>
      <c r="J66" s="89"/>
      <c r="K66" s="89"/>
      <c r="L66" s="89"/>
      <c r="M66" s="77"/>
      <c r="O66" s="75" t="s">
        <v>645</v>
      </c>
      <c r="P66" s="89"/>
      <c r="Q66" s="89"/>
      <c r="R66" s="89"/>
      <c r="S66" s="77"/>
      <c r="U66" s="75" t="s">
        <v>645</v>
      </c>
      <c r="V66" s="89"/>
      <c r="W66" s="89"/>
      <c r="X66" s="89"/>
      <c r="Y66" s="77"/>
    </row>
    <row r="67" spans="9:25" ht="16" thickBot="1" x14ac:dyDescent="0.25">
      <c r="I67" s="25" t="s">
        <v>5</v>
      </c>
      <c r="J67" s="24" t="s">
        <v>637</v>
      </c>
      <c r="K67" s="30" t="s">
        <v>6</v>
      </c>
      <c r="L67" s="24" t="s">
        <v>638</v>
      </c>
      <c r="M67" s="36" t="s">
        <v>639</v>
      </c>
      <c r="O67" s="25" t="s">
        <v>5</v>
      </c>
      <c r="P67" s="24" t="s">
        <v>637</v>
      </c>
      <c r="Q67" s="30" t="s">
        <v>6</v>
      </c>
      <c r="R67" s="24" t="s">
        <v>638</v>
      </c>
      <c r="S67" s="36" t="s">
        <v>639</v>
      </c>
      <c r="U67" s="25" t="s">
        <v>5</v>
      </c>
      <c r="V67" s="24" t="s">
        <v>637</v>
      </c>
      <c r="W67" s="30" t="s">
        <v>6</v>
      </c>
      <c r="X67" s="24" t="s">
        <v>638</v>
      </c>
      <c r="Y67" s="36" t="s">
        <v>639</v>
      </c>
    </row>
    <row r="68" spans="9:25" ht="16" thickBot="1" x14ac:dyDescent="0.25">
      <c r="I68" s="33"/>
      <c r="J68" s="23"/>
      <c r="K68" s="23"/>
      <c r="L68" s="35" t="e">
        <f>I68/(#REF!+#REF!+#REF!+#REF!)</f>
        <v>#REF!</v>
      </c>
      <c r="M68" s="29" t="e">
        <f>J68/(#REF!+#REF!+#REF!+#REF!)</f>
        <v>#REF!</v>
      </c>
      <c r="O68" s="33"/>
      <c r="P68" s="23"/>
      <c r="Q68" s="23"/>
      <c r="R68" s="35" t="e">
        <f>O68/(#REF!+#REF!+#REF!+#REF!)</f>
        <v>#REF!</v>
      </c>
      <c r="S68" s="29" t="e">
        <f>P68/(#REF!+#REF!+#REF!+#REF!)</f>
        <v>#REF!</v>
      </c>
      <c r="U68" s="33"/>
      <c r="V68" s="23"/>
      <c r="W68" s="23"/>
      <c r="X68" s="35" t="e">
        <f>U68/(#REF!+#REF!+#REF!+#REF!)</f>
        <v>#REF!</v>
      </c>
      <c r="Y68" s="29" t="e">
        <f>V68/(#REF!+#REF!+#REF!+#REF!)</f>
        <v>#REF!</v>
      </c>
    </row>
    <row r="69" spans="9:25" ht="16" thickBot="1" x14ac:dyDescent="0.25">
      <c r="I69" s="75" t="s">
        <v>646</v>
      </c>
      <c r="J69" s="76"/>
      <c r="K69" s="76"/>
      <c r="L69" s="76"/>
      <c r="M69" s="77"/>
      <c r="O69" s="75" t="s">
        <v>646</v>
      </c>
      <c r="P69" s="76"/>
      <c r="Q69" s="76"/>
      <c r="R69" s="76"/>
      <c r="S69" s="77"/>
      <c r="U69" s="75" t="s">
        <v>646</v>
      </c>
      <c r="V69" s="76"/>
      <c r="W69" s="76"/>
      <c r="X69" s="76"/>
      <c r="Y69" s="77"/>
    </row>
    <row r="70" spans="9:25" ht="16" thickBot="1" x14ac:dyDescent="0.25">
      <c r="I70" s="31" t="s">
        <v>5</v>
      </c>
      <c r="J70" s="30" t="s">
        <v>637</v>
      </c>
      <c r="K70" s="30" t="s">
        <v>6</v>
      </c>
      <c r="L70" s="30" t="s">
        <v>638</v>
      </c>
      <c r="M70" s="28" t="s">
        <v>639</v>
      </c>
      <c r="O70" s="31" t="s">
        <v>5</v>
      </c>
      <c r="P70" s="30" t="s">
        <v>637</v>
      </c>
      <c r="Q70" s="30" t="s">
        <v>6</v>
      </c>
      <c r="R70" s="30" t="s">
        <v>638</v>
      </c>
      <c r="S70" s="28" t="s">
        <v>639</v>
      </c>
      <c r="U70" s="31" t="s">
        <v>5</v>
      </c>
      <c r="V70" s="30" t="s">
        <v>637</v>
      </c>
      <c r="W70" s="30" t="s">
        <v>6</v>
      </c>
      <c r="X70" s="30" t="s">
        <v>638</v>
      </c>
      <c r="Y70" s="28" t="s">
        <v>639</v>
      </c>
    </row>
    <row r="71" spans="9:25" ht="16" thickBot="1" x14ac:dyDescent="0.25">
      <c r="I71" s="33"/>
      <c r="J71" s="23"/>
      <c r="K71" s="23"/>
      <c r="L71" s="35" t="e">
        <f>I71/(#REF!+#REF!+#REF!+#REF!)</f>
        <v>#REF!</v>
      </c>
      <c r="M71" s="29" t="e">
        <f>J71/(#REF!+#REF!+#REF!+#REF!)</f>
        <v>#REF!</v>
      </c>
      <c r="O71" s="33"/>
      <c r="P71" s="23"/>
      <c r="Q71" s="23"/>
      <c r="R71" s="35" t="e">
        <f>O71/(#REF!+#REF!+#REF!+#REF!)</f>
        <v>#REF!</v>
      </c>
      <c r="S71" s="29" t="e">
        <f>P71/(#REF!+#REF!+#REF!+#REF!)</f>
        <v>#REF!</v>
      </c>
      <c r="U71" s="33"/>
      <c r="V71" s="23"/>
      <c r="W71" s="23"/>
      <c r="X71" s="35" t="e">
        <f>U71/(#REF!+#REF!+#REF!+#REF!)</f>
        <v>#REF!</v>
      </c>
      <c r="Y71" s="29" t="e">
        <f>V71/(#REF!+#REF!+#REF!+#REF!)</f>
        <v>#REF!</v>
      </c>
    </row>
    <row r="72" spans="9:25" ht="16" thickBot="1" x14ac:dyDescent="0.25">
      <c r="I72" s="75" t="s">
        <v>659</v>
      </c>
      <c r="J72" s="76"/>
      <c r="K72" s="76"/>
      <c r="L72" s="76"/>
      <c r="M72" s="77"/>
      <c r="O72" s="75" t="s">
        <v>659</v>
      </c>
      <c r="P72" s="76"/>
      <c r="Q72" s="76"/>
      <c r="R72" s="76"/>
      <c r="S72" s="77"/>
      <c r="U72" s="75" t="s">
        <v>659</v>
      </c>
      <c r="V72" s="76"/>
      <c r="W72" s="76"/>
      <c r="X72" s="76"/>
      <c r="Y72" s="77"/>
    </row>
    <row r="73" spans="9:25" ht="16" thickBot="1" x14ac:dyDescent="0.25">
      <c r="I73" s="25" t="s">
        <v>5</v>
      </c>
      <c r="J73" s="24" t="s">
        <v>637</v>
      </c>
      <c r="K73" s="30" t="s">
        <v>6</v>
      </c>
      <c r="L73" s="24" t="s">
        <v>638</v>
      </c>
      <c r="M73" s="36" t="s">
        <v>639</v>
      </c>
      <c r="O73" s="25" t="s">
        <v>5</v>
      </c>
      <c r="P73" s="24" t="s">
        <v>637</v>
      </c>
      <c r="Q73" s="30" t="s">
        <v>6</v>
      </c>
      <c r="R73" s="24" t="s">
        <v>638</v>
      </c>
      <c r="S73" s="36" t="s">
        <v>639</v>
      </c>
      <c r="U73" s="25" t="s">
        <v>5</v>
      </c>
      <c r="V73" s="24" t="s">
        <v>637</v>
      </c>
      <c r="W73" s="30" t="s">
        <v>6</v>
      </c>
      <c r="X73" s="24" t="s">
        <v>638</v>
      </c>
      <c r="Y73" s="36" t="s">
        <v>639</v>
      </c>
    </row>
    <row r="74" spans="9:25" ht="16" thickBot="1" x14ac:dyDescent="0.25">
      <c r="I74" s="33"/>
      <c r="J74" s="23"/>
      <c r="K74" s="23"/>
      <c r="L74" s="35" t="e">
        <f>I74/(#REF!+#REF!+#REF!+#REF!)</f>
        <v>#REF!</v>
      </c>
      <c r="M74" s="29" t="e">
        <f>J74/(#REF!+#REF!+#REF!+#REF!)</f>
        <v>#REF!</v>
      </c>
      <c r="O74" s="33"/>
      <c r="P74" s="23"/>
      <c r="Q74" s="23"/>
      <c r="R74" s="35"/>
      <c r="S74" s="29" t="e">
        <f>P74/(#REF!+#REF!+#REF!+#REF!)</f>
        <v>#REF!</v>
      </c>
      <c r="U74" s="33"/>
      <c r="V74" s="23"/>
      <c r="W74" s="23"/>
      <c r="X74" s="35" t="e">
        <f>U74/(#REF!+#REF!+#REF!+#REF!)</f>
        <v>#REF!</v>
      </c>
      <c r="Y74" s="29" t="e">
        <f>V74/(#REF!+#REF!+#REF!+#REF!)</f>
        <v>#REF!</v>
      </c>
    </row>
    <row r="75" spans="9:25" ht="16" thickBot="1" x14ac:dyDescent="0.25">
      <c r="I75" s="75" t="s">
        <v>649</v>
      </c>
      <c r="J75" s="76"/>
      <c r="K75" s="76"/>
      <c r="L75" s="76"/>
      <c r="M75" s="77"/>
      <c r="O75" s="75" t="s">
        <v>649</v>
      </c>
      <c r="P75" s="76"/>
      <c r="Q75" s="76"/>
      <c r="R75" s="76"/>
      <c r="S75" s="77"/>
      <c r="U75" s="75" t="s">
        <v>649</v>
      </c>
      <c r="V75" s="76"/>
      <c r="W75" s="76"/>
      <c r="X75" s="76"/>
      <c r="Y75" s="77"/>
    </row>
    <row r="76" spans="9:25" ht="16" thickBot="1" x14ac:dyDescent="0.25">
      <c r="I76" s="25" t="s">
        <v>5</v>
      </c>
      <c r="J76" s="24" t="s">
        <v>637</v>
      </c>
      <c r="K76" s="30" t="s">
        <v>6</v>
      </c>
      <c r="L76" s="24" t="s">
        <v>638</v>
      </c>
      <c r="M76" s="36" t="s">
        <v>639</v>
      </c>
      <c r="O76" s="25" t="s">
        <v>5</v>
      </c>
      <c r="P76" s="24" t="s">
        <v>637</v>
      </c>
      <c r="Q76" s="30" t="s">
        <v>6</v>
      </c>
      <c r="R76" s="24" t="s">
        <v>638</v>
      </c>
      <c r="S76" s="36" t="s">
        <v>639</v>
      </c>
      <c r="U76" s="25" t="s">
        <v>5</v>
      </c>
      <c r="V76" s="24" t="s">
        <v>637</v>
      </c>
      <c r="W76" s="30" t="s">
        <v>6</v>
      </c>
      <c r="X76" s="24" t="s">
        <v>638</v>
      </c>
      <c r="Y76" s="36" t="s">
        <v>639</v>
      </c>
    </row>
    <row r="77" spans="9:25" ht="16" thickBot="1" x14ac:dyDescent="0.25">
      <c r="I77" s="33"/>
      <c r="J77" s="23"/>
      <c r="K77" s="23"/>
      <c r="L77" s="35" t="e">
        <f>I77/(#REF!+#REF!+#REF!+#REF!)</f>
        <v>#REF!</v>
      </c>
      <c r="M77" s="29" t="e">
        <f>J77/(#REF!+#REF!+#REF!+#REF!)</f>
        <v>#REF!</v>
      </c>
      <c r="O77" s="33"/>
      <c r="P77" s="23"/>
      <c r="Q77" s="23"/>
      <c r="R77" s="35" t="e">
        <f>O77/(#REF!+#REF!+#REF!+#REF!)</f>
        <v>#REF!</v>
      </c>
      <c r="S77" s="29" t="e">
        <f>P77/(#REF!+#REF!+#REF!+#REF!)</f>
        <v>#REF!</v>
      </c>
      <c r="U77" s="33"/>
      <c r="V77" s="23"/>
      <c r="W77" s="23"/>
      <c r="X77" s="35" t="e">
        <f>U77/(#REF!+#REF!+#REF!+#REF!)</f>
        <v>#REF!</v>
      </c>
      <c r="Y77" s="29" t="e">
        <f>V77/(#REF!+#REF!+#REF!+#REF!)</f>
        <v>#REF!</v>
      </c>
    </row>
  </sheetData>
  <mergeCells count="49">
    <mergeCell ref="V65:X65"/>
    <mergeCell ref="U66:Y66"/>
    <mergeCell ref="U69:Y69"/>
    <mergeCell ref="U72:Y72"/>
    <mergeCell ref="U75:Y75"/>
    <mergeCell ref="P65:R65"/>
    <mergeCell ref="O66:S66"/>
    <mergeCell ref="O69:S69"/>
    <mergeCell ref="O72:S72"/>
    <mergeCell ref="O75:S75"/>
    <mergeCell ref="J39:L39"/>
    <mergeCell ref="P39:R39"/>
    <mergeCell ref="O40:S40"/>
    <mergeCell ref="O43:S43"/>
    <mergeCell ref="N16:Y16"/>
    <mergeCell ref="I40:M40"/>
    <mergeCell ref="I43:M43"/>
    <mergeCell ref="N58:Y58"/>
    <mergeCell ref="O46:S46"/>
    <mergeCell ref="O49:S49"/>
    <mergeCell ref="V39:X39"/>
    <mergeCell ref="U40:Y40"/>
    <mergeCell ref="U43:Y43"/>
    <mergeCell ref="U46:Y46"/>
    <mergeCell ref="U49:Y49"/>
    <mergeCell ref="I66:M66"/>
    <mergeCell ref="I69:M69"/>
    <mergeCell ref="I72:M72"/>
    <mergeCell ref="I75:M75"/>
    <mergeCell ref="J65:L65"/>
    <mergeCell ref="D59:H59"/>
    <mergeCell ref="I46:M46"/>
    <mergeCell ref="I49:M49"/>
    <mergeCell ref="A56:C56"/>
    <mergeCell ref="D56:H56"/>
    <mergeCell ref="I2:M2"/>
    <mergeCell ref="I5:M5"/>
    <mergeCell ref="I8:M8"/>
    <mergeCell ref="I11:M11"/>
    <mergeCell ref="A14:C14"/>
    <mergeCell ref="D14:H14"/>
    <mergeCell ref="A9:B9"/>
    <mergeCell ref="D9:E9"/>
    <mergeCell ref="G9:H9"/>
    <mergeCell ref="D17:H17"/>
    <mergeCell ref="I20:M20"/>
    <mergeCell ref="I23:M23"/>
    <mergeCell ref="I26:M26"/>
    <mergeCell ref="I29:M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BF840-723A-4E50-88CF-A49EE3722251}">
  <dimension ref="A3:J20"/>
  <sheetViews>
    <sheetView workbookViewId="0">
      <selection activeCell="J6" sqref="J6"/>
    </sheetView>
  </sheetViews>
  <sheetFormatPr baseColWidth="10" defaultRowHeight="15" x14ac:dyDescent="0.2"/>
  <cols>
    <col min="1" max="1" width="11.33203125" customWidth="1"/>
    <col min="2" max="2" width="10.83203125" bestFit="1" customWidth="1"/>
    <col min="3" max="5" width="20.83203125" bestFit="1" customWidth="1"/>
    <col min="6" max="6" width="13.5" bestFit="1" customWidth="1"/>
    <col min="7" max="7" width="2.5" customWidth="1"/>
    <col min="8" max="8" width="16.33203125" customWidth="1"/>
    <col min="9" max="9" width="13.83203125" customWidth="1"/>
    <col min="10" max="10" width="12.83203125" customWidth="1"/>
  </cols>
  <sheetData>
    <row r="3" spans="1:10" x14ac:dyDescent="0.2">
      <c r="A3" s="14" t="s">
        <v>608</v>
      </c>
      <c r="C3" s="14" t="s">
        <v>591</v>
      </c>
    </row>
    <row r="4" spans="1:10" x14ac:dyDescent="0.2">
      <c r="A4" s="14" t="s">
        <v>0</v>
      </c>
      <c r="B4" s="14" t="s">
        <v>1</v>
      </c>
      <c r="C4" t="s">
        <v>595</v>
      </c>
      <c r="D4" t="s">
        <v>594</v>
      </c>
      <c r="E4" t="s">
        <v>609</v>
      </c>
      <c r="F4" t="s">
        <v>607</v>
      </c>
      <c r="H4" s="22" t="s">
        <v>633</v>
      </c>
      <c r="I4" s="22" t="s">
        <v>634</v>
      </c>
      <c r="J4" s="22" t="s">
        <v>635</v>
      </c>
    </row>
    <row r="5" spans="1:10" x14ac:dyDescent="0.2">
      <c r="A5">
        <v>2025</v>
      </c>
      <c r="B5" t="s">
        <v>599</v>
      </c>
      <c r="C5" s="13"/>
      <c r="D5" s="13">
        <v>2754700</v>
      </c>
      <c r="E5" s="13">
        <v>37078300</v>
      </c>
      <c r="F5" s="13">
        <v>39833000</v>
      </c>
      <c r="G5" s="13"/>
      <c r="H5" s="27">
        <v>39853000</v>
      </c>
      <c r="I5" s="27">
        <v>39833000</v>
      </c>
      <c r="J5" s="27">
        <f>I5-H5</f>
        <v>-20000</v>
      </c>
    </row>
    <row r="6" spans="1:10" x14ac:dyDescent="0.2">
      <c r="B6" t="s">
        <v>604</v>
      </c>
      <c r="C6" s="13">
        <v>17114900</v>
      </c>
      <c r="D6" s="13">
        <v>6839150</v>
      </c>
      <c r="E6" s="13">
        <v>37896900</v>
      </c>
      <c r="F6" s="13">
        <v>61850950</v>
      </c>
      <c r="G6" s="13"/>
      <c r="H6" s="27">
        <v>40262150</v>
      </c>
      <c r="I6" s="27">
        <v>61850950</v>
      </c>
      <c r="J6" s="27">
        <f t="shared" ref="J6:J17" si="0">I6-H6</f>
        <v>21588800</v>
      </c>
    </row>
    <row r="7" spans="1:10" x14ac:dyDescent="0.2">
      <c r="B7" t="s">
        <v>598</v>
      </c>
      <c r="C7" s="13">
        <v>18791288</v>
      </c>
      <c r="D7" s="13">
        <v>8591250</v>
      </c>
      <c r="E7" s="13">
        <v>40581410</v>
      </c>
      <c r="F7" s="13">
        <v>67963948</v>
      </c>
      <c r="G7" s="13"/>
      <c r="H7" s="27">
        <v>44808350</v>
      </c>
      <c r="I7" s="27">
        <v>67963948</v>
      </c>
      <c r="J7" s="27">
        <f t="shared" si="0"/>
        <v>23155598</v>
      </c>
    </row>
    <row r="8" spans="1:10" x14ac:dyDescent="0.2">
      <c r="B8" t="s">
        <v>613</v>
      </c>
      <c r="C8" s="13">
        <v>12334600</v>
      </c>
      <c r="D8" s="13">
        <v>7261550</v>
      </c>
      <c r="E8" s="13">
        <v>32613800</v>
      </c>
      <c r="F8" s="13">
        <v>52209950</v>
      </c>
      <c r="G8" s="13"/>
      <c r="H8" s="27">
        <v>38728650</v>
      </c>
      <c r="I8" s="27">
        <v>52209950</v>
      </c>
      <c r="J8" s="27">
        <f t="shared" si="0"/>
        <v>13481300</v>
      </c>
    </row>
    <row r="9" spans="1:10" x14ac:dyDescent="0.2">
      <c r="B9" t="s">
        <v>615</v>
      </c>
      <c r="C9" s="13">
        <v>16006100</v>
      </c>
      <c r="D9" s="13">
        <v>3102999</v>
      </c>
      <c r="E9" s="13">
        <v>31623400</v>
      </c>
      <c r="F9" s="13">
        <v>50732499</v>
      </c>
      <c r="G9" s="13"/>
      <c r="H9" s="27">
        <v>39549750</v>
      </c>
      <c r="I9" s="27">
        <v>50732499</v>
      </c>
      <c r="J9" s="27">
        <f t="shared" si="0"/>
        <v>11182749</v>
      </c>
    </row>
    <row r="10" spans="1:10" x14ac:dyDescent="0.2">
      <c r="B10" t="s">
        <v>616</v>
      </c>
      <c r="C10" s="13">
        <v>13499400</v>
      </c>
      <c r="D10" s="13">
        <v>4520399</v>
      </c>
      <c r="E10" s="13">
        <v>32793700</v>
      </c>
      <c r="F10" s="13">
        <v>50813499</v>
      </c>
      <c r="G10" s="13"/>
      <c r="H10" s="27">
        <v>50134800</v>
      </c>
      <c r="I10" s="27">
        <v>50813499</v>
      </c>
      <c r="J10" s="27">
        <f t="shared" si="0"/>
        <v>678699</v>
      </c>
    </row>
    <row r="11" spans="1:10" x14ac:dyDescent="0.2">
      <c r="B11" t="s">
        <v>617</v>
      </c>
      <c r="C11" s="13">
        <v>11214500</v>
      </c>
      <c r="D11" s="13">
        <v>3663100</v>
      </c>
      <c r="E11" s="13">
        <v>29399700</v>
      </c>
      <c r="F11" s="13">
        <v>44277300</v>
      </c>
      <c r="G11" s="13"/>
      <c r="H11" s="27">
        <v>44279300</v>
      </c>
      <c r="I11" s="27">
        <v>44277300</v>
      </c>
      <c r="J11" s="27">
        <f t="shared" si="0"/>
        <v>-2000</v>
      </c>
    </row>
    <row r="12" spans="1:10" x14ac:dyDescent="0.2">
      <c r="B12" t="s">
        <v>618</v>
      </c>
      <c r="C12" s="13">
        <v>13945800</v>
      </c>
      <c r="D12" s="13">
        <v>4583300</v>
      </c>
      <c r="E12" s="13">
        <v>32712900</v>
      </c>
      <c r="F12" s="13">
        <v>51242000</v>
      </c>
      <c r="G12" s="13"/>
      <c r="H12" s="27">
        <v>54004699</v>
      </c>
      <c r="I12" s="27">
        <v>51242000</v>
      </c>
      <c r="J12" s="27">
        <f t="shared" si="0"/>
        <v>-2762699</v>
      </c>
    </row>
    <row r="13" spans="1:10" x14ac:dyDescent="0.2">
      <c r="B13" t="s">
        <v>619</v>
      </c>
      <c r="C13" s="13">
        <v>2394500</v>
      </c>
      <c r="D13" s="13">
        <v>5181000</v>
      </c>
      <c r="E13" s="13">
        <v>31974150</v>
      </c>
      <c r="F13" s="13">
        <v>39549650</v>
      </c>
      <c r="G13" s="13"/>
      <c r="H13" s="27">
        <v>50732449</v>
      </c>
      <c r="I13" s="27">
        <v>39549650</v>
      </c>
      <c r="J13" s="27">
        <f t="shared" si="0"/>
        <v>-11182799</v>
      </c>
    </row>
    <row r="14" spans="1:10" x14ac:dyDescent="0.2">
      <c r="B14" t="s">
        <v>626</v>
      </c>
      <c r="C14" s="13"/>
      <c r="D14" s="13">
        <v>6504250</v>
      </c>
      <c r="E14" s="13">
        <v>32224100</v>
      </c>
      <c r="F14" s="13">
        <v>38728350</v>
      </c>
      <c r="G14" s="13"/>
      <c r="H14" s="27">
        <v>52209950</v>
      </c>
      <c r="I14" s="27">
        <v>38728350</v>
      </c>
      <c r="J14" s="27">
        <f t="shared" si="0"/>
        <v>-13481600</v>
      </c>
    </row>
    <row r="15" spans="1:10" x14ac:dyDescent="0.2">
      <c r="B15" t="s">
        <v>628</v>
      </c>
      <c r="C15" s="13"/>
      <c r="D15" s="13">
        <v>7104050</v>
      </c>
      <c r="E15" s="13">
        <v>37701600</v>
      </c>
      <c r="F15" s="13">
        <v>44805650</v>
      </c>
      <c r="G15" s="13"/>
      <c r="H15" s="27">
        <v>59835490</v>
      </c>
      <c r="I15" s="27">
        <v>44805650</v>
      </c>
      <c r="J15" s="27">
        <f t="shared" si="0"/>
        <v>-15029840</v>
      </c>
    </row>
    <row r="16" spans="1:10" x14ac:dyDescent="0.2">
      <c r="B16" t="s">
        <v>629</v>
      </c>
      <c r="C16" s="13"/>
      <c r="D16" s="13">
        <v>4570850</v>
      </c>
      <c r="E16" s="13">
        <v>35691300</v>
      </c>
      <c r="F16" s="13">
        <v>40262150</v>
      </c>
      <c r="G16" s="13"/>
      <c r="H16" s="27">
        <v>67607160</v>
      </c>
      <c r="I16" s="27">
        <v>40262150</v>
      </c>
      <c r="J16" s="27">
        <f t="shared" si="0"/>
        <v>-27345010</v>
      </c>
    </row>
    <row r="17" spans="1:10" x14ac:dyDescent="0.2">
      <c r="A17" t="s">
        <v>631</v>
      </c>
      <c r="C17" s="13">
        <v>105301088</v>
      </c>
      <c r="D17" s="13">
        <v>64676598</v>
      </c>
      <c r="E17" s="13">
        <v>412291260</v>
      </c>
      <c r="F17" s="13">
        <v>582268946</v>
      </c>
      <c r="G17" s="13"/>
      <c r="H17" s="37">
        <f>SUM(H5:H16)</f>
        <v>582005748</v>
      </c>
      <c r="I17" s="37">
        <f>SUM(I5:I16)</f>
        <v>582268946</v>
      </c>
      <c r="J17" s="37">
        <f t="shared" si="0"/>
        <v>263198</v>
      </c>
    </row>
    <row r="18" spans="1:10" x14ac:dyDescent="0.2">
      <c r="A18">
        <v>2026</v>
      </c>
      <c r="B18" t="s">
        <v>599</v>
      </c>
      <c r="C18" s="13">
        <v>17665800</v>
      </c>
      <c r="D18" s="13">
        <v>8289850</v>
      </c>
      <c r="E18" s="13">
        <v>43714200</v>
      </c>
      <c r="F18" s="13">
        <v>69669850</v>
      </c>
      <c r="G18" s="13"/>
    </row>
    <row r="19" spans="1:10" x14ac:dyDescent="0.2">
      <c r="A19" t="s">
        <v>632</v>
      </c>
      <c r="C19" s="13">
        <v>17665800</v>
      </c>
      <c r="D19" s="13">
        <v>8289850</v>
      </c>
      <c r="E19" s="13">
        <v>43714200</v>
      </c>
      <c r="F19" s="13">
        <v>69669850</v>
      </c>
      <c r="G19" s="13"/>
    </row>
    <row r="20" spans="1:10" x14ac:dyDescent="0.2">
      <c r="A20" t="s">
        <v>607</v>
      </c>
      <c r="C20" s="13">
        <v>122966888</v>
      </c>
      <c r="D20" s="13">
        <v>72966448</v>
      </c>
      <c r="E20" s="13">
        <v>456005460</v>
      </c>
      <c r="F20" s="13">
        <v>651938796</v>
      </c>
      <c r="G20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87744-9CA6-406D-A069-8E93D5440C30}">
  <dimension ref="A1:O2775"/>
  <sheetViews>
    <sheetView tabSelected="1" zoomScale="88" zoomScaleNormal="100" workbookViewId="0">
      <selection activeCell="M20" sqref="M20"/>
    </sheetView>
  </sheetViews>
  <sheetFormatPr baseColWidth="10" defaultRowHeight="27.5" customHeight="1" x14ac:dyDescent="0.2"/>
  <cols>
    <col min="3" max="3" width="20.1640625" customWidth="1"/>
    <col min="5" max="5" width="32.1640625" customWidth="1"/>
    <col min="6" max="6" width="11.1640625" customWidth="1"/>
    <col min="8" max="8" width="12.6640625" customWidth="1"/>
    <col min="10" max="11" width="15.5" customWidth="1"/>
    <col min="13" max="13" width="19.83203125" bestFit="1" customWidth="1"/>
    <col min="14" max="14" width="22.6640625" bestFit="1" customWidth="1"/>
    <col min="15" max="15" width="15" bestFit="1" customWidth="1"/>
  </cols>
  <sheetData>
    <row r="1" spans="1:15" s="4" customFormat="1" ht="27.5" customHeight="1" x14ac:dyDescent="0.2">
      <c r="A1" s="1" t="s">
        <v>0</v>
      </c>
      <c r="B1" s="1" t="s">
        <v>1</v>
      </c>
      <c r="C1" s="1" t="s">
        <v>591</v>
      </c>
      <c r="D1" s="12" t="s">
        <v>2</v>
      </c>
      <c r="E1" s="12" t="s">
        <v>3</v>
      </c>
      <c r="F1" s="12" t="s">
        <v>5</v>
      </c>
      <c r="G1" s="12" t="s">
        <v>592</v>
      </c>
      <c r="H1" s="12" t="s">
        <v>593</v>
      </c>
      <c r="I1" s="1" t="s">
        <v>6</v>
      </c>
      <c r="J1" s="2" t="s">
        <v>7</v>
      </c>
      <c r="K1" s="2" t="s">
        <v>8</v>
      </c>
      <c r="L1" s="2" t="s">
        <v>9</v>
      </c>
      <c r="M1" s="3" t="s">
        <v>4</v>
      </c>
      <c r="N1" s="3" t="s">
        <v>10</v>
      </c>
      <c r="O1" s="3" t="s">
        <v>11</v>
      </c>
    </row>
    <row r="2" spans="1:15" ht="27.5" customHeight="1" x14ac:dyDescent="0.2">
      <c r="A2">
        <v>2026</v>
      </c>
      <c r="B2" t="s">
        <v>599</v>
      </c>
      <c r="C2" t="s">
        <v>595</v>
      </c>
      <c r="D2" s="19" t="s">
        <v>185</v>
      </c>
      <c r="E2" s="18" t="s">
        <v>137</v>
      </c>
      <c r="F2" s="18">
        <v>47</v>
      </c>
      <c r="G2" s="20">
        <v>1875300</v>
      </c>
      <c r="H2" s="18">
        <v>0</v>
      </c>
      <c r="I2" s="20">
        <v>942491</v>
      </c>
      <c r="J2" s="8">
        <f t="shared" ref="J2:J65" si="0">G2-I2</f>
        <v>932809</v>
      </c>
      <c r="K2" s="10">
        <f t="shared" ref="K2:K65" si="1">IFERROR(J2/G2,0)</f>
        <v>0.49741854636591476</v>
      </c>
      <c r="L2" s="17">
        <f t="shared" ref="L2:L65" si="2">IFERROR((H2/G2)*-1,0)</f>
        <v>0</v>
      </c>
      <c r="M2" t="str">
        <f>VLOOKUP(D2,'Jer-Tip-Emp'!B:E,4,0)</f>
        <v>Platos mong</v>
      </c>
      <c r="N2" t="str">
        <f>VLOOKUP(D2,'Jer-Tip-Emp'!B:F,5,0)</f>
        <v>No Personal</v>
      </c>
      <c r="O2" t="str">
        <f>VLOOKUP(D2,'Jer-Tip-Emp'!B:G,6,0)</f>
        <v>Platos Especiales</v>
      </c>
    </row>
    <row r="3" spans="1:15" ht="27.5" customHeight="1" x14ac:dyDescent="0.2">
      <c r="A3">
        <v>2026</v>
      </c>
      <c r="B3" t="s">
        <v>599</v>
      </c>
      <c r="C3" t="s">
        <v>595</v>
      </c>
      <c r="D3" s="19" t="s">
        <v>207</v>
      </c>
      <c r="E3" s="18" t="s">
        <v>92</v>
      </c>
      <c r="F3" s="18">
        <v>39</v>
      </c>
      <c r="G3" s="20">
        <v>932100</v>
      </c>
      <c r="H3" s="18">
        <v>0</v>
      </c>
      <c r="I3" s="20">
        <v>375453</v>
      </c>
      <c r="J3" s="8">
        <f t="shared" si="0"/>
        <v>556647</v>
      </c>
      <c r="K3" s="10">
        <f t="shared" si="1"/>
        <v>0.59719665271966527</v>
      </c>
      <c r="L3" s="17">
        <f t="shared" si="2"/>
        <v>0</v>
      </c>
      <c r="M3" t="str">
        <f>VLOOKUP(D3,'Jer-Tip-Emp'!B:E,4,0)</f>
        <v>Combos personales</v>
      </c>
      <c r="N3" t="str">
        <f>VLOOKUP(D3,'Jer-Tip-Emp'!B:F,5,0)</f>
        <v>Personal</v>
      </c>
      <c r="O3" t="str">
        <f>VLOOKUP(D3,'Jer-Tip-Emp'!B:G,6,0)</f>
        <v>Combo</v>
      </c>
    </row>
    <row r="4" spans="1:15" ht="27.5" hidden="1" customHeight="1" x14ac:dyDescent="0.2">
      <c r="A4">
        <v>2026</v>
      </c>
      <c r="B4" t="s">
        <v>599</v>
      </c>
      <c r="C4" t="s">
        <v>595</v>
      </c>
      <c r="D4" s="19" t="s">
        <v>284</v>
      </c>
      <c r="E4" s="18" t="s">
        <v>106</v>
      </c>
      <c r="F4" s="18">
        <v>38</v>
      </c>
      <c r="G4" s="20">
        <v>331915</v>
      </c>
      <c r="H4" s="20">
        <v>-6285</v>
      </c>
      <c r="I4" s="20">
        <v>119282</v>
      </c>
      <c r="J4" s="8">
        <f t="shared" si="0"/>
        <v>212633</v>
      </c>
      <c r="K4" s="10">
        <f t="shared" si="1"/>
        <v>0.64062485877408371</v>
      </c>
      <c r="L4" s="17">
        <f t="shared" si="2"/>
        <v>1.8935570853983702E-2</v>
      </c>
      <c r="M4" t="str">
        <f>VLOOKUP(D4,'Jer-Tip-Emp'!B:E,4,0)</f>
        <v>Entradas</v>
      </c>
      <c r="N4" t="str">
        <f>VLOOKUP(D4,'Jer-Tip-Emp'!B:F,5,0)</f>
        <v>Otro</v>
      </c>
      <c r="O4" t="str">
        <f>VLOOKUP(D4,'Jer-Tip-Emp'!B:G,6,0)</f>
        <v>Otro</v>
      </c>
    </row>
    <row r="5" spans="1:15" ht="27.5" customHeight="1" x14ac:dyDescent="0.2">
      <c r="A5">
        <v>2026</v>
      </c>
      <c r="B5" t="s">
        <v>599</v>
      </c>
      <c r="C5" t="s">
        <v>595</v>
      </c>
      <c r="D5" s="19" t="s">
        <v>286</v>
      </c>
      <c r="E5" s="18" t="s">
        <v>144</v>
      </c>
      <c r="F5" s="18">
        <v>38</v>
      </c>
      <c r="G5" s="20">
        <v>2293853</v>
      </c>
      <c r="H5" s="20">
        <v>-248347</v>
      </c>
      <c r="I5" s="20">
        <v>1316890</v>
      </c>
      <c r="J5" s="8">
        <f t="shared" si="0"/>
        <v>976963</v>
      </c>
      <c r="K5" s="10">
        <f t="shared" si="1"/>
        <v>0.4259047986074086</v>
      </c>
      <c r="L5" s="17">
        <f t="shared" si="2"/>
        <v>0.10826631000330013</v>
      </c>
      <c r="M5" t="str">
        <f>VLOOKUP(D5,'Jer-Tip-Emp'!B:E,4,0)</f>
        <v>Platos mong</v>
      </c>
      <c r="N5" t="str">
        <f>VLOOKUP(D5,'Jer-Tip-Emp'!B:F,5,0)</f>
        <v>No Personal</v>
      </c>
      <c r="O5" t="str">
        <f>VLOOKUP(D5,'Jer-Tip-Emp'!B:G,6,0)</f>
        <v>Caja</v>
      </c>
    </row>
    <row r="6" spans="1:15" ht="27.5" customHeight="1" x14ac:dyDescent="0.2">
      <c r="A6">
        <v>2026</v>
      </c>
      <c r="B6" t="s">
        <v>599</v>
      </c>
      <c r="C6" t="s">
        <v>595</v>
      </c>
      <c r="D6" s="19" t="s">
        <v>252</v>
      </c>
      <c r="E6" s="18" t="s">
        <v>100</v>
      </c>
      <c r="F6" s="18">
        <v>28</v>
      </c>
      <c r="G6" s="20">
        <v>1390524</v>
      </c>
      <c r="H6" s="20">
        <v>-6676</v>
      </c>
      <c r="I6" s="20">
        <v>905828</v>
      </c>
      <c r="J6" s="8">
        <f t="shared" si="0"/>
        <v>484696</v>
      </c>
      <c r="K6" s="10">
        <f t="shared" si="1"/>
        <v>0.3485707546219986</v>
      </c>
      <c r="L6" s="17">
        <f t="shared" si="2"/>
        <v>4.8010677989017087E-3</v>
      </c>
      <c r="M6" t="str">
        <f>VLOOKUP(D6,'Jer-Tip-Emp'!B:E,4,0)</f>
        <v>Platos mong</v>
      </c>
      <c r="N6" t="str">
        <f>VLOOKUP(D6,'Jer-Tip-Emp'!B:F,5,0)</f>
        <v>No Personal</v>
      </c>
      <c r="O6" t="str">
        <f>VLOOKUP(D6,'Jer-Tip-Emp'!B:G,6,0)</f>
        <v>Caja</v>
      </c>
    </row>
    <row r="7" spans="1:15" ht="27.5" customHeight="1" x14ac:dyDescent="0.2">
      <c r="A7">
        <v>2026</v>
      </c>
      <c r="B7" t="s">
        <v>599</v>
      </c>
      <c r="C7" t="s">
        <v>595</v>
      </c>
      <c r="D7" s="19" t="s">
        <v>196</v>
      </c>
      <c r="E7" s="18" t="s">
        <v>159</v>
      </c>
      <c r="F7" s="18">
        <v>28</v>
      </c>
      <c r="G7" s="20">
        <v>725200</v>
      </c>
      <c r="H7" s="18">
        <v>0</v>
      </c>
      <c r="I7" s="20">
        <v>266028</v>
      </c>
      <c r="J7" s="8">
        <f t="shared" si="0"/>
        <v>459172</v>
      </c>
      <c r="K7" s="10">
        <f t="shared" si="1"/>
        <v>0.63316602316602322</v>
      </c>
      <c r="L7" s="17">
        <f t="shared" si="2"/>
        <v>0</v>
      </c>
      <c r="M7" t="str">
        <f>VLOOKUP(D7,'Jer-Tip-Emp'!B:E,4,0)</f>
        <v>Combos personales</v>
      </c>
      <c r="N7" t="str">
        <f>VLOOKUP(D7,'Jer-Tip-Emp'!B:F,5,0)</f>
        <v>Personal</v>
      </c>
      <c r="O7" t="str">
        <f>VLOOKUP(D7,'Jer-Tip-Emp'!B:G,6,0)</f>
        <v>Combo</v>
      </c>
    </row>
    <row r="8" spans="1:15" ht="27.5" customHeight="1" x14ac:dyDescent="0.2">
      <c r="A8">
        <v>2026</v>
      </c>
      <c r="B8" t="s">
        <v>599</v>
      </c>
      <c r="C8" t="s">
        <v>595</v>
      </c>
      <c r="D8" s="19" t="s">
        <v>273</v>
      </c>
      <c r="E8" s="18" t="s">
        <v>23</v>
      </c>
      <c r="F8" s="18">
        <v>22</v>
      </c>
      <c r="G8" s="20">
        <v>545116</v>
      </c>
      <c r="H8" s="20">
        <v>-2684</v>
      </c>
      <c r="I8" s="18">
        <v>0</v>
      </c>
      <c r="J8" s="8">
        <f t="shared" si="0"/>
        <v>545116</v>
      </c>
      <c r="K8" s="10">
        <f t="shared" si="1"/>
        <v>1</v>
      </c>
      <c r="L8" s="17">
        <f t="shared" si="2"/>
        <v>4.9237226571958994E-3</v>
      </c>
      <c r="M8" t="str">
        <f>VLOOKUP(D8,'Jer-Tip-Emp'!B:E,4,0)</f>
        <v>Arma tu plato</v>
      </c>
      <c r="N8" t="str">
        <f>VLOOKUP(D8,'Jer-Tip-Emp'!B:F,5,0)</f>
        <v>Personal</v>
      </c>
      <c r="O8" t="str">
        <f>VLOOKUP(D8,'Jer-Tip-Emp'!B:G,6,0)</f>
        <v>Caja</v>
      </c>
    </row>
    <row r="9" spans="1:15" ht="27.5" hidden="1" customHeight="1" x14ac:dyDescent="0.2">
      <c r="A9">
        <v>2026</v>
      </c>
      <c r="B9" t="s">
        <v>599</v>
      </c>
      <c r="C9" t="s">
        <v>595</v>
      </c>
      <c r="D9" s="19" t="s">
        <v>189</v>
      </c>
      <c r="E9" s="18" t="s">
        <v>21</v>
      </c>
      <c r="F9" s="18">
        <v>20</v>
      </c>
      <c r="G9" s="20">
        <v>137505</v>
      </c>
      <c r="H9" s="18">
        <v>-495</v>
      </c>
      <c r="I9" s="20">
        <v>49280</v>
      </c>
      <c r="J9" s="8">
        <f t="shared" si="0"/>
        <v>88225</v>
      </c>
      <c r="K9" s="10">
        <f t="shared" si="1"/>
        <v>0.64161303225337263</v>
      </c>
      <c r="L9" s="17">
        <f t="shared" si="2"/>
        <v>3.5998690956692485E-3</v>
      </c>
      <c r="M9" t="str">
        <f>VLOOKUP(D9,'Jer-Tip-Emp'!B:E,4,0)</f>
        <v>Adición</v>
      </c>
      <c r="N9" t="str">
        <f>VLOOKUP(D9,'Jer-Tip-Emp'!B:F,5,0)</f>
        <v>Adición</v>
      </c>
      <c r="O9" t="str">
        <f>VLOOKUP(D9,'Jer-Tip-Emp'!B:G,6,0)</f>
        <v>Adición</v>
      </c>
    </row>
    <row r="10" spans="1:15" ht="27.5" customHeight="1" x14ac:dyDescent="0.2">
      <c r="A10">
        <v>2026</v>
      </c>
      <c r="B10" t="s">
        <v>599</v>
      </c>
      <c r="C10" t="s">
        <v>595</v>
      </c>
      <c r="D10" s="19" t="s">
        <v>186</v>
      </c>
      <c r="E10" s="18" t="s">
        <v>95</v>
      </c>
      <c r="F10" s="18">
        <v>19</v>
      </c>
      <c r="G10" s="20">
        <v>549100</v>
      </c>
      <c r="H10" s="18">
        <v>0</v>
      </c>
      <c r="I10" s="20">
        <v>181830</v>
      </c>
      <c r="J10" s="8">
        <f t="shared" si="0"/>
        <v>367270</v>
      </c>
      <c r="K10" s="10">
        <f t="shared" si="1"/>
        <v>0.66885813148788931</v>
      </c>
      <c r="L10" s="17">
        <f t="shared" si="2"/>
        <v>0</v>
      </c>
      <c r="M10" t="str">
        <f>VLOOKUP(D10,'Jer-Tip-Emp'!B:E,4,0)</f>
        <v>Combos personales</v>
      </c>
      <c r="N10" t="str">
        <f>VLOOKUP(D10,'Jer-Tip-Emp'!B:F,5,0)</f>
        <v>Personal</v>
      </c>
      <c r="O10" t="str">
        <f>VLOOKUP(D10,'Jer-Tip-Emp'!B:G,6,0)</f>
        <v>Combo</v>
      </c>
    </row>
    <row r="11" spans="1:15" ht="27.5" customHeight="1" x14ac:dyDescent="0.2">
      <c r="A11">
        <v>2026</v>
      </c>
      <c r="B11" t="s">
        <v>599</v>
      </c>
      <c r="C11" t="s">
        <v>595</v>
      </c>
      <c r="D11" s="19" t="s">
        <v>235</v>
      </c>
      <c r="E11" s="18" t="s">
        <v>147</v>
      </c>
      <c r="F11" s="18">
        <v>17</v>
      </c>
      <c r="G11" s="20">
        <v>848300</v>
      </c>
      <c r="H11" s="18">
        <v>0</v>
      </c>
      <c r="I11" s="20">
        <v>319906</v>
      </c>
      <c r="J11" s="8">
        <f t="shared" si="0"/>
        <v>528394</v>
      </c>
      <c r="K11" s="10">
        <f t="shared" si="1"/>
        <v>0.62288577154308622</v>
      </c>
      <c r="L11" s="17">
        <f t="shared" si="2"/>
        <v>0</v>
      </c>
      <c r="M11" t="str">
        <f>VLOOKUP(D11,'Jer-Tip-Emp'!B:E,4,0)</f>
        <v>Platos mong</v>
      </c>
      <c r="N11" t="str">
        <f>VLOOKUP(D11,'Jer-Tip-Emp'!B:F,5,0)</f>
        <v>No Personal</v>
      </c>
      <c r="O11" t="str">
        <f>VLOOKUP(D11,'Jer-Tip-Emp'!B:G,6,0)</f>
        <v>Caja</v>
      </c>
    </row>
    <row r="12" spans="1:15" ht="27.5" customHeight="1" x14ac:dyDescent="0.2">
      <c r="A12">
        <v>2026</v>
      </c>
      <c r="B12" t="s">
        <v>599</v>
      </c>
      <c r="C12" t="s">
        <v>595</v>
      </c>
      <c r="D12" s="19" t="s">
        <v>214</v>
      </c>
      <c r="E12" s="18" t="s">
        <v>81</v>
      </c>
      <c r="F12" s="18">
        <v>17</v>
      </c>
      <c r="G12" s="20">
        <v>915613</v>
      </c>
      <c r="H12" s="18">
        <v>-687</v>
      </c>
      <c r="I12" s="20">
        <v>401846</v>
      </c>
      <c r="J12" s="8">
        <f t="shared" si="0"/>
        <v>513767</v>
      </c>
      <c r="K12" s="10">
        <f t="shared" si="1"/>
        <v>0.56111807062590857</v>
      </c>
      <c r="L12" s="17">
        <f t="shared" si="2"/>
        <v>7.5031700074157967E-4</v>
      </c>
      <c r="M12" t="str">
        <f>VLOOKUP(D12,'Jer-Tip-Emp'!B:E,4,0)</f>
        <v>Combos para compartir</v>
      </c>
      <c r="N12" t="str">
        <f>VLOOKUP(D12,'Jer-Tip-Emp'!B:F,5,0)</f>
        <v>No Personal</v>
      </c>
      <c r="O12" t="str">
        <f>VLOOKUP(D12,'Jer-Tip-Emp'!B:G,6,0)</f>
        <v>Combo</v>
      </c>
    </row>
    <row r="13" spans="1:15" ht="27.5" hidden="1" customHeight="1" x14ac:dyDescent="0.2">
      <c r="A13">
        <v>2026</v>
      </c>
      <c r="B13" t="s">
        <v>599</v>
      </c>
      <c r="C13" t="s">
        <v>595</v>
      </c>
      <c r="D13" s="19" t="s">
        <v>403</v>
      </c>
      <c r="E13" s="18" t="s">
        <v>45</v>
      </c>
      <c r="F13" s="18">
        <v>17</v>
      </c>
      <c r="G13" s="20">
        <v>163818</v>
      </c>
      <c r="H13" s="20">
        <v>-4482</v>
      </c>
      <c r="I13" s="20">
        <v>76517</v>
      </c>
      <c r="J13" s="8">
        <f t="shared" si="0"/>
        <v>87301</v>
      </c>
      <c r="K13" s="10">
        <f t="shared" si="1"/>
        <v>0.53291457593182678</v>
      </c>
      <c r="L13" s="17">
        <f t="shared" si="2"/>
        <v>2.7359630809801121E-2</v>
      </c>
      <c r="M13" t="str">
        <f>VLOOKUP(D13,'Jer-Tip-Emp'!B:E,4,0)</f>
        <v>Bebidas</v>
      </c>
      <c r="N13" t="str">
        <f>VLOOKUP(D13,'Jer-Tip-Emp'!B:F,5,0)</f>
        <v>Bebidas</v>
      </c>
      <c r="O13" t="str">
        <f>VLOOKUP(D13,'Jer-Tip-Emp'!B:G,6,0)</f>
        <v>Bebidas</v>
      </c>
    </row>
    <row r="14" spans="1:15" ht="27.5" customHeight="1" x14ac:dyDescent="0.2">
      <c r="A14">
        <v>2026</v>
      </c>
      <c r="B14" t="s">
        <v>599</v>
      </c>
      <c r="C14" t="s">
        <v>595</v>
      </c>
      <c r="D14" s="19" t="s">
        <v>313</v>
      </c>
      <c r="E14" s="18" t="s">
        <v>540</v>
      </c>
      <c r="F14" s="18">
        <v>16</v>
      </c>
      <c r="G14" s="18">
        <v>0</v>
      </c>
      <c r="H14" s="18">
        <v>0</v>
      </c>
      <c r="I14" s="20">
        <v>87856</v>
      </c>
      <c r="J14" s="8">
        <f t="shared" si="0"/>
        <v>-87856</v>
      </c>
      <c r="K14" s="10">
        <f t="shared" si="1"/>
        <v>0</v>
      </c>
      <c r="L14" s="17">
        <f t="shared" si="2"/>
        <v>0</v>
      </c>
      <c r="M14" t="str">
        <f>VLOOKUP(D14,'Jer-Tip-Emp'!B:E,4,0)</f>
        <v>Arma tu plato</v>
      </c>
      <c r="N14" t="str">
        <f>VLOOKUP(D14,'Jer-Tip-Emp'!B:F,5,0)</f>
        <v>Personal</v>
      </c>
      <c r="O14" t="str">
        <f>VLOOKUP(D14,'Jer-Tip-Emp'!B:G,6,0)</f>
        <v>Caja</v>
      </c>
    </row>
    <row r="15" spans="1:15" ht="27.5" hidden="1" customHeight="1" x14ac:dyDescent="0.2">
      <c r="A15">
        <v>2026</v>
      </c>
      <c r="B15" t="s">
        <v>599</v>
      </c>
      <c r="C15" t="s">
        <v>595</v>
      </c>
      <c r="D15" s="19" t="s">
        <v>282</v>
      </c>
      <c r="E15" s="18" t="s">
        <v>19</v>
      </c>
      <c r="F15" s="18">
        <v>16</v>
      </c>
      <c r="G15" s="20">
        <v>93433</v>
      </c>
      <c r="H15" s="18">
        <v>-967</v>
      </c>
      <c r="I15" s="20">
        <v>65568</v>
      </c>
      <c r="J15" s="8">
        <f t="shared" si="0"/>
        <v>27865</v>
      </c>
      <c r="K15" s="10">
        <f t="shared" si="1"/>
        <v>0.29823509894790917</v>
      </c>
      <c r="L15" s="17">
        <f t="shared" si="2"/>
        <v>1.0349662324874508E-2</v>
      </c>
      <c r="M15" t="str">
        <f>VLOOKUP(D15,'Jer-Tip-Emp'!B:E,4,0)</f>
        <v>Adición</v>
      </c>
      <c r="N15" t="str">
        <f>VLOOKUP(D15,'Jer-Tip-Emp'!B:F,5,0)</f>
        <v>Adición</v>
      </c>
      <c r="O15" t="str">
        <f>VLOOKUP(D15,'Jer-Tip-Emp'!B:G,6,0)</f>
        <v>Adición</v>
      </c>
    </row>
    <row r="16" spans="1:15" ht="27.5" customHeight="1" x14ac:dyDescent="0.2">
      <c r="A16">
        <v>2026</v>
      </c>
      <c r="B16" t="s">
        <v>599</v>
      </c>
      <c r="C16" t="s">
        <v>595</v>
      </c>
      <c r="D16" s="19" t="s">
        <v>212</v>
      </c>
      <c r="E16" s="18" t="s">
        <v>160</v>
      </c>
      <c r="F16" s="18">
        <v>14</v>
      </c>
      <c r="G16" s="20">
        <v>401800</v>
      </c>
      <c r="H16" s="20">
        <v>-2800</v>
      </c>
      <c r="I16" s="20">
        <v>157542</v>
      </c>
      <c r="J16" s="8">
        <f t="shared" si="0"/>
        <v>244258</v>
      </c>
      <c r="K16" s="10">
        <f t="shared" si="1"/>
        <v>0.60790940766550527</v>
      </c>
      <c r="L16" s="17">
        <f t="shared" si="2"/>
        <v>6.9686411149825784E-3</v>
      </c>
      <c r="M16" t="str">
        <f>VLOOKUP(D16,'Jer-Tip-Emp'!B:E,4,0)</f>
        <v>Combos personales</v>
      </c>
      <c r="N16" t="str">
        <f>VLOOKUP(D16,'Jer-Tip-Emp'!B:F,5,0)</f>
        <v>Personal</v>
      </c>
      <c r="O16" t="str">
        <f>VLOOKUP(D16,'Jer-Tip-Emp'!B:G,6,0)</f>
        <v>Combo</v>
      </c>
    </row>
    <row r="17" spans="1:15" ht="27.5" customHeight="1" x14ac:dyDescent="0.2">
      <c r="A17">
        <v>2026</v>
      </c>
      <c r="B17" t="s">
        <v>599</v>
      </c>
      <c r="C17" t="s">
        <v>595</v>
      </c>
      <c r="D17" s="19" t="s">
        <v>299</v>
      </c>
      <c r="E17" s="18" t="s">
        <v>129</v>
      </c>
      <c r="F17" s="18">
        <v>14</v>
      </c>
      <c r="G17" s="20">
        <v>513655</v>
      </c>
      <c r="H17" s="20">
        <v>-86945</v>
      </c>
      <c r="I17" s="20">
        <v>158648</v>
      </c>
      <c r="J17" s="8">
        <f t="shared" si="0"/>
        <v>355007</v>
      </c>
      <c r="K17" s="10">
        <f t="shared" si="1"/>
        <v>0.6911389940718965</v>
      </c>
      <c r="L17" s="17">
        <f t="shared" si="2"/>
        <v>0.16926730977017648</v>
      </c>
      <c r="M17" t="str">
        <f>VLOOKUP(D17,'Jer-Tip-Emp'!B:E,4,0)</f>
        <v>Platos mong</v>
      </c>
      <c r="N17" t="str">
        <f>VLOOKUP(D17,'Jer-Tip-Emp'!B:F,5,0)</f>
        <v>No Personal</v>
      </c>
      <c r="O17" t="str">
        <f>VLOOKUP(D17,'Jer-Tip-Emp'!B:G,6,0)</f>
        <v>Caja</v>
      </c>
    </row>
    <row r="18" spans="1:15" ht="27.5" customHeight="1" x14ac:dyDescent="0.2">
      <c r="A18">
        <v>2026</v>
      </c>
      <c r="B18" t="s">
        <v>599</v>
      </c>
      <c r="C18" t="s">
        <v>595</v>
      </c>
      <c r="D18" s="19" t="s">
        <v>295</v>
      </c>
      <c r="E18" s="18" t="s">
        <v>110</v>
      </c>
      <c r="F18" s="18">
        <v>14</v>
      </c>
      <c r="G18" s="20">
        <v>278600</v>
      </c>
      <c r="H18" s="18">
        <v>0</v>
      </c>
      <c r="I18" s="20">
        <v>94752</v>
      </c>
      <c r="J18" s="8">
        <f t="shared" si="0"/>
        <v>183848</v>
      </c>
      <c r="K18" s="10">
        <f t="shared" si="1"/>
        <v>0.65989949748743715</v>
      </c>
      <c r="L18" s="17">
        <f t="shared" si="2"/>
        <v>0</v>
      </c>
      <c r="M18" t="str">
        <f>VLOOKUP(D18,'Jer-Tip-Emp'!B:E,4,0)</f>
        <v>Platos mong</v>
      </c>
      <c r="N18" t="str">
        <f>VLOOKUP(D18,'Jer-Tip-Emp'!B:F,5,0)</f>
        <v>Personal</v>
      </c>
      <c r="O18" t="str">
        <f>VLOOKUP(D18,'Jer-Tip-Emp'!B:G,6,0)</f>
        <v>Caja</v>
      </c>
    </row>
    <row r="19" spans="1:15" ht="27.5" customHeight="1" x14ac:dyDescent="0.2">
      <c r="A19">
        <v>2026</v>
      </c>
      <c r="B19" t="s">
        <v>599</v>
      </c>
      <c r="C19" t="s">
        <v>595</v>
      </c>
      <c r="D19" s="19" t="s">
        <v>297</v>
      </c>
      <c r="E19" s="18" t="s">
        <v>131</v>
      </c>
      <c r="F19" s="18">
        <v>12</v>
      </c>
      <c r="G19" s="20">
        <v>226800</v>
      </c>
      <c r="H19" s="18">
        <v>0</v>
      </c>
      <c r="I19" s="20">
        <v>65532</v>
      </c>
      <c r="J19" s="8">
        <f t="shared" si="0"/>
        <v>161268</v>
      </c>
      <c r="K19" s="10">
        <f t="shared" si="1"/>
        <v>0.71105820105820106</v>
      </c>
      <c r="L19" s="17">
        <f t="shared" si="2"/>
        <v>0</v>
      </c>
      <c r="M19" t="str">
        <f>VLOOKUP(D19,'Jer-Tip-Emp'!B:E,4,0)</f>
        <v>Platos mong</v>
      </c>
      <c r="N19" t="str">
        <f>VLOOKUP(D19,'Jer-Tip-Emp'!B:F,5,0)</f>
        <v>Personal</v>
      </c>
      <c r="O19" t="str">
        <f>VLOOKUP(D19,'Jer-Tip-Emp'!B:G,6,0)</f>
        <v>Caja</v>
      </c>
    </row>
    <row r="20" spans="1:15" ht="27.5" customHeight="1" x14ac:dyDescent="0.2">
      <c r="A20">
        <v>2026</v>
      </c>
      <c r="B20" t="s">
        <v>599</v>
      </c>
      <c r="C20" t="s">
        <v>595</v>
      </c>
      <c r="D20" s="19" t="s">
        <v>180</v>
      </c>
      <c r="E20" s="18" t="s">
        <v>128</v>
      </c>
      <c r="F20" s="18">
        <v>12</v>
      </c>
      <c r="G20" s="20">
        <v>250800</v>
      </c>
      <c r="H20" s="18">
        <v>0</v>
      </c>
      <c r="I20" s="20">
        <v>82056</v>
      </c>
      <c r="J20" s="8">
        <f t="shared" si="0"/>
        <v>168744</v>
      </c>
      <c r="K20" s="10">
        <f t="shared" si="1"/>
        <v>0.67282296650717699</v>
      </c>
      <c r="L20" s="17">
        <f t="shared" si="2"/>
        <v>0</v>
      </c>
      <c r="M20" t="str">
        <f>VLOOKUP(D20,'Jer-Tip-Emp'!B:E,4,0)</f>
        <v>Platos mong</v>
      </c>
      <c r="N20" t="str">
        <f>VLOOKUP(D20,'Jer-Tip-Emp'!B:F,5,0)</f>
        <v>Personal</v>
      </c>
      <c r="O20" t="str">
        <f>VLOOKUP(D20,'Jer-Tip-Emp'!B:G,6,0)</f>
        <v>Caja</v>
      </c>
    </row>
    <row r="21" spans="1:15" ht="27.5" customHeight="1" x14ac:dyDescent="0.2">
      <c r="A21">
        <v>2026</v>
      </c>
      <c r="B21" t="s">
        <v>599</v>
      </c>
      <c r="C21" t="s">
        <v>595</v>
      </c>
      <c r="D21" s="19" t="s">
        <v>202</v>
      </c>
      <c r="E21" s="18" t="s">
        <v>142</v>
      </c>
      <c r="F21" s="18">
        <v>12</v>
      </c>
      <c r="G21" s="20">
        <v>406800</v>
      </c>
      <c r="H21" s="18">
        <v>0</v>
      </c>
      <c r="I21" s="20">
        <v>170772</v>
      </c>
      <c r="J21" s="8">
        <f t="shared" si="0"/>
        <v>236028</v>
      </c>
      <c r="K21" s="10">
        <f t="shared" si="1"/>
        <v>0.58020648967551625</v>
      </c>
      <c r="L21" s="17">
        <f t="shared" si="2"/>
        <v>0</v>
      </c>
      <c r="M21" t="str">
        <f>VLOOKUP(D21,'Jer-Tip-Emp'!B:E,4,0)</f>
        <v>Platos mong</v>
      </c>
      <c r="N21" t="str">
        <f>VLOOKUP(D21,'Jer-Tip-Emp'!B:F,5,0)</f>
        <v>No Personal</v>
      </c>
      <c r="O21" t="str">
        <f>VLOOKUP(D21,'Jer-Tip-Emp'!B:G,6,0)</f>
        <v>Caja</v>
      </c>
    </row>
    <row r="22" spans="1:15" ht="27.5" customHeight="1" x14ac:dyDescent="0.2">
      <c r="A22">
        <v>2026</v>
      </c>
      <c r="B22" t="s">
        <v>599</v>
      </c>
      <c r="C22" t="s">
        <v>595</v>
      </c>
      <c r="D22" s="19" t="s">
        <v>232</v>
      </c>
      <c r="E22" s="18" t="s">
        <v>94</v>
      </c>
      <c r="F22" s="18">
        <v>11</v>
      </c>
      <c r="G22" s="20">
        <v>251900</v>
      </c>
      <c r="H22" s="18">
        <v>0</v>
      </c>
      <c r="I22" s="20">
        <v>103444</v>
      </c>
      <c r="J22" s="8">
        <f t="shared" si="0"/>
        <v>148456</v>
      </c>
      <c r="K22" s="10">
        <f t="shared" si="1"/>
        <v>0.58934497816593889</v>
      </c>
      <c r="L22" s="17">
        <f t="shared" si="2"/>
        <v>0</v>
      </c>
      <c r="M22" t="str">
        <f>VLOOKUP(D22,'Jer-Tip-Emp'!B:E,4,0)</f>
        <v>Platos mong</v>
      </c>
      <c r="N22" t="str">
        <f>VLOOKUP(D22,'Jer-Tip-Emp'!B:F,5,0)</f>
        <v>Personal</v>
      </c>
      <c r="O22" t="str">
        <f>VLOOKUP(D22,'Jer-Tip-Emp'!B:G,6,0)</f>
        <v>Caja</v>
      </c>
    </row>
    <row r="23" spans="1:15" ht="27.5" customHeight="1" x14ac:dyDescent="0.2">
      <c r="A23">
        <v>2026</v>
      </c>
      <c r="B23" t="s">
        <v>599</v>
      </c>
      <c r="C23" t="s">
        <v>595</v>
      </c>
      <c r="D23" s="19" t="s">
        <v>333</v>
      </c>
      <c r="E23" s="18" t="s">
        <v>547</v>
      </c>
      <c r="F23" s="18">
        <v>11</v>
      </c>
      <c r="G23" s="18">
        <v>0</v>
      </c>
      <c r="H23" s="18">
        <v>0</v>
      </c>
      <c r="I23" s="20">
        <v>36542</v>
      </c>
      <c r="J23" s="8">
        <f t="shared" si="0"/>
        <v>-36542</v>
      </c>
      <c r="K23" s="10">
        <f t="shared" si="1"/>
        <v>0</v>
      </c>
      <c r="L23" s="17">
        <f t="shared" si="2"/>
        <v>0</v>
      </c>
      <c r="M23" t="str">
        <f>VLOOKUP(D23,'Jer-Tip-Emp'!B:E,4,0)</f>
        <v>Arma tu plato</v>
      </c>
      <c r="N23" t="str">
        <f>VLOOKUP(D23,'Jer-Tip-Emp'!B:F,5,0)</f>
        <v>Personal</v>
      </c>
      <c r="O23" t="str">
        <f>VLOOKUP(D23,'Jer-Tip-Emp'!B:G,6,0)</f>
        <v>Caja</v>
      </c>
    </row>
    <row r="24" spans="1:15" ht="27.5" customHeight="1" x14ac:dyDescent="0.2">
      <c r="A24">
        <v>2026</v>
      </c>
      <c r="B24" t="s">
        <v>599</v>
      </c>
      <c r="C24" t="s">
        <v>595</v>
      </c>
      <c r="D24" s="19" t="s">
        <v>285</v>
      </c>
      <c r="E24" s="18" t="s">
        <v>146</v>
      </c>
      <c r="F24" s="18">
        <v>11</v>
      </c>
      <c r="G24" s="20">
        <v>240900</v>
      </c>
      <c r="H24" s="18">
        <v>0</v>
      </c>
      <c r="I24" s="20">
        <v>93104</v>
      </c>
      <c r="J24" s="8">
        <f t="shared" si="0"/>
        <v>147796</v>
      </c>
      <c r="K24" s="10">
        <f t="shared" si="1"/>
        <v>0.61351598173515987</v>
      </c>
      <c r="L24" s="17">
        <f t="shared" si="2"/>
        <v>0</v>
      </c>
      <c r="M24" t="str">
        <f>VLOOKUP(D24,'Jer-Tip-Emp'!B:E,4,0)</f>
        <v>Platos mong</v>
      </c>
      <c r="N24" t="str">
        <f>VLOOKUP(D24,'Jer-Tip-Emp'!B:F,5,0)</f>
        <v>Personal</v>
      </c>
      <c r="O24" t="str">
        <f>VLOOKUP(D24,'Jer-Tip-Emp'!B:G,6,0)</f>
        <v>Caja</v>
      </c>
    </row>
    <row r="25" spans="1:15" ht="27.5" hidden="1" customHeight="1" x14ac:dyDescent="0.2">
      <c r="A25">
        <v>2026</v>
      </c>
      <c r="B25" t="s">
        <v>599</v>
      </c>
      <c r="C25" t="s">
        <v>595</v>
      </c>
      <c r="D25" s="19" t="s">
        <v>176</v>
      </c>
      <c r="E25" s="18" t="s">
        <v>544</v>
      </c>
      <c r="F25" s="18">
        <v>10</v>
      </c>
      <c r="G25" s="20">
        <v>10000</v>
      </c>
      <c r="H25" s="18">
        <v>0</v>
      </c>
      <c r="I25" s="20">
        <v>19450</v>
      </c>
      <c r="J25" s="8">
        <f t="shared" si="0"/>
        <v>-9450</v>
      </c>
      <c r="K25" s="10">
        <f t="shared" si="1"/>
        <v>-0.94499999999999995</v>
      </c>
      <c r="L25" s="17">
        <f t="shared" si="2"/>
        <v>0</v>
      </c>
      <c r="M25" t="str">
        <f>VLOOKUP(D25,'Jer-Tip-Emp'!B:E,4,0)</f>
        <v>Bebidas</v>
      </c>
      <c r="N25" t="str">
        <f>VLOOKUP(D25,'Jer-Tip-Emp'!B:F,5,0)</f>
        <v>Bebidas Cambio de bebida</v>
      </c>
      <c r="O25" t="str">
        <f>VLOOKUP(D25,'Jer-Tip-Emp'!B:G,6,0)</f>
        <v>Bebidas</v>
      </c>
    </row>
    <row r="26" spans="1:15" ht="27.5" customHeight="1" x14ac:dyDescent="0.2">
      <c r="A26">
        <v>2026</v>
      </c>
      <c r="B26" t="s">
        <v>599</v>
      </c>
      <c r="C26" t="s">
        <v>595</v>
      </c>
      <c r="D26" s="19" t="s">
        <v>266</v>
      </c>
      <c r="E26" s="18" t="s">
        <v>85</v>
      </c>
      <c r="F26" s="18">
        <v>10</v>
      </c>
      <c r="G26" s="20">
        <v>699000</v>
      </c>
      <c r="H26" s="18">
        <v>0</v>
      </c>
      <c r="I26" s="20">
        <v>392210</v>
      </c>
      <c r="J26" s="8">
        <f t="shared" si="0"/>
        <v>306790</v>
      </c>
      <c r="K26" s="10">
        <f t="shared" si="1"/>
        <v>0.43889842632331905</v>
      </c>
      <c r="L26" s="17">
        <f t="shared" si="2"/>
        <v>0</v>
      </c>
      <c r="M26" t="str">
        <f>VLOOKUP(D26,'Jer-Tip-Emp'!B:E,4,0)</f>
        <v>Combos para compartir</v>
      </c>
      <c r="N26" t="str">
        <f>VLOOKUP(D26,'Jer-Tip-Emp'!B:F,5,0)</f>
        <v>No Personal</v>
      </c>
      <c r="O26" t="str">
        <f>VLOOKUP(D26,'Jer-Tip-Emp'!B:G,6,0)</f>
        <v>Combo</v>
      </c>
    </row>
    <row r="27" spans="1:15" ht="27.5" customHeight="1" x14ac:dyDescent="0.2">
      <c r="A27">
        <v>2026</v>
      </c>
      <c r="B27" t="s">
        <v>599</v>
      </c>
      <c r="C27" t="s">
        <v>595</v>
      </c>
      <c r="D27" s="19" t="s">
        <v>205</v>
      </c>
      <c r="E27" s="18" t="s">
        <v>141</v>
      </c>
      <c r="F27" s="18">
        <v>9</v>
      </c>
      <c r="G27" s="20">
        <v>143100</v>
      </c>
      <c r="H27" s="18">
        <v>0</v>
      </c>
      <c r="I27" s="20">
        <v>54576</v>
      </c>
      <c r="J27" s="8">
        <f t="shared" si="0"/>
        <v>88524</v>
      </c>
      <c r="K27" s="10">
        <f t="shared" si="1"/>
        <v>0.61861635220125788</v>
      </c>
      <c r="L27" s="17">
        <f t="shared" si="2"/>
        <v>0</v>
      </c>
      <c r="M27" t="str">
        <f>VLOOKUP(D27,'Jer-Tip-Emp'!B:E,4,0)</f>
        <v>Platos mong</v>
      </c>
      <c r="N27" t="str">
        <f>VLOOKUP(D27,'Jer-Tip-Emp'!B:F,5,0)</f>
        <v>Personal</v>
      </c>
      <c r="O27" t="str">
        <f>VLOOKUP(D27,'Jer-Tip-Emp'!B:G,6,0)</f>
        <v>Caja</v>
      </c>
    </row>
    <row r="28" spans="1:15" ht="27.5" customHeight="1" x14ac:dyDescent="0.2">
      <c r="A28">
        <v>2026</v>
      </c>
      <c r="B28" t="s">
        <v>599</v>
      </c>
      <c r="C28" t="s">
        <v>595</v>
      </c>
      <c r="D28" s="19" t="s">
        <v>389</v>
      </c>
      <c r="E28" s="18" t="s">
        <v>541</v>
      </c>
      <c r="F28" s="18">
        <v>8</v>
      </c>
      <c r="G28" s="18">
        <v>0</v>
      </c>
      <c r="H28" s="18">
        <v>0</v>
      </c>
      <c r="I28" s="20">
        <v>43736</v>
      </c>
      <c r="J28" s="8">
        <f t="shared" si="0"/>
        <v>-43736</v>
      </c>
      <c r="K28" s="10">
        <f t="shared" si="1"/>
        <v>0</v>
      </c>
      <c r="L28" s="17">
        <f t="shared" si="2"/>
        <v>0</v>
      </c>
      <c r="M28" t="str">
        <f>VLOOKUP(D28,'Jer-Tip-Emp'!B:E,4,0)</f>
        <v>Arma tu plato</v>
      </c>
      <c r="N28" t="str">
        <f>VLOOKUP(D28,'Jer-Tip-Emp'!B:F,5,0)</f>
        <v>Personal</v>
      </c>
      <c r="O28" t="str">
        <f>VLOOKUP(D28,'Jer-Tip-Emp'!B:G,6,0)</f>
        <v>Caja</v>
      </c>
    </row>
    <row r="29" spans="1:15" ht="27.5" customHeight="1" x14ac:dyDescent="0.2">
      <c r="A29">
        <v>2026</v>
      </c>
      <c r="B29" t="s">
        <v>599</v>
      </c>
      <c r="C29" t="s">
        <v>595</v>
      </c>
      <c r="D29" s="19" t="s">
        <v>393</v>
      </c>
      <c r="E29" s="18" t="s">
        <v>549</v>
      </c>
      <c r="F29" s="18">
        <v>7</v>
      </c>
      <c r="G29" s="20">
        <v>14000</v>
      </c>
      <c r="H29" s="18">
        <v>0</v>
      </c>
      <c r="I29" s="20">
        <v>14245</v>
      </c>
      <c r="J29" s="8">
        <f t="shared" si="0"/>
        <v>-245</v>
      </c>
      <c r="K29" s="10">
        <f t="shared" si="1"/>
        <v>-1.7500000000000002E-2</v>
      </c>
      <c r="L29" s="17">
        <f t="shared" si="2"/>
        <v>0</v>
      </c>
      <c r="M29" t="str">
        <f>VLOOKUP(D29,'Jer-Tip-Emp'!B:E,4,0)</f>
        <v>Arma tu plato</v>
      </c>
      <c r="N29" t="str">
        <f>VLOOKUP(D29,'Jer-Tip-Emp'!B:F,5,0)</f>
        <v>Personal</v>
      </c>
      <c r="O29" t="str">
        <f>VLOOKUP(D29,'Jer-Tip-Emp'!B:G,6,0)</f>
        <v>Caja</v>
      </c>
    </row>
    <row r="30" spans="1:15" ht="27.5" customHeight="1" x14ac:dyDescent="0.2">
      <c r="A30">
        <v>2026</v>
      </c>
      <c r="B30" t="s">
        <v>599</v>
      </c>
      <c r="C30" t="s">
        <v>595</v>
      </c>
      <c r="D30" s="19" t="s">
        <v>376</v>
      </c>
      <c r="E30" s="18" t="s">
        <v>543</v>
      </c>
      <c r="F30" s="18">
        <v>7</v>
      </c>
      <c r="G30" s="18">
        <v>0</v>
      </c>
      <c r="H30" s="18">
        <v>0</v>
      </c>
      <c r="I30" s="20">
        <v>8974</v>
      </c>
      <c r="J30" s="8">
        <f t="shared" si="0"/>
        <v>-8974</v>
      </c>
      <c r="K30" s="10">
        <f t="shared" si="1"/>
        <v>0</v>
      </c>
      <c r="L30" s="17">
        <f t="shared" si="2"/>
        <v>0</v>
      </c>
      <c r="M30" t="str">
        <f>VLOOKUP(D30,'Jer-Tip-Emp'!B:E,4,0)</f>
        <v>Arma tu plato</v>
      </c>
      <c r="N30" t="str">
        <f>VLOOKUP(D30,'Jer-Tip-Emp'!B:F,5,0)</f>
        <v>Personal</v>
      </c>
      <c r="O30" t="str">
        <f>VLOOKUP(D30,'Jer-Tip-Emp'!B:G,6,0)</f>
        <v>Caja</v>
      </c>
    </row>
    <row r="31" spans="1:15" ht="27.5" hidden="1" customHeight="1" x14ac:dyDescent="0.2">
      <c r="A31">
        <v>2026</v>
      </c>
      <c r="B31" t="s">
        <v>599</v>
      </c>
      <c r="C31" t="s">
        <v>595</v>
      </c>
      <c r="D31" s="19" t="s">
        <v>253</v>
      </c>
      <c r="E31" s="18" t="s">
        <v>105</v>
      </c>
      <c r="F31" s="18">
        <v>7</v>
      </c>
      <c r="G31" s="20">
        <v>34384</v>
      </c>
      <c r="H31" s="18">
        <v>-616</v>
      </c>
      <c r="I31" s="20">
        <v>10983</v>
      </c>
      <c r="J31" s="8">
        <f t="shared" si="0"/>
        <v>23401</v>
      </c>
      <c r="K31" s="10">
        <f t="shared" si="1"/>
        <v>0.68057817589576552</v>
      </c>
      <c r="L31" s="17">
        <f t="shared" si="2"/>
        <v>1.7915309446254073E-2</v>
      </c>
      <c r="M31" t="str">
        <f>VLOOKUP(D31,'Jer-Tip-Emp'!B:E,4,0)</f>
        <v>Entradas</v>
      </c>
      <c r="N31" t="str">
        <f>VLOOKUP(D31,'Jer-Tip-Emp'!B:F,5,0)</f>
        <v>Otro</v>
      </c>
      <c r="O31" t="str">
        <f>VLOOKUP(D31,'Jer-Tip-Emp'!B:G,6,0)</f>
        <v>Otro</v>
      </c>
    </row>
    <row r="32" spans="1:15" ht="27.5" customHeight="1" x14ac:dyDescent="0.2">
      <c r="A32">
        <v>2026</v>
      </c>
      <c r="B32" t="s">
        <v>599</v>
      </c>
      <c r="C32" t="s">
        <v>595</v>
      </c>
      <c r="D32" s="19" t="s">
        <v>178</v>
      </c>
      <c r="E32" s="18" t="s">
        <v>145</v>
      </c>
      <c r="F32" s="18">
        <v>7</v>
      </c>
      <c r="G32" s="20">
        <v>601300</v>
      </c>
      <c r="H32" s="18">
        <v>0</v>
      </c>
      <c r="I32" s="20">
        <v>340256</v>
      </c>
      <c r="J32" s="8">
        <f t="shared" si="0"/>
        <v>261044</v>
      </c>
      <c r="K32" s="10">
        <f t="shared" si="1"/>
        <v>0.4341327124563446</v>
      </c>
      <c r="L32" s="17">
        <f t="shared" si="2"/>
        <v>0</v>
      </c>
      <c r="M32" t="str">
        <f>VLOOKUP(D32,'Jer-Tip-Emp'!B:E,4,0)</f>
        <v>Platos mong</v>
      </c>
      <c r="N32" t="str">
        <f>VLOOKUP(D32,'Jer-Tip-Emp'!B:F,5,0)</f>
        <v>No Personal</v>
      </c>
      <c r="O32" t="str">
        <f>VLOOKUP(D32,'Jer-Tip-Emp'!B:G,6,0)</f>
        <v>Caja</v>
      </c>
    </row>
    <row r="33" spans="1:15" ht="27.5" customHeight="1" x14ac:dyDescent="0.2">
      <c r="A33">
        <v>2026</v>
      </c>
      <c r="B33" t="s">
        <v>599</v>
      </c>
      <c r="C33" t="s">
        <v>595</v>
      </c>
      <c r="D33" s="19" t="s">
        <v>322</v>
      </c>
      <c r="E33" s="18" t="s">
        <v>545</v>
      </c>
      <c r="F33" s="18">
        <v>6</v>
      </c>
      <c r="G33" s="20">
        <v>11784</v>
      </c>
      <c r="H33" s="18">
        <v>-216</v>
      </c>
      <c r="I33" s="20">
        <v>18648</v>
      </c>
      <c r="J33" s="8">
        <f t="shared" si="0"/>
        <v>-6864</v>
      </c>
      <c r="K33" s="10">
        <f t="shared" si="1"/>
        <v>-0.58248472505091653</v>
      </c>
      <c r="L33" s="17">
        <f t="shared" si="2"/>
        <v>1.8329938900203666E-2</v>
      </c>
      <c r="M33" t="str">
        <f>VLOOKUP(D33,'Jer-Tip-Emp'!B:E,4,0)</f>
        <v>Arma tu plato</v>
      </c>
      <c r="N33" t="str">
        <f>VLOOKUP(D33,'Jer-Tip-Emp'!B:F,5,0)</f>
        <v>Personal</v>
      </c>
      <c r="O33" t="str">
        <f>VLOOKUP(D33,'Jer-Tip-Emp'!B:G,6,0)</f>
        <v>Caja</v>
      </c>
    </row>
    <row r="34" spans="1:15" ht="27.5" customHeight="1" x14ac:dyDescent="0.2">
      <c r="A34">
        <v>2026</v>
      </c>
      <c r="B34" t="s">
        <v>599</v>
      </c>
      <c r="C34" t="s">
        <v>595</v>
      </c>
      <c r="D34" s="19" t="s">
        <v>354</v>
      </c>
      <c r="E34" s="18" t="s">
        <v>548</v>
      </c>
      <c r="F34" s="18">
        <v>6</v>
      </c>
      <c r="G34" s="18">
        <v>0</v>
      </c>
      <c r="H34" s="18">
        <v>0</v>
      </c>
      <c r="I34" s="20">
        <v>15804</v>
      </c>
      <c r="J34" s="8">
        <f t="shared" si="0"/>
        <v>-15804</v>
      </c>
      <c r="K34" s="10">
        <f t="shared" si="1"/>
        <v>0</v>
      </c>
      <c r="L34" s="17">
        <f t="shared" si="2"/>
        <v>0</v>
      </c>
      <c r="M34" t="str">
        <f>VLOOKUP(D34,'Jer-Tip-Emp'!B:E,4,0)</f>
        <v>Arma tu plato</v>
      </c>
      <c r="N34" t="str">
        <f>VLOOKUP(D34,'Jer-Tip-Emp'!B:F,5,0)</f>
        <v>Personal</v>
      </c>
      <c r="O34" t="str">
        <f>VLOOKUP(D34,'Jer-Tip-Emp'!B:G,6,0)</f>
        <v>Caja</v>
      </c>
    </row>
    <row r="35" spans="1:15" ht="27.5" customHeight="1" x14ac:dyDescent="0.2">
      <c r="A35">
        <v>2026</v>
      </c>
      <c r="B35" t="s">
        <v>599</v>
      </c>
      <c r="C35" t="s">
        <v>595</v>
      </c>
      <c r="D35" s="19" t="s">
        <v>290</v>
      </c>
      <c r="E35" s="18" t="s">
        <v>86</v>
      </c>
      <c r="F35" s="18">
        <v>6</v>
      </c>
      <c r="G35" s="20">
        <v>581400</v>
      </c>
      <c r="H35" s="18">
        <v>0</v>
      </c>
      <c r="I35" s="20">
        <v>280680</v>
      </c>
      <c r="J35" s="8">
        <f t="shared" si="0"/>
        <v>300720</v>
      </c>
      <c r="K35" s="10">
        <f t="shared" si="1"/>
        <v>0.51723426212590295</v>
      </c>
      <c r="L35" s="17">
        <f t="shared" si="2"/>
        <v>0</v>
      </c>
      <c r="M35" t="str">
        <f>VLOOKUP(D35,'Jer-Tip-Emp'!B:E,4,0)</f>
        <v>Combos para compartir</v>
      </c>
      <c r="N35" t="str">
        <f>VLOOKUP(D35,'Jer-Tip-Emp'!B:F,5,0)</f>
        <v>No Personal</v>
      </c>
      <c r="O35" t="str">
        <f>VLOOKUP(D35,'Jer-Tip-Emp'!B:G,6,0)</f>
        <v>Combo</v>
      </c>
    </row>
    <row r="36" spans="1:15" ht="27.5" customHeight="1" x14ac:dyDescent="0.2">
      <c r="A36">
        <v>2026</v>
      </c>
      <c r="B36" t="s">
        <v>599</v>
      </c>
      <c r="C36" t="s">
        <v>595</v>
      </c>
      <c r="D36" s="19" t="s">
        <v>223</v>
      </c>
      <c r="E36" s="18" t="s">
        <v>116</v>
      </c>
      <c r="F36" s="18">
        <v>6</v>
      </c>
      <c r="G36" s="20">
        <v>161400</v>
      </c>
      <c r="H36" s="18">
        <v>0</v>
      </c>
      <c r="I36" s="20">
        <v>81828</v>
      </c>
      <c r="J36" s="8">
        <f t="shared" si="0"/>
        <v>79572</v>
      </c>
      <c r="K36" s="10">
        <f t="shared" si="1"/>
        <v>0.4930111524163569</v>
      </c>
      <c r="L36" s="17">
        <f t="shared" si="2"/>
        <v>0</v>
      </c>
      <c r="M36" t="str">
        <f>VLOOKUP(D36,'Jer-Tip-Emp'!B:E,4,0)</f>
        <v>Platos especiales</v>
      </c>
      <c r="N36" t="str">
        <f>VLOOKUP(D36,'Jer-Tip-Emp'!B:F,5,0)</f>
        <v>Personal</v>
      </c>
      <c r="O36" t="str">
        <f>VLOOKUP(D36,'Jer-Tip-Emp'!B:G,6,0)</f>
        <v>Platos especiales</v>
      </c>
    </row>
    <row r="37" spans="1:15" ht="27.5" hidden="1" customHeight="1" x14ac:dyDescent="0.2">
      <c r="A37">
        <v>2026</v>
      </c>
      <c r="B37" t="s">
        <v>599</v>
      </c>
      <c r="C37" t="s">
        <v>595</v>
      </c>
      <c r="D37" s="19" t="s">
        <v>309</v>
      </c>
      <c r="E37" s="18" t="s">
        <v>48</v>
      </c>
      <c r="F37" s="18">
        <v>5</v>
      </c>
      <c r="G37" s="20">
        <v>19500</v>
      </c>
      <c r="H37" s="18">
        <v>0</v>
      </c>
      <c r="I37" s="20">
        <v>5815</v>
      </c>
      <c r="J37" s="8">
        <f t="shared" si="0"/>
        <v>13685</v>
      </c>
      <c r="K37" s="10">
        <f t="shared" si="1"/>
        <v>0.70179487179487177</v>
      </c>
      <c r="L37" s="17">
        <f t="shared" si="2"/>
        <v>0</v>
      </c>
      <c r="M37" t="str">
        <f>VLOOKUP(D37,'Jer-Tip-Emp'!B:E,4,0)</f>
        <v>Bebidas</v>
      </c>
      <c r="N37" t="str">
        <f>VLOOKUP(D37,'Jer-Tip-Emp'!B:F,5,0)</f>
        <v>Bebidas</v>
      </c>
      <c r="O37" t="str">
        <f>VLOOKUP(D37,'Jer-Tip-Emp'!B:G,6,0)</f>
        <v>Bebidas</v>
      </c>
    </row>
    <row r="38" spans="1:15" ht="27.5" hidden="1" customHeight="1" x14ac:dyDescent="0.2">
      <c r="A38">
        <v>2026</v>
      </c>
      <c r="B38" t="s">
        <v>599</v>
      </c>
      <c r="C38" t="s">
        <v>595</v>
      </c>
      <c r="D38" s="19" t="s">
        <v>262</v>
      </c>
      <c r="E38" s="18" t="s">
        <v>102</v>
      </c>
      <c r="F38" s="18">
        <v>5</v>
      </c>
      <c r="G38" s="20">
        <v>84500</v>
      </c>
      <c r="H38" s="18">
        <v>0</v>
      </c>
      <c r="I38" s="20">
        <v>31075</v>
      </c>
      <c r="J38" s="8">
        <f t="shared" si="0"/>
        <v>53425</v>
      </c>
      <c r="K38" s="10">
        <f t="shared" si="1"/>
        <v>0.63224852071005921</v>
      </c>
      <c r="L38" s="17">
        <f t="shared" si="2"/>
        <v>0</v>
      </c>
      <c r="M38" t="str">
        <f>VLOOKUP(D38,'Jer-Tip-Emp'!B:E,4,0)</f>
        <v>Entradas</v>
      </c>
      <c r="N38" t="str">
        <f>VLOOKUP(D38,'Jer-Tip-Emp'!B:F,5,0)</f>
        <v>Otro</v>
      </c>
      <c r="O38" t="str">
        <f>VLOOKUP(D38,'Jer-Tip-Emp'!B:G,6,0)</f>
        <v>Otro</v>
      </c>
    </row>
    <row r="39" spans="1:15" ht="27.5" hidden="1" customHeight="1" x14ac:dyDescent="0.2">
      <c r="A39">
        <v>2026</v>
      </c>
      <c r="B39" t="s">
        <v>599</v>
      </c>
      <c r="C39" t="s">
        <v>595</v>
      </c>
      <c r="D39" s="19" t="s">
        <v>310</v>
      </c>
      <c r="E39" s="18" t="s">
        <v>53</v>
      </c>
      <c r="F39" s="18">
        <v>5</v>
      </c>
      <c r="G39" s="20">
        <v>29500</v>
      </c>
      <c r="H39" s="18">
        <v>0</v>
      </c>
      <c r="I39" s="20">
        <v>8475</v>
      </c>
      <c r="J39" s="8">
        <f t="shared" si="0"/>
        <v>21025</v>
      </c>
      <c r="K39" s="10">
        <f t="shared" si="1"/>
        <v>0.71271186440677969</v>
      </c>
      <c r="L39" s="17">
        <f t="shared" si="2"/>
        <v>0</v>
      </c>
      <c r="M39" t="str">
        <f>VLOOKUP(D39,'Jer-Tip-Emp'!B:E,4,0)</f>
        <v>Bebidas</v>
      </c>
      <c r="N39" t="str">
        <f>VLOOKUP(D39,'Jer-Tip-Emp'!B:F,5,0)</f>
        <v>Bebidas</v>
      </c>
      <c r="O39" t="str">
        <f>VLOOKUP(D39,'Jer-Tip-Emp'!B:G,6,0)</f>
        <v>Bebidas</v>
      </c>
    </row>
    <row r="40" spans="1:15" ht="27.5" customHeight="1" x14ac:dyDescent="0.2">
      <c r="A40">
        <v>2026</v>
      </c>
      <c r="B40" t="s">
        <v>599</v>
      </c>
      <c r="C40" t="s">
        <v>595</v>
      </c>
      <c r="D40" s="19" t="s">
        <v>260</v>
      </c>
      <c r="E40" s="18" t="s">
        <v>97</v>
      </c>
      <c r="F40" s="18">
        <v>4</v>
      </c>
      <c r="G40" s="20">
        <v>191600</v>
      </c>
      <c r="H40" s="18">
        <v>0</v>
      </c>
      <c r="I40" s="20">
        <v>83644</v>
      </c>
      <c r="J40" s="8">
        <f t="shared" si="0"/>
        <v>107956</v>
      </c>
      <c r="K40" s="10">
        <f t="shared" si="1"/>
        <v>0.56344467640918583</v>
      </c>
      <c r="L40" s="17">
        <f t="shared" si="2"/>
        <v>0</v>
      </c>
      <c r="M40" t="str">
        <f>VLOOKUP(D40,'Jer-Tip-Emp'!B:E,4,0)</f>
        <v>Platos mong</v>
      </c>
      <c r="N40" t="str">
        <f>VLOOKUP(D40,'Jer-Tip-Emp'!B:F,5,0)</f>
        <v>No Personal</v>
      </c>
      <c r="O40" t="str">
        <f>VLOOKUP(D40,'Jer-Tip-Emp'!B:G,6,0)</f>
        <v>Caja</v>
      </c>
    </row>
    <row r="41" spans="1:15" ht="27.5" customHeight="1" x14ac:dyDescent="0.2">
      <c r="A41">
        <v>2026</v>
      </c>
      <c r="B41" t="s">
        <v>599</v>
      </c>
      <c r="C41" t="s">
        <v>595</v>
      </c>
      <c r="D41" s="19" t="s">
        <v>240</v>
      </c>
      <c r="E41" s="18" t="s">
        <v>139</v>
      </c>
      <c r="F41" s="18">
        <v>4</v>
      </c>
      <c r="G41" s="20">
        <v>167600</v>
      </c>
      <c r="H41" s="18">
        <v>0</v>
      </c>
      <c r="I41" s="20">
        <v>97020</v>
      </c>
      <c r="J41" s="8">
        <f t="shared" si="0"/>
        <v>70580</v>
      </c>
      <c r="K41" s="10">
        <f t="shared" si="1"/>
        <v>0.42112171837708828</v>
      </c>
      <c r="L41" s="17">
        <f t="shared" si="2"/>
        <v>0</v>
      </c>
      <c r="M41" t="str">
        <f>VLOOKUP(D41,'Jer-Tip-Emp'!B:E,4,0)</f>
        <v>Platos mong</v>
      </c>
      <c r="N41" t="str">
        <f>VLOOKUP(D41,'Jer-Tip-Emp'!B:F,5,0)</f>
        <v>No Personal</v>
      </c>
      <c r="O41" t="str">
        <f>VLOOKUP(D41,'Jer-Tip-Emp'!B:G,6,0)</f>
        <v>Caja</v>
      </c>
    </row>
    <row r="42" spans="1:15" ht="27.5" customHeight="1" x14ac:dyDescent="0.2">
      <c r="A42">
        <v>2026</v>
      </c>
      <c r="B42" t="s">
        <v>599</v>
      </c>
      <c r="C42" t="s">
        <v>595</v>
      </c>
      <c r="D42" s="19" t="s">
        <v>224</v>
      </c>
      <c r="E42" s="18" t="s">
        <v>114</v>
      </c>
      <c r="F42" s="18">
        <v>4</v>
      </c>
      <c r="G42" s="20">
        <v>74700</v>
      </c>
      <c r="H42" s="20">
        <v>-24900</v>
      </c>
      <c r="I42" s="20">
        <v>50872</v>
      </c>
      <c r="J42" s="8">
        <f t="shared" si="0"/>
        <v>23828</v>
      </c>
      <c r="K42" s="10">
        <f t="shared" si="1"/>
        <v>0.31898259705488619</v>
      </c>
      <c r="L42" s="17">
        <f t="shared" si="2"/>
        <v>0.33333333333333331</v>
      </c>
      <c r="M42" t="str">
        <f>VLOOKUP(D42,'Jer-Tip-Emp'!B:E,4,0)</f>
        <v>Platos especiales</v>
      </c>
      <c r="N42" t="str">
        <f>VLOOKUP(D42,'Jer-Tip-Emp'!B:F,5,0)</f>
        <v>Personal</v>
      </c>
      <c r="O42" t="str">
        <f>VLOOKUP(D42,'Jer-Tip-Emp'!B:G,6,0)</f>
        <v>Platos especiales</v>
      </c>
    </row>
    <row r="43" spans="1:15" ht="27.5" hidden="1" customHeight="1" x14ac:dyDescent="0.2">
      <c r="A43">
        <v>2026</v>
      </c>
      <c r="B43" t="s">
        <v>599</v>
      </c>
      <c r="C43" t="s">
        <v>595</v>
      </c>
      <c r="D43" s="19" t="s">
        <v>183</v>
      </c>
      <c r="E43" s="18" t="s">
        <v>104</v>
      </c>
      <c r="F43" s="18">
        <v>4</v>
      </c>
      <c r="G43" s="20">
        <v>63600</v>
      </c>
      <c r="H43" s="18">
        <v>0</v>
      </c>
      <c r="I43" s="20">
        <v>40112</v>
      </c>
      <c r="J43" s="8">
        <f t="shared" si="0"/>
        <v>23488</v>
      </c>
      <c r="K43" s="10">
        <f t="shared" si="1"/>
        <v>0.36930817610062894</v>
      </c>
      <c r="L43" s="17">
        <f t="shared" si="2"/>
        <v>0</v>
      </c>
      <c r="M43" t="str">
        <f>VLOOKUP(D43,'Jer-Tip-Emp'!B:E,4,0)</f>
        <v>Entradas</v>
      </c>
      <c r="N43" t="str">
        <f>VLOOKUP(D43,'Jer-Tip-Emp'!B:F,5,0)</f>
        <v>Otro</v>
      </c>
      <c r="O43" t="str">
        <f>VLOOKUP(D43,'Jer-Tip-Emp'!B:G,6,0)</f>
        <v>Otro</v>
      </c>
    </row>
    <row r="44" spans="1:15" ht="27.5" hidden="1" customHeight="1" x14ac:dyDescent="0.2">
      <c r="A44">
        <v>2026</v>
      </c>
      <c r="B44" t="s">
        <v>599</v>
      </c>
      <c r="C44" t="s">
        <v>595</v>
      </c>
      <c r="D44" s="19" t="s">
        <v>337</v>
      </c>
      <c r="E44" s="18" t="s">
        <v>58</v>
      </c>
      <c r="F44" s="18">
        <v>4</v>
      </c>
      <c r="G44" s="20">
        <v>19600</v>
      </c>
      <c r="H44" s="18">
        <v>0</v>
      </c>
      <c r="I44" s="20">
        <v>6240</v>
      </c>
      <c r="J44" s="8">
        <f t="shared" si="0"/>
        <v>13360</v>
      </c>
      <c r="K44" s="10">
        <f t="shared" si="1"/>
        <v>0.68163265306122445</v>
      </c>
      <c r="L44" s="17">
        <f t="shared" si="2"/>
        <v>0</v>
      </c>
      <c r="M44" t="str">
        <f>VLOOKUP(D44,'Jer-Tip-Emp'!B:E,4,0)</f>
        <v>Bebidas</v>
      </c>
      <c r="N44" t="str">
        <f>VLOOKUP(D44,'Jer-Tip-Emp'!B:F,5,0)</f>
        <v>Bebidas</v>
      </c>
      <c r="O44" t="str">
        <f>VLOOKUP(D44,'Jer-Tip-Emp'!B:G,6,0)</f>
        <v>Bebidas</v>
      </c>
    </row>
    <row r="45" spans="1:15" ht="27.5" customHeight="1" x14ac:dyDescent="0.2">
      <c r="A45">
        <v>2026</v>
      </c>
      <c r="B45" t="s">
        <v>599</v>
      </c>
      <c r="C45" t="s">
        <v>595</v>
      </c>
      <c r="D45" s="19" t="s">
        <v>241</v>
      </c>
      <c r="E45" s="18" t="s">
        <v>107</v>
      </c>
      <c r="F45" s="18">
        <v>4</v>
      </c>
      <c r="G45" s="20">
        <v>321600</v>
      </c>
      <c r="H45" s="20">
        <v>-6000</v>
      </c>
      <c r="I45" s="20">
        <v>170816</v>
      </c>
      <c r="J45" s="8">
        <f t="shared" si="0"/>
        <v>150784</v>
      </c>
      <c r="K45" s="10">
        <f t="shared" si="1"/>
        <v>0.46885572139303483</v>
      </c>
      <c r="L45" s="17">
        <f t="shared" si="2"/>
        <v>1.8656716417910446E-2</v>
      </c>
      <c r="M45" t="str">
        <f>VLOOKUP(D45,'Jer-Tip-Emp'!B:E,4,0)</f>
        <v>Platos mong</v>
      </c>
      <c r="N45" t="str">
        <f>VLOOKUP(D45,'Jer-Tip-Emp'!B:F,5,0)</f>
        <v>No Personal</v>
      </c>
      <c r="O45" t="str">
        <f>VLOOKUP(D45,'Jer-Tip-Emp'!B:G,6,0)</f>
        <v>Caja</v>
      </c>
    </row>
    <row r="46" spans="1:15" ht="27.5" customHeight="1" x14ac:dyDescent="0.2">
      <c r="A46">
        <v>2026</v>
      </c>
      <c r="B46" t="s">
        <v>599</v>
      </c>
      <c r="C46" t="s">
        <v>595</v>
      </c>
      <c r="D46" s="19" t="s">
        <v>293</v>
      </c>
      <c r="E46" s="18" t="s">
        <v>127</v>
      </c>
      <c r="F46" s="18">
        <v>4</v>
      </c>
      <c r="G46" s="20">
        <v>231600</v>
      </c>
      <c r="H46" s="18">
        <v>0</v>
      </c>
      <c r="I46" s="20">
        <v>112228</v>
      </c>
      <c r="J46" s="8">
        <f t="shared" si="0"/>
        <v>119372</v>
      </c>
      <c r="K46" s="10">
        <f t="shared" si="1"/>
        <v>0.51542314335060446</v>
      </c>
      <c r="L46" s="17">
        <f t="shared" si="2"/>
        <v>0</v>
      </c>
      <c r="M46" t="str">
        <f>VLOOKUP(D46,'Jer-Tip-Emp'!B:E,4,0)</f>
        <v>Platos mong</v>
      </c>
      <c r="N46" t="str">
        <f>VLOOKUP(D46,'Jer-Tip-Emp'!B:F,5,0)</f>
        <v>No Personal</v>
      </c>
      <c r="O46" t="str">
        <f>VLOOKUP(D46,'Jer-Tip-Emp'!B:G,6,0)</f>
        <v>Caja</v>
      </c>
    </row>
    <row r="47" spans="1:15" ht="27.5" customHeight="1" x14ac:dyDescent="0.2">
      <c r="A47">
        <v>2026</v>
      </c>
      <c r="B47" t="s">
        <v>599</v>
      </c>
      <c r="C47" t="s">
        <v>595</v>
      </c>
      <c r="D47" s="19" t="s">
        <v>278</v>
      </c>
      <c r="E47" s="18" t="s">
        <v>84</v>
      </c>
      <c r="F47" s="18">
        <v>3</v>
      </c>
      <c r="G47" s="20">
        <v>62700</v>
      </c>
      <c r="H47" s="18">
        <v>0</v>
      </c>
      <c r="I47" s="20">
        <v>23919</v>
      </c>
      <c r="J47" s="8">
        <f t="shared" si="0"/>
        <v>38781</v>
      </c>
      <c r="K47" s="10">
        <f t="shared" si="1"/>
        <v>0.61851674641148324</v>
      </c>
      <c r="L47" s="17">
        <f t="shared" si="2"/>
        <v>0</v>
      </c>
      <c r="M47" t="str">
        <f>VLOOKUP(D47,'Jer-Tip-Emp'!B:E,4,0)</f>
        <v>Combos para compartir</v>
      </c>
      <c r="N47" t="str">
        <f>VLOOKUP(D47,'Jer-Tip-Emp'!B:F,5,0)</f>
        <v>No Personal</v>
      </c>
      <c r="O47" t="str">
        <f>VLOOKUP(D47,'Jer-Tip-Emp'!B:G,6,0)</f>
        <v>Combo</v>
      </c>
    </row>
    <row r="48" spans="1:15" ht="27.5" customHeight="1" x14ac:dyDescent="0.2">
      <c r="A48">
        <v>2026</v>
      </c>
      <c r="B48" t="s">
        <v>599</v>
      </c>
      <c r="C48" t="s">
        <v>595</v>
      </c>
      <c r="D48" s="19" t="s">
        <v>279</v>
      </c>
      <c r="E48" s="18" t="s">
        <v>132</v>
      </c>
      <c r="F48" s="18">
        <v>3</v>
      </c>
      <c r="G48" s="20">
        <v>104700</v>
      </c>
      <c r="H48" s="18">
        <v>0</v>
      </c>
      <c r="I48" s="20">
        <v>33651</v>
      </c>
      <c r="J48" s="8">
        <f t="shared" si="0"/>
        <v>71049</v>
      </c>
      <c r="K48" s="10">
        <f t="shared" si="1"/>
        <v>0.67859598853868197</v>
      </c>
      <c r="L48" s="17">
        <f t="shared" si="2"/>
        <v>0</v>
      </c>
      <c r="M48" t="str">
        <f>VLOOKUP(D48,'Jer-Tip-Emp'!B:E,4,0)</f>
        <v>Platos mong</v>
      </c>
      <c r="N48" t="str">
        <f>VLOOKUP(D48,'Jer-Tip-Emp'!B:F,5,0)</f>
        <v>No Personal</v>
      </c>
      <c r="O48" t="str">
        <f>VLOOKUP(D48,'Jer-Tip-Emp'!B:G,6,0)</f>
        <v>Caja</v>
      </c>
    </row>
    <row r="49" spans="1:15" ht="27.5" hidden="1" customHeight="1" x14ac:dyDescent="0.2">
      <c r="A49">
        <v>2026</v>
      </c>
      <c r="B49" t="s">
        <v>599</v>
      </c>
      <c r="C49" t="s">
        <v>595</v>
      </c>
      <c r="D49" s="19" t="s">
        <v>336</v>
      </c>
      <c r="E49" s="18" t="s">
        <v>60</v>
      </c>
      <c r="F49" s="18">
        <v>3</v>
      </c>
      <c r="G49" s="20">
        <v>14700</v>
      </c>
      <c r="H49" s="18">
        <v>0</v>
      </c>
      <c r="I49" s="20">
        <v>4680</v>
      </c>
      <c r="J49" s="8">
        <f t="shared" si="0"/>
        <v>10020</v>
      </c>
      <c r="K49" s="10">
        <f t="shared" si="1"/>
        <v>0.68163265306122445</v>
      </c>
      <c r="L49" s="17">
        <f t="shared" si="2"/>
        <v>0</v>
      </c>
      <c r="M49" t="str">
        <f>VLOOKUP(D49,'Jer-Tip-Emp'!B:E,4,0)</f>
        <v>Bebidas</v>
      </c>
      <c r="N49" t="str">
        <f>VLOOKUP(D49,'Jer-Tip-Emp'!B:F,5,0)</f>
        <v>Bebidas</v>
      </c>
      <c r="O49" t="str">
        <f>VLOOKUP(D49,'Jer-Tip-Emp'!B:G,6,0)</f>
        <v>Bebidas</v>
      </c>
    </row>
    <row r="50" spans="1:15" ht="27.5" customHeight="1" x14ac:dyDescent="0.2">
      <c r="A50">
        <v>2026</v>
      </c>
      <c r="B50" t="s">
        <v>599</v>
      </c>
      <c r="C50" t="s">
        <v>595</v>
      </c>
      <c r="D50" s="19" t="s">
        <v>298</v>
      </c>
      <c r="E50" s="18" t="s">
        <v>153</v>
      </c>
      <c r="F50" s="18">
        <v>3</v>
      </c>
      <c r="G50" s="20">
        <v>62700</v>
      </c>
      <c r="H50" s="18">
        <v>0</v>
      </c>
      <c r="I50" s="20">
        <v>25563</v>
      </c>
      <c r="J50" s="8">
        <f t="shared" si="0"/>
        <v>37137</v>
      </c>
      <c r="K50" s="10">
        <f t="shared" si="1"/>
        <v>0.59229665071770332</v>
      </c>
      <c r="L50" s="17">
        <f t="shared" si="2"/>
        <v>0</v>
      </c>
      <c r="M50" t="str">
        <f>VLOOKUP(D50,'Jer-Tip-Emp'!B:E,4,0)</f>
        <v>Platos mong</v>
      </c>
      <c r="N50" t="str">
        <f>VLOOKUP(D50,'Jer-Tip-Emp'!B:F,5,0)</f>
        <v>Personal</v>
      </c>
      <c r="O50" t="str">
        <f>VLOOKUP(D50,'Jer-Tip-Emp'!B:G,6,0)</f>
        <v>Caja</v>
      </c>
    </row>
    <row r="51" spans="1:15" ht="27.5" customHeight="1" x14ac:dyDescent="0.2">
      <c r="A51">
        <v>2026</v>
      </c>
      <c r="B51" t="s">
        <v>599</v>
      </c>
      <c r="C51" t="s">
        <v>595</v>
      </c>
      <c r="D51" s="19" t="s">
        <v>228</v>
      </c>
      <c r="E51" s="18" t="s">
        <v>96</v>
      </c>
      <c r="F51" s="18">
        <v>3</v>
      </c>
      <c r="G51" s="20">
        <v>89700</v>
      </c>
      <c r="H51" s="18">
        <v>0</v>
      </c>
      <c r="I51" s="20">
        <v>30741</v>
      </c>
      <c r="J51" s="8">
        <f t="shared" si="0"/>
        <v>58959</v>
      </c>
      <c r="K51" s="10">
        <f t="shared" si="1"/>
        <v>0.65729096989966551</v>
      </c>
      <c r="L51" s="17">
        <f t="shared" si="2"/>
        <v>0</v>
      </c>
      <c r="M51" t="str">
        <f>VLOOKUP(D51,'Jer-Tip-Emp'!B:E,4,0)</f>
        <v>Combos personales</v>
      </c>
      <c r="N51" t="str">
        <f>VLOOKUP(D51,'Jer-Tip-Emp'!B:F,5,0)</f>
        <v>Personal</v>
      </c>
      <c r="O51" t="str">
        <f>VLOOKUP(D51,'Jer-Tip-Emp'!B:G,6,0)</f>
        <v>Combo</v>
      </c>
    </row>
    <row r="52" spans="1:15" ht="27.5" hidden="1" customHeight="1" x14ac:dyDescent="0.2">
      <c r="A52">
        <v>2026</v>
      </c>
      <c r="B52" t="s">
        <v>599</v>
      </c>
      <c r="C52" t="s">
        <v>595</v>
      </c>
      <c r="D52" s="19" t="s">
        <v>193</v>
      </c>
      <c r="E52" s="18" t="s">
        <v>18</v>
      </c>
      <c r="F52" s="18">
        <v>3</v>
      </c>
      <c r="G52" s="20">
        <v>20700</v>
      </c>
      <c r="H52" s="18">
        <v>0</v>
      </c>
      <c r="I52" s="20">
        <v>9324</v>
      </c>
      <c r="J52" s="8">
        <f t="shared" si="0"/>
        <v>11376</v>
      </c>
      <c r="K52" s="10">
        <f t="shared" si="1"/>
        <v>0.54956521739130437</v>
      </c>
      <c r="L52" s="17">
        <f t="shared" si="2"/>
        <v>0</v>
      </c>
      <c r="M52" t="str">
        <f>VLOOKUP(D52,'Jer-Tip-Emp'!B:E,4,0)</f>
        <v>Adición</v>
      </c>
      <c r="N52" t="str">
        <f>VLOOKUP(D52,'Jer-Tip-Emp'!B:F,5,0)</f>
        <v>Adición</v>
      </c>
      <c r="O52" t="str">
        <f>VLOOKUP(D52,'Jer-Tip-Emp'!B:G,6,0)</f>
        <v>Adición</v>
      </c>
    </row>
    <row r="53" spans="1:15" ht="27.5" customHeight="1" x14ac:dyDescent="0.2">
      <c r="A53">
        <v>2026</v>
      </c>
      <c r="B53" t="s">
        <v>599</v>
      </c>
      <c r="C53" t="s">
        <v>595</v>
      </c>
      <c r="D53" s="19" t="s">
        <v>470</v>
      </c>
      <c r="E53" s="18" t="s">
        <v>550</v>
      </c>
      <c r="F53" s="18">
        <v>2</v>
      </c>
      <c r="G53" s="18">
        <v>0</v>
      </c>
      <c r="H53" s="18">
        <v>0</v>
      </c>
      <c r="I53" s="20">
        <v>6194</v>
      </c>
      <c r="J53" s="8">
        <f t="shared" si="0"/>
        <v>-6194</v>
      </c>
      <c r="K53" s="10">
        <f t="shared" si="1"/>
        <v>0</v>
      </c>
      <c r="L53" s="17">
        <f t="shared" si="2"/>
        <v>0</v>
      </c>
      <c r="M53" t="str">
        <f>VLOOKUP(D53,'Jer-Tip-Emp'!B:E,4,0)</f>
        <v>Arma tu plato</v>
      </c>
      <c r="N53" t="str">
        <f>VLOOKUP(D53,'Jer-Tip-Emp'!B:F,5,0)</f>
        <v>Personal</v>
      </c>
      <c r="O53" t="str">
        <f>VLOOKUP(D53,'Jer-Tip-Emp'!B:G,6,0)</f>
        <v>Caja</v>
      </c>
    </row>
    <row r="54" spans="1:15" ht="27.5" hidden="1" customHeight="1" x14ac:dyDescent="0.2">
      <c r="A54">
        <v>2026</v>
      </c>
      <c r="B54" t="s">
        <v>599</v>
      </c>
      <c r="C54" t="s">
        <v>595</v>
      </c>
      <c r="D54" s="19" t="s">
        <v>327</v>
      </c>
      <c r="E54" s="18" t="s">
        <v>44</v>
      </c>
      <c r="F54" s="18">
        <v>2</v>
      </c>
      <c r="G54" s="20">
        <v>9800</v>
      </c>
      <c r="H54" s="18">
        <v>0</v>
      </c>
      <c r="I54" s="20">
        <v>2190</v>
      </c>
      <c r="J54" s="8">
        <f t="shared" si="0"/>
        <v>7610</v>
      </c>
      <c r="K54" s="10">
        <f t="shared" si="1"/>
        <v>0.77653061224489794</v>
      </c>
      <c r="L54" s="17">
        <f t="shared" si="2"/>
        <v>0</v>
      </c>
      <c r="M54" t="str">
        <f>VLOOKUP(D54,'Jer-Tip-Emp'!B:E,4,0)</f>
        <v>Bebidas</v>
      </c>
      <c r="N54" t="str">
        <f>VLOOKUP(D54,'Jer-Tip-Emp'!B:F,5,0)</f>
        <v>Bebidas</v>
      </c>
      <c r="O54" t="str">
        <f>VLOOKUP(D54,'Jer-Tip-Emp'!B:G,6,0)</f>
        <v>Bebidas</v>
      </c>
    </row>
    <row r="55" spans="1:15" ht="27.5" hidden="1" customHeight="1" x14ac:dyDescent="0.2">
      <c r="A55">
        <v>2026</v>
      </c>
      <c r="B55" t="s">
        <v>599</v>
      </c>
      <c r="C55" t="s">
        <v>595</v>
      </c>
      <c r="D55" s="19" t="s">
        <v>365</v>
      </c>
      <c r="E55" s="18" t="s">
        <v>558</v>
      </c>
      <c r="F55" s="18">
        <v>2</v>
      </c>
      <c r="G55" s="20">
        <v>1000</v>
      </c>
      <c r="H55" s="18">
        <v>0</v>
      </c>
      <c r="I55" s="20">
        <v>3138</v>
      </c>
      <c r="J55" s="8">
        <f t="shared" si="0"/>
        <v>-2138</v>
      </c>
      <c r="K55" s="10">
        <f t="shared" si="1"/>
        <v>-2.1379999999999999</v>
      </c>
      <c r="L55" s="17">
        <f t="shared" si="2"/>
        <v>0</v>
      </c>
      <c r="M55" t="str">
        <f>VLOOKUP(D55,'Jer-Tip-Emp'!B:E,4,0)</f>
        <v>Adición</v>
      </c>
      <c r="N55" t="str">
        <f>VLOOKUP(D55,'Jer-Tip-Emp'!B:F,5,0)</f>
        <v>Otro</v>
      </c>
      <c r="O55" t="str">
        <f>VLOOKUP(D55,'Jer-Tip-Emp'!B:G,6,0)</f>
        <v>Otro</v>
      </c>
    </row>
    <row r="56" spans="1:15" ht="27.5" customHeight="1" x14ac:dyDescent="0.2">
      <c r="A56">
        <v>2026</v>
      </c>
      <c r="B56" t="s">
        <v>599</v>
      </c>
      <c r="C56" t="s">
        <v>595</v>
      </c>
      <c r="D56" s="19" t="s">
        <v>246</v>
      </c>
      <c r="E56" s="18" t="s">
        <v>29</v>
      </c>
      <c r="F56" s="18">
        <v>2</v>
      </c>
      <c r="G56" s="20">
        <v>15800</v>
      </c>
      <c r="H56" s="18">
        <v>0</v>
      </c>
      <c r="I56" s="18">
        <v>0</v>
      </c>
      <c r="J56" s="8">
        <f t="shared" si="0"/>
        <v>15800</v>
      </c>
      <c r="K56" s="10">
        <f t="shared" si="1"/>
        <v>1</v>
      </c>
      <c r="L56" s="17">
        <f t="shared" si="2"/>
        <v>0</v>
      </c>
      <c r="M56" t="str">
        <f>VLOOKUP(D56,'Jer-Tip-Emp'!B:E,4,0)</f>
        <v>Armalo en combo</v>
      </c>
      <c r="N56" t="str">
        <f>VLOOKUP(D56,'Jer-Tip-Emp'!B:F,5,0)</f>
        <v>Personal</v>
      </c>
      <c r="O56" t="str">
        <f>VLOOKUP(D56,'Jer-Tip-Emp'!B:G,6,0)</f>
        <v>Combo</v>
      </c>
    </row>
    <row r="57" spans="1:15" ht="27.5" customHeight="1" x14ac:dyDescent="0.2">
      <c r="A57">
        <v>2026</v>
      </c>
      <c r="B57" t="s">
        <v>599</v>
      </c>
      <c r="C57" t="s">
        <v>595</v>
      </c>
      <c r="D57" s="19" t="s">
        <v>245</v>
      </c>
      <c r="E57" s="18" t="s">
        <v>167</v>
      </c>
      <c r="F57" s="18">
        <v>2</v>
      </c>
      <c r="G57" s="20">
        <v>37800</v>
      </c>
      <c r="H57" s="20">
        <v>-2000</v>
      </c>
      <c r="I57" s="18">
        <v>0</v>
      </c>
      <c r="J57" s="8">
        <f t="shared" si="0"/>
        <v>37800</v>
      </c>
      <c r="K57" s="10">
        <f t="shared" si="1"/>
        <v>1</v>
      </c>
      <c r="L57" s="17">
        <f t="shared" si="2"/>
        <v>5.2910052910052907E-2</v>
      </c>
      <c r="M57" t="str">
        <f>VLOOKUP(D57,'Jer-Tip-Emp'!B:E,4,0)</f>
        <v>Mong Express</v>
      </c>
      <c r="N57" t="str">
        <f>VLOOKUP(D57,'Jer-Tip-Emp'!B:F,5,0)</f>
        <v>Personal</v>
      </c>
      <c r="O57" t="str">
        <f>VLOOKUP(D57,'Jer-Tip-Emp'!B:G,6,0)</f>
        <v>Caja</v>
      </c>
    </row>
    <row r="58" spans="1:15" ht="27.5" customHeight="1" x14ac:dyDescent="0.2">
      <c r="A58">
        <v>2026</v>
      </c>
      <c r="B58" t="s">
        <v>599</v>
      </c>
      <c r="C58" t="s">
        <v>595</v>
      </c>
      <c r="D58" s="19" t="s">
        <v>206</v>
      </c>
      <c r="E58" s="18" t="s">
        <v>117</v>
      </c>
      <c r="F58" s="18">
        <v>2</v>
      </c>
      <c r="G58" s="20">
        <v>33800</v>
      </c>
      <c r="H58" s="18">
        <v>0</v>
      </c>
      <c r="I58" s="20">
        <v>14250</v>
      </c>
      <c r="J58" s="8">
        <f t="shared" si="0"/>
        <v>19550</v>
      </c>
      <c r="K58" s="10">
        <f t="shared" si="1"/>
        <v>0.57840236686390534</v>
      </c>
      <c r="L58" s="17">
        <f t="shared" si="2"/>
        <v>0</v>
      </c>
      <c r="M58" t="str">
        <f>VLOOKUP(D58,'Jer-Tip-Emp'!B:E,4,0)</f>
        <v>Platos especiales</v>
      </c>
      <c r="N58" t="str">
        <f>VLOOKUP(D58,'Jer-Tip-Emp'!B:F,5,0)</f>
        <v>Personal</v>
      </c>
      <c r="O58" t="str">
        <f>VLOOKUP(D58,'Jer-Tip-Emp'!B:G,6,0)</f>
        <v>Platos especiales</v>
      </c>
    </row>
    <row r="59" spans="1:15" ht="27.5" customHeight="1" x14ac:dyDescent="0.2">
      <c r="A59">
        <v>2026</v>
      </c>
      <c r="B59" t="s">
        <v>599</v>
      </c>
      <c r="C59" t="s">
        <v>595</v>
      </c>
      <c r="D59" s="19" t="s">
        <v>448</v>
      </c>
      <c r="E59" s="18" t="s">
        <v>552</v>
      </c>
      <c r="F59" s="18">
        <v>2</v>
      </c>
      <c r="G59" s="18">
        <v>0</v>
      </c>
      <c r="H59" s="18">
        <v>0</v>
      </c>
      <c r="I59" s="20">
        <v>10526</v>
      </c>
      <c r="J59" s="8">
        <f t="shared" si="0"/>
        <v>-10526</v>
      </c>
      <c r="K59" s="10">
        <f t="shared" si="1"/>
        <v>0</v>
      </c>
      <c r="L59" s="17">
        <f t="shared" si="2"/>
        <v>0</v>
      </c>
      <c r="M59" t="str">
        <f>VLOOKUP(D59,'Jer-Tip-Emp'!B:E,4,0)</f>
        <v>Arma tu plato</v>
      </c>
      <c r="N59" t="str">
        <f>VLOOKUP(D59,'Jer-Tip-Emp'!B:F,5,0)</f>
        <v>Personal</v>
      </c>
      <c r="O59" t="str">
        <f>VLOOKUP(D59,'Jer-Tip-Emp'!B:G,6,0)</f>
        <v>Caja</v>
      </c>
    </row>
    <row r="60" spans="1:15" ht="27.5" customHeight="1" x14ac:dyDescent="0.2">
      <c r="A60">
        <v>2026</v>
      </c>
      <c r="B60" t="s">
        <v>599</v>
      </c>
      <c r="C60" t="s">
        <v>595</v>
      </c>
      <c r="D60" s="19" t="s">
        <v>244</v>
      </c>
      <c r="E60" s="18" t="s">
        <v>113</v>
      </c>
      <c r="F60" s="18">
        <v>2</v>
      </c>
      <c r="G60" s="20">
        <v>57800</v>
      </c>
      <c r="H60" s="18">
        <v>0</v>
      </c>
      <c r="I60" s="20">
        <v>15210</v>
      </c>
      <c r="J60" s="8">
        <f t="shared" si="0"/>
        <v>42590</v>
      </c>
      <c r="K60" s="10">
        <f t="shared" si="1"/>
        <v>0.73685121107266438</v>
      </c>
      <c r="L60" s="17">
        <f t="shared" si="2"/>
        <v>0</v>
      </c>
      <c r="M60" t="str">
        <f>VLOOKUP(D60,'Jer-Tip-Emp'!B:E,4,0)</f>
        <v>Platos especiales</v>
      </c>
      <c r="N60" t="str">
        <f>VLOOKUP(D60,'Jer-Tip-Emp'!B:F,5,0)</f>
        <v>Personal</v>
      </c>
      <c r="O60" t="str">
        <f>VLOOKUP(D60,'Jer-Tip-Emp'!B:G,6,0)</f>
        <v>Platos especiales</v>
      </c>
    </row>
    <row r="61" spans="1:15" ht="27.5" customHeight="1" x14ac:dyDescent="0.2">
      <c r="A61">
        <v>2026</v>
      </c>
      <c r="B61" t="s">
        <v>599</v>
      </c>
      <c r="C61" t="s">
        <v>595</v>
      </c>
      <c r="D61" s="19" t="s">
        <v>274</v>
      </c>
      <c r="E61" s="18" t="s">
        <v>91</v>
      </c>
      <c r="F61" s="18">
        <v>2</v>
      </c>
      <c r="G61" s="20">
        <v>103800</v>
      </c>
      <c r="H61" s="18">
        <v>0</v>
      </c>
      <c r="I61" s="20">
        <v>57630</v>
      </c>
      <c r="J61" s="8">
        <f t="shared" si="0"/>
        <v>46170</v>
      </c>
      <c r="K61" s="10">
        <f t="shared" si="1"/>
        <v>0.44479768786127166</v>
      </c>
      <c r="L61" s="17">
        <f t="shared" si="2"/>
        <v>0</v>
      </c>
      <c r="M61" t="str">
        <f>VLOOKUP(D61,'Jer-Tip-Emp'!B:E,4,0)</f>
        <v>Platos mong</v>
      </c>
      <c r="N61" t="str">
        <f>VLOOKUP(D61,'Jer-Tip-Emp'!B:F,5,0)</f>
        <v>No Personal</v>
      </c>
      <c r="O61" t="str">
        <f>VLOOKUP(D61,'Jer-Tip-Emp'!B:G,6,0)</f>
        <v>Caja</v>
      </c>
    </row>
    <row r="62" spans="1:15" ht="27.5" hidden="1" customHeight="1" x14ac:dyDescent="0.2">
      <c r="A62">
        <v>2026</v>
      </c>
      <c r="B62" t="s">
        <v>599</v>
      </c>
      <c r="C62" t="s">
        <v>595</v>
      </c>
      <c r="D62" s="19" t="s">
        <v>218</v>
      </c>
      <c r="E62" s="18" t="s">
        <v>33</v>
      </c>
      <c r="F62" s="18">
        <v>1</v>
      </c>
      <c r="G62" s="20">
        <v>7900</v>
      </c>
      <c r="H62" s="18">
        <v>0</v>
      </c>
      <c r="I62" s="18">
        <v>0</v>
      </c>
      <c r="J62" s="8">
        <f t="shared" si="0"/>
        <v>7900</v>
      </c>
      <c r="K62" s="10">
        <f t="shared" si="1"/>
        <v>1</v>
      </c>
      <c r="L62" s="17">
        <f t="shared" si="2"/>
        <v>0</v>
      </c>
      <c r="M62" t="str">
        <f>VLOOKUP(D62,'Jer-Tip-Emp'!B:E,4,0)</f>
        <v>Adición</v>
      </c>
      <c r="N62" t="str">
        <f>VLOOKUP(D62,'Jer-Tip-Emp'!B:F,5,0)</f>
        <v>Adición</v>
      </c>
      <c r="O62" t="str">
        <f>VLOOKUP(D62,'Jer-Tip-Emp'!B:G,6,0)</f>
        <v>Adición</v>
      </c>
    </row>
    <row r="63" spans="1:15" ht="27.5" hidden="1" customHeight="1" x14ac:dyDescent="0.2">
      <c r="A63">
        <v>2026</v>
      </c>
      <c r="B63" t="s">
        <v>599</v>
      </c>
      <c r="C63" t="s">
        <v>595</v>
      </c>
      <c r="D63" s="19" t="s">
        <v>335</v>
      </c>
      <c r="E63" s="18" t="s">
        <v>40</v>
      </c>
      <c r="F63" s="18">
        <v>1</v>
      </c>
      <c r="G63" s="20">
        <v>4900</v>
      </c>
      <c r="H63" s="18">
        <v>0</v>
      </c>
      <c r="I63" s="20">
        <v>1373</v>
      </c>
      <c r="J63" s="8">
        <f t="shared" si="0"/>
        <v>3527</v>
      </c>
      <c r="K63" s="10">
        <f t="shared" si="1"/>
        <v>0.71979591836734691</v>
      </c>
      <c r="L63" s="17">
        <f t="shared" si="2"/>
        <v>0</v>
      </c>
      <c r="M63" t="str">
        <f>VLOOKUP(D63,'Jer-Tip-Emp'!B:E,4,0)</f>
        <v>Bebidas</v>
      </c>
      <c r="N63" t="str">
        <f>VLOOKUP(D63,'Jer-Tip-Emp'!B:F,5,0)</f>
        <v>Bebidas</v>
      </c>
      <c r="O63" t="str">
        <f>VLOOKUP(D63,'Jer-Tip-Emp'!B:G,6,0)</f>
        <v>Bebidas</v>
      </c>
    </row>
    <row r="64" spans="1:15" ht="27.5" customHeight="1" x14ac:dyDescent="0.2">
      <c r="A64">
        <v>2026</v>
      </c>
      <c r="B64" t="s">
        <v>599</v>
      </c>
      <c r="C64" t="s">
        <v>595</v>
      </c>
      <c r="D64" s="19" t="s">
        <v>221</v>
      </c>
      <c r="E64" s="18" t="s">
        <v>27</v>
      </c>
      <c r="F64" s="18">
        <v>1</v>
      </c>
      <c r="G64" s="20">
        <v>7900</v>
      </c>
      <c r="H64" s="18">
        <v>0</v>
      </c>
      <c r="I64" s="18">
        <v>0</v>
      </c>
      <c r="J64" s="8">
        <f t="shared" si="0"/>
        <v>7900</v>
      </c>
      <c r="K64" s="10">
        <f t="shared" si="1"/>
        <v>1</v>
      </c>
      <c r="L64" s="17">
        <f t="shared" si="2"/>
        <v>0</v>
      </c>
      <c r="M64" t="str">
        <f>VLOOKUP(D64,'Jer-Tip-Emp'!B:E,4,0)</f>
        <v>Armalo en combo</v>
      </c>
      <c r="N64" t="str">
        <f>VLOOKUP(D64,'Jer-Tip-Emp'!B:F,5,0)</f>
        <v>Personal</v>
      </c>
      <c r="O64" t="str">
        <f>VLOOKUP(D64,'Jer-Tip-Emp'!B:G,6,0)</f>
        <v>Combo</v>
      </c>
    </row>
    <row r="65" spans="1:15" ht="27.5" hidden="1" customHeight="1" x14ac:dyDescent="0.2">
      <c r="A65">
        <v>2026</v>
      </c>
      <c r="B65" t="s">
        <v>599</v>
      </c>
      <c r="C65" t="s">
        <v>595</v>
      </c>
      <c r="D65" s="19" t="s">
        <v>382</v>
      </c>
      <c r="E65" s="18" t="s">
        <v>42</v>
      </c>
      <c r="F65" s="18">
        <v>1</v>
      </c>
      <c r="G65" s="20">
        <v>4900</v>
      </c>
      <c r="H65" s="18">
        <v>0</v>
      </c>
      <c r="I65" s="20">
        <v>1373</v>
      </c>
      <c r="J65" s="8">
        <f t="shared" si="0"/>
        <v>3527</v>
      </c>
      <c r="K65" s="10">
        <f t="shared" si="1"/>
        <v>0.71979591836734691</v>
      </c>
      <c r="L65" s="17">
        <f t="shared" si="2"/>
        <v>0</v>
      </c>
      <c r="M65" t="str">
        <f>VLOOKUP(D65,'Jer-Tip-Emp'!B:E,4,0)</f>
        <v>Bebidas</v>
      </c>
      <c r="N65" t="str">
        <f>VLOOKUP(D65,'Jer-Tip-Emp'!B:F,5,0)</f>
        <v>Bebidas</v>
      </c>
      <c r="O65" t="str">
        <f>VLOOKUP(D65,'Jer-Tip-Emp'!B:G,6,0)</f>
        <v>Bebidas</v>
      </c>
    </row>
    <row r="66" spans="1:15" ht="27.5" customHeight="1" x14ac:dyDescent="0.2">
      <c r="A66">
        <v>2026</v>
      </c>
      <c r="B66" t="s">
        <v>599</v>
      </c>
      <c r="C66" t="s">
        <v>595</v>
      </c>
      <c r="D66" s="19" t="s">
        <v>257</v>
      </c>
      <c r="E66" s="18" t="s">
        <v>78</v>
      </c>
      <c r="F66" s="18">
        <v>1</v>
      </c>
      <c r="G66" s="20">
        <v>17900</v>
      </c>
      <c r="H66" s="18">
        <v>0</v>
      </c>
      <c r="I66" s="18">
        <v>0</v>
      </c>
      <c r="J66" s="8">
        <f t="shared" ref="J66:J129" si="3">G66-I66</f>
        <v>17900</v>
      </c>
      <c r="K66" s="10">
        <f t="shared" ref="K66:K129" si="4">IFERROR(J66/G66,0)</f>
        <v>1</v>
      </c>
      <c r="L66" s="17">
        <f t="shared" ref="L66:L129" si="5">IFERROR((H66/G66)*-1,0)</f>
        <v>0</v>
      </c>
      <c r="M66" t="str">
        <f>VLOOKUP(D66,'Jer-Tip-Emp'!B:E,4,0)</f>
        <v>Bowl</v>
      </c>
      <c r="N66" t="str">
        <f>VLOOKUP(D66,'Jer-Tip-Emp'!B:F,5,0)</f>
        <v>Personal</v>
      </c>
      <c r="O66" t="str">
        <f>VLOOKUP(D66,'Jer-Tip-Emp'!B:G,6,0)</f>
        <v>Bowl</v>
      </c>
    </row>
    <row r="67" spans="1:15" ht="27.5" hidden="1" customHeight="1" x14ac:dyDescent="0.2">
      <c r="A67">
        <v>2026</v>
      </c>
      <c r="B67" t="s">
        <v>599</v>
      </c>
      <c r="C67" t="s">
        <v>595</v>
      </c>
      <c r="D67" s="19" t="s">
        <v>321</v>
      </c>
      <c r="E67" s="18" t="s">
        <v>72</v>
      </c>
      <c r="F67" s="18">
        <v>1</v>
      </c>
      <c r="G67" s="20">
        <v>4900</v>
      </c>
      <c r="H67" s="18">
        <v>0</v>
      </c>
      <c r="I67" s="20">
        <v>1330</v>
      </c>
      <c r="J67" s="8">
        <f t="shared" si="3"/>
        <v>3570</v>
      </c>
      <c r="K67" s="10">
        <f t="shared" si="4"/>
        <v>0.72857142857142854</v>
      </c>
      <c r="L67" s="17">
        <f t="shared" si="5"/>
        <v>0</v>
      </c>
      <c r="M67" t="str">
        <f>VLOOKUP(D67,'Jer-Tip-Emp'!B:E,4,0)</f>
        <v>Bebidas</v>
      </c>
      <c r="N67" t="str">
        <f>VLOOKUP(D67,'Jer-Tip-Emp'!B:F,5,0)</f>
        <v>Bebidas</v>
      </c>
      <c r="O67" t="str">
        <f>VLOOKUP(D67,'Jer-Tip-Emp'!B:G,6,0)</f>
        <v>Bebidas</v>
      </c>
    </row>
    <row r="68" spans="1:15" ht="27.5" customHeight="1" x14ac:dyDescent="0.2">
      <c r="A68">
        <v>2026</v>
      </c>
      <c r="B68" t="s">
        <v>599</v>
      </c>
      <c r="C68" t="s">
        <v>595</v>
      </c>
      <c r="D68" s="19" t="s">
        <v>261</v>
      </c>
      <c r="E68" s="18" t="s">
        <v>135</v>
      </c>
      <c r="F68" s="18">
        <v>1</v>
      </c>
      <c r="G68" s="20">
        <v>17900</v>
      </c>
      <c r="H68" s="18">
        <v>0</v>
      </c>
      <c r="I68" s="20">
        <v>5466</v>
      </c>
      <c r="J68" s="8">
        <f t="shared" si="3"/>
        <v>12434</v>
      </c>
      <c r="K68" s="10">
        <f t="shared" si="4"/>
        <v>0.69463687150837994</v>
      </c>
      <c r="L68" s="17">
        <f t="shared" si="5"/>
        <v>0</v>
      </c>
      <c r="M68" t="str">
        <f>VLOOKUP(D68,'Jer-Tip-Emp'!B:E,4,0)</f>
        <v>Platos mong</v>
      </c>
      <c r="N68" t="str">
        <f>VLOOKUP(D68,'Jer-Tip-Emp'!B:F,5,0)</f>
        <v>Personal</v>
      </c>
      <c r="O68" t="str">
        <f>VLOOKUP(D68,'Jer-Tip-Emp'!B:G,6,0)</f>
        <v>Caja</v>
      </c>
    </row>
    <row r="69" spans="1:15" ht="27.5" customHeight="1" x14ac:dyDescent="0.2">
      <c r="A69">
        <v>2026</v>
      </c>
      <c r="B69" t="s">
        <v>599</v>
      </c>
      <c r="C69" t="s">
        <v>595</v>
      </c>
      <c r="D69" s="19" t="s">
        <v>200</v>
      </c>
      <c r="E69" s="18" t="s">
        <v>149</v>
      </c>
      <c r="F69" s="18">
        <v>1</v>
      </c>
      <c r="G69" s="20">
        <v>24900</v>
      </c>
      <c r="H69" s="18">
        <v>0</v>
      </c>
      <c r="I69" s="20">
        <v>10481</v>
      </c>
      <c r="J69" s="8">
        <f t="shared" si="3"/>
        <v>14419</v>
      </c>
      <c r="K69" s="10">
        <f t="shared" si="4"/>
        <v>0.57907630522088349</v>
      </c>
      <c r="L69" s="17">
        <f t="shared" si="5"/>
        <v>0</v>
      </c>
      <c r="M69" t="str">
        <f>VLOOKUP(D69,'Jer-Tip-Emp'!B:E,4,0)</f>
        <v>Platos mong</v>
      </c>
      <c r="N69" t="str">
        <f>VLOOKUP(D69,'Jer-Tip-Emp'!B:F,5,0)</f>
        <v>Personal</v>
      </c>
      <c r="O69" t="str">
        <f>VLOOKUP(D69,'Jer-Tip-Emp'!B:G,6,0)</f>
        <v>Caja</v>
      </c>
    </row>
    <row r="70" spans="1:15" ht="27.5" customHeight="1" x14ac:dyDescent="0.2">
      <c r="A70">
        <v>2026</v>
      </c>
      <c r="B70" t="s">
        <v>599</v>
      </c>
      <c r="C70" t="s">
        <v>595</v>
      </c>
      <c r="D70" s="19" t="s">
        <v>197</v>
      </c>
      <c r="E70" s="18" t="s">
        <v>31</v>
      </c>
      <c r="F70" s="18">
        <v>1</v>
      </c>
      <c r="G70" s="20">
        <v>7900</v>
      </c>
      <c r="H70" s="18">
        <v>0</v>
      </c>
      <c r="I70" s="20">
        <v>3212</v>
      </c>
      <c r="J70" s="8">
        <f t="shared" si="3"/>
        <v>4688</v>
      </c>
      <c r="K70" s="10">
        <f t="shared" si="4"/>
        <v>0.59341772151898731</v>
      </c>
      <c r="L70" s="17">
        <f t="shared" si="5"/>
        <v>0</v>
      </c>
      <c r="M70" t="str">
        <f>VLOOKUP(D70,'Jer-Tip-Emp'!B:E,4,0)</f>
        <v>Armalo en combo</v>
      </c>
      <c r="N70" t="str">
        <f>VLOOKUP(D70,'Jer-Tip-Emp'!B:F,5,0)</f>
        <v>Personal</v>
      </c>
      <c r="O70" t="str">
        <f>VLOOKUP(D70,'Jer-Tip-Emp'!B:G,6,0)</f>
        <v>Combo</v>
      </c>
    </row>
    <row r="71" spans="1:15" ht="27.5" hidden="1" customHeight="1" x14ac:dyDescent="0.2">
      <c r="A71">
        <v>2026</v>
      </c>
      <c r="B71" t="s">
        <v>599</v>
      </c>
      <c r="C71" t="s">
        <v>595</v>
      </c>
      <c r="D71" s="19" t="s">
        <v>450</v>
      </c>
      <c r="E71" s="18" t="s">
        <v>565</v>
      </c>
      <c r="F71" s="18">
        <v>1</v>
      </c>
      <c r="G71" s="20">
        <v>1600</v>
      </c>
      <c r="H71" s="18">
        <v>0</v>
      </c>
      <c r="I71" s="20">
        <v>1874</v>
      </c>
      <c r="J71" s="8">
        <f t="shared" si="3"/>
        <v>-274</v>
      </c>
      <c r="K71" s="10">
        <f t="shared" si="4"/>
        <v>-0.17125000000000001</v>
      </c>
      <c r="L71" s="17">
        <f t="shared" si="5"/>
        <v>0</v>
      </c>
      <c r="M71" t="str">
        <f>VLOOKUP(D71,'Jer-Tip-Emp'!B:E,4,0)</f>
        <v>Bebidas</v>
      </c>
      <c r="N71" t="str">
        <f>VLOOKUP(D71,'Jer-Tip-Emp'!B:F,5,0)</f>
        <v>Bebidas Cambio de bebida</v>
      </c>
      <c r="O71" t="str">
        <f>VLOOKUP(D71,'Jer-Tip-Emp'!B:G,6,0)</f>
        <v>Bebidas</v>
      </c>
    </row>
    <row r="72" spans="1:15" ht="27.5" hidden="1" customHeight="1" x14ac:dyDescent="0.2">
      <c r="A72">
        <v>2026</v>
      </c>
      <c r="B72" t="s">
        <v>599</v>
      </c>
      <c r="C72" t="s">
        <v>595</v>
      </c>
      <c r="D72" s="19" t="s">
        <v>330</v>
      </c>
      <c r="E72" s="18" t="s">
        <v>38</v>
      </c>
      <c r="F72" s="18">
        <v>1</v>
      </c>
      <c r="G72" s="20">
        <v>4900</v>
      </c>
      <c r="H72" s="18">
        <v>0</v>
      </c>
      <c r="I72" s="20">
        <v>1288</v>
      </c>
      <c r="J72" s="8">
        <f t="shared" si="3"/>
        <v>3612</v>
      </c>
      <c r="K72" s="10">
        <f t="shared" si="4"/>
        <v>0.7371428571428571</v>
      </c>
      <c r="L72" s="17">
        <f t="shared" si="5"/>
        <v>0</v>
      </c>
      <c r="M72" t="str">
        <f>VLOOKUP(D72,'Jer-Tip-Emp'!B:E,4,0)</f>
        <v>Bebidas</v>
      </c>
      <c r="N72" t="str">
        <f>VLOOKUP(D72,'Jer-Tip-Emp'!B:F,5,0)</f>
        <v>Bebidas</v>
      </c>
      <c r="O72" t="str">
        <f>VLOOKUP(D72,'Jer-Tip-Emp'!B:G,6,0)</f>
        <v>Bebidas</v>
      </c>
    </row>
    <row r="73" spans="1:15" ht="27.5" customHeight="1" x14ac:dyDescent="0.2">
      <c r="A73">
        <v>2026</v>
      </c>
      <c r="B73" t="s">
        <v>599</v>
      </c>
      <c r="C73" t="s">
        <v>595</v>
      </c>
      <c r="D73" s="19" t="s">
        <v>259</v>
      </c>
      <c r="E73" s="18" t="s">
        <v>152</v>
      </c>
      <c r="F73" s="18">
        <v>1</v>
      </c>
      <c r="G73" s="20">
        <v>57900</v>
      </c>
      <c r="H73" s="18">
        <v>0</v>
      </c>
      <c r="I73" s="20">
        <v>37744</v>
      </c>
      <c r="J73" s="8">
        <f t="shared" si="3"/>
        <v>20156</v>
      </c>
      <c r="K73" s="10">
        <f t="shared" si="4"/>
        <v>0.34811744386873922</v>
      </c>
      <c r="L73" s="17">
        <f t="shared" si="5"/>
        <v>0</v>
      </c>
      <c r="M73" t="str">
        <f>VLOOKUP(D73,'Jer-Tip-Emp'!B:E,4,0)</f>
        <v>Platos mong</v>
      </c>
      <c r="N73" t="str">
        <f>VLOOKUP(D73,'Jer-Tip-Emp'!B:F,5,0)</f>
        <v>No Personal</v>
      </c>
      <c r="O73" t="str">
        <f>VLOOKUP(D73,'Jer-Tip-Emp'!B:G,6,0)</f>
        <v>Caja</v>
      </c>
    </row>
    <row r="74" spans="1:15" ht="27.5" hidden="1" customHeight="1" x14ac:dyDescent="0.2">
      <c r="A74">
        <v>2026</v>
      </c>
      <c r="B74" t="s">
        <v>599</v>
      </c>
      <c r="C74" t="s">
        <v>595</v>
      </c>
      <c r="D74" s="19" t="s">
        <v>369</v>
      </c>
      <c r="E74" s="18" t="s">
        <v>68</v>
      </c>
      <c r="F74" s="18">
        <v>1</v>
      </c>
      <c r="G74" s="20">
        <v>4900</v>
      </c>
      <c r="H74" s="18">
        <v>0</v>
      </c>
      <c r="I74" s="20">
        <v>1330</v>
      </c>
      <c r="J74" s="8">
        <f t="shared" si="3"/>
        <v>3570</v>
      </c>
      <c r="K74" s="10">
        <f t="shared" si="4"/>
        <v>0.72857142857142854</v>
      </c>
      <c r="L74" s="17">
        <f t="shared" si="5"/>
        <v>0</v>
      </c>
      <c r="M74" t="str">
        <f>VLOOKUP(D74,'Jer-Tip-Emp'!B:E,4,0)</f>
        <v>Bebidas</v>
      </c>
      <c r="N74" t="str">
        <f>VLOOKUP(D74,'Jer-Tip-Emp'!B:F,5,0)</f>
        <v>Bebidas</v>
      </c>
      <c r="O74" t="str">
        <f>VLOOKUP(D74,'Jer-Tip-Emp'!B:G,6,0)</f>
        <v>Bebidas</v>
      </c>
    </row>
    <row r="75" spans="1:15" ht="27.5" hidden="1" customHeight="1" x14ac:dyDescent="0.2">
      <c r="A75">
        <v>2026</v>
      </c>
      <c r="B75" t="s">
        <v>599</v>
      </c>
      <c r="C75" t="s">
        <v>595</v>
      </c>
      <c r="D75" s="19" t="s">
        <v>500</v>
      </c>
      <c r="E75" s="18" t="s">
        <v>546</v>
      </c>
      <c r="F75" s="18">
        <v>1</v>
      </c>
      <c r="G75" s="18">
        <v>0</v>
      </c>
      <c r="H75" s="18">
        <v>0</v>
      </c>
      <c r="I75" s="18">
        <v>868</v>
      </c>
      <c r="J75" s="8">
        <f t="shared" si="3"/>
        <v>-868</v>
      </c>
      <c r="K75" s="10">
        <f t="shared" si="4"/>
        <v>0</v>
      </c>
      <c r="L75" s="17">
        <f t="shared" si="5"/>
        <v>0</v>
      </c>
      <c r="M75" t="str">
        <f>VLOOKUP(D75,'Jer-Tip-Emp'!B:E,4,0)</f>
        <v>Bebidas</v>
      </c>
      <c r="N75" t="str">
        <f>VLOOKUP(D75,'Jer-Tip-Emp'!B:F,5,0)</f>
        <v>Bebidas Cambio de bebida</v>
      </c>
      <c r="O75" t="str">
        <f>VLOOKUP(D75,'Jer-Tip-Emp'!B:G,6,0)</f>
        <v>Bebidas</v>
      </c>
    </row>
    <row r="76" spans="1:15" ht="27.5" customHeight="1" x14ac:dyDescent="0.2">
      <c r="A76">
        <v>2026</v>
      </c>
      <c r="B76" t="s">
        <v>599</v>
      </c>
      <c r="C76" t="s">
        <v>595</v>
      </c>
      <c r="D76" s="19" t="s">
        <v>219</v>
      </c>
      <c r="E76" s="18" t="s">
        <v>111</v>
      </c>
      <c r="F76" s="18">
        <v>1</v>
      </c>
      <c r="G76" s="20">
        <v>26900</v>
      </c>
      <c r="H76" s="18">
        <v>0</v>
      </c>
      <c r="I76" s="20">
        <v>13567</v>
      </c>
      <c r="J76" s="8">
        <f t="shared" si="3"/>
        <v>13333</v>
      </c>
      <c r="K76" s="10">
        <f t="shared" si="4"/>
        <v>0.49565055762081783</v>
      </c>
      <c r="L76" s="17">
        <f t="shared" si="5"/>
        <v>0</v>
      </c>
      <c r="M76" t="str">
        <f>VLOOKUP(D76,'Jer-Tip-Emp'!B:E,4,0)</f>
        <v>Platos especiales</v>
      </c>
      <c r="N76" t="str">
        <f>VLOOKUP(D76,'Jer-Tip-Emp'!B:F,5,0)</f>
        <v>Personal</v>
      </c>
      <c r="O76" t="str">
        <f>VLOOKUP(D76,'Jer-Tip-Emp'!B:G,6,0)</f>
        <v>Platos especiales</v>
      </c>
    </row>
    <row r="77" spans="1:15" ht="27.5" hidden="1" customHeight="1" x14ac:dyDescent="0.2">
      <c r="A77">
        <v>2026</v>
      </c>
      <c r="B77" t="s">
        <v>599</v>
      </c>
      <c r="C77" t="s">
        <v>595</v>
      </c>
      <c r="D77" s="19" t="s">
        <v>426</v>
      </c>
      <c r="E77" s="18" t="s">
        <v>561</v>
      </c>
      <c r="F77" s="18">
        <v>1</v>
      </c>
      <c r="G77" s="20">
        <v>1600</v>
      </c>
      <c r="H77" s="18">
        <v>0</v>
      </c>
      <c r="I77" s="20">
        <v>1516</v>
      </c>
      <c r="J77" s="8">
        <f t="shared" si="3"/>
        <v>84</v>
      </c>
      <c r="K77" s="10">
        <f t="shared" si="4"/>
        <v>5.2499999999999998E-2</v>
      </c>
      <c r="L77" s="17">
        <f t="shared" si="5"/>
        <v>0</v>
      </c>
      <c r="M77" t="str">
        <f>VLOOKUP(D77,'Jer-Tip-Emp'!B:E,4,0)</f>
        <v>Bebidas</v>
      </c>
      <c r="N77" t="str">
        <f>VLOOKUP(D77,'Jer-Tip-Emp'!B:F,5,0)</f>
        <v>Bebidas Cambio de bebida</v>
      </c>
      <c r="O77" t="str">
        <f>VLOOKUP(D77,'Jer-Tip-Emp'!B:G,6,0)</f>
        <v>Bebidas</v>
      </c>
    </row>
    <row r="78" spans="1:15" ht="27.5" hidden="1" customHeight="1" x14ac:dyDescent="0.2">
      <c r="A78">
        <v>2026</v>
      </c>
      <c r="B78" t="s">
        <v>599</v>
      </c>
      <c r="C78" t="s">
        <v>595</v>
      </c>
      <c r="D78" s="19" t="s">
        <v>275</v>
      </c>
      <c r="E78" s="18" t="s">
        <v>16</v>
      </c>
      <c r="F78" s="18">
        <v>1</v>
      </c>
      <c r="G78" s="20">
        <v>6900</v>
      </c>
      <c r="H78" s="18">
        <v>0</v>
      </c>
      <c r="I78" s="20">
        <v>2245</v>
      </c>
      <c r="J78" s="8">
        <f t="shared" si="3"/>
        <v>4655</v>
      </c>
      <c r="K78" s="10">
        <f t="shared" si="4"/>
        <v>0.67463768115942024</v>
      </c>
      <c r="L78" s="17">
        <f t="shared" si="5"/>
        <v>0</v>
      </c>
      <c r="M78" t="str">
        <f>VLOOKUP(D78,'Jer-Tip-Emp'!B:E,4,0)</f>
        <v>Adición</v>
      </c>
      <c r="N78" t="str">
        <f>VLOOKUP(D78,'Jer-Tip-Emp'!B:F,5,0)</f>
        <v>Adición</v>
      </c>
      <c r="O78" t="str">
        <f>VLOOKUP(D78,'Jer-Tip-Emp'!B:G,6,0)</f>
        <v>Adición</v>
      </c>
    </row>
    <row r="79" spans="1:15" ht="27.5" hidden="1" customHeight="1" x14ac:dyDescent="0.2">
      <c r="A79">
        <v>2026</v>
      </c>
      <c r="B79" t="s">
        <v>599</v>
      </c>
      <c r="C79" t="s">
        <v>595</v>
      </c>
      <c r="D79" s="19" t="s">
        <v>351</v>
      </c>
      <c r="E79" s="18" t="s">
        <v>55</v>
      </c>
      <c r="F79" s="18">
        <v>1</v>
      </c>
      <c r="G79" s="20">
        <v>5900</v>
      </c>
      <c r="H79" s="18">
        <v>0</v>
      </c>
      <c r="I79" s="20">
        <v>1448</v>
      </c>
      <c r="J79" s="8">
        <f t="shared" si="3"/>
        <v>4452</v>
      </c>
      <c r="K79" s="10">
        <f t="shared" si="4"/>
        <v>0.75457627118644066</v>
      </c>
      <c r="L79" s="17">
        <f t="shared" si="5"/>
        <v>0</v>
      </c>
      <c r="M79" t="str">
        <f>VLOOKUP(D79,'Jer-Tip-Emp'!B:E,4,0)</f>
        <v>Bebidas</v>
      </c>
      <c r="N79" t="str">
        <f>VLOOKUP(D79,'Jer-Tip-Emp'!B:F,5,0)</f>
        <v>Bebidas</v>
      </c>
      <c r="O79" t="str">
        <f>VLOOKUP(D79,'Jer-Tip-Emp'!B:G,6,0)</f>
        <v>Bebidas</v>
      </c>
    </row>
    <row r="80" spans="1:15" ht="27.5" hidden="1" customHeight="1" x14ac:dyDescent="0.2">
      <c r="A80">
        <v>2026</v>
      </c>
      <c r="B80" t="s">
        <v>599</v>
      </c>
      <c r="C80" t="s">
        <v>595</v>
      </c>
      <c r="D80" s="19" t="s">
        <v>300</v>
      </c>
      <c r="E80" s="18" t="s">
        <v>26</v>
      </c>
      <c r="F80" s="18">
        <v>1</v>
      </c>
      <c r="G80" s="20">
        <v>7900</v>
      </c>
      <c r="H80" s="18">
        <v>0</v>
      </c>
      <c r="I80" s="18">
        <v>0</v>
      </c>
      <c r="J80" s="8">
        <f t="shared" si="3"/>
        <v>7900</v>
      </c>
      <c r="K80" s="10">
        <f t="shared" si="4"/>
        <v>1</v>
      </c>
      <c r="L80" s="17">
        <f t="shared" si="5"/>
        <v>0</v>
      </c>
      <c r="M80" t="str">
        <f>VLOOKUP(D80,'Jer-Tip-Emp'!B:E,4,0)</f>
        <v>Adición</v>
      </c>
      <c r="N80" t="str">
        <f>VLOOKUP(D80,'Jer-Tip-Emp'!B:F,5,0)</f>
        <v>Adición</v>
      </c>
      <c r="O80" t="str">
        <f>VLOOKUP(D80,'Jer-Tip-Emp'!B:G,6,0)</f>
        <v>Adición</v>
      </c>
    </row>
    <row r="81" spans="1:15" ht="27.5" customHeight="1" x14ac:dyDescent="0.2">
      <c r="A81">
        <v>2025</v>
      </c>
      <c r="B81" t="s">
        <v>598</v>
      </c>
      <c r="C81" t="s">
        <v>595</v>
      </c>
      <c r="D81" s="19" t="s">
        <v>207</v>
      </c>
      <c r="E81" s="18" t="s">
        <v>92</v>
      </c>
      <c r="F81" s="18">
        <v>63</v>
      </c>
      <c r="G81" s="20">
        <v>1479500</v>
      </c>
      <c r="H81" s="20">
        <v>-26200</v>
      </c>
      <c r="I81" s="20">
        <v>606501</v>
      </c>
      <c r="J81" s="8">
        <f t="shared" si="3"/>
        <v>872999</v>
      </c>
      <c r="K81" s="10">
        <f t="shared" si="4"/>
        <v>0.5900635349780331</v>
      </c>
      <c r="L81" s="17">
        <f t="shared" si="5"/>
        <v>1.7708685366677933E-2</v>
      </c>
      <c r="M81" t="str">
        <f>VLOOKUP(D81,'Jer-Tip-Emp'!B:E,4,0)</f>
        <v>Combos personales</v>
      </c>
      <c r="N81" t="str">
        <f>VLOOKUP(D81,'Jer-Tip-Emp'!B:F,5,0)</f>
        <v>Personal</v>
      </c>
      <c r="O81" t="str">
        <f>VLOOKUP(D81,'Jer-Tip-Emp'!B:G,6,0)</f>
        <v>Combo</v>
      </c>
    </row>
    <row r="82" spans="1:15" ht="27.5" customHeight="1" x14ac:dyDescent="0.2">
      <c r="A82">
        <v>2025</v>
      </c>
      <c r="B82" t="s">
        <v>598</v>
      </c>
      <c r="C82" t="s">
        <v>595</v>
      </c>
      <c r="D82" s="19" t="s">
        <v>286</v>
      </c>
      <c r="E82" s="18" t="s">
        <v>144</v>
      </c>
      <c r="F82" s="18">
        <v>63</v>
      </c>
      <c r="G82" s="20">
        <v>3966283</v>
      </c>
      <c r="H82" s="20">
        <v>-248417</v>
      </c>
      <c r="I82" s="20">
        <v>2183265</v>
      </c>
      <c r="J82" s="8">
        <f t="shared" si="3"/>
        <v>1783018</v>
      </c>
      <c r="K82" s="10">
        <f t="shared" si="4"/>
        <v>0.44954381722131276</v>
      </c>
      <c r="L82" s="17">
        <f t="shared" si="5"/>
        <v>6.2632192407853907E-2</v>
      </c>
      <c r="M82" t="str">
        <f>VLOOKUP(D82,'Jer-Tip-Emp'!B:E,4,0)</f>
        <v>Platos mong</v>
      </c>
      <c r="N82" t="str">
        <f>VLOOKUP(D82,'Jer-Tip-Emp'!B:F,5,0)</f>
        <v>No Personal</v>
      </c>
      <c r="O82" t="str">
        <f>VLOOKUP(D82,'Jer-Tip-Emp'!B:G,6,0)</f>
        <v>Caja</v>
      </c>
    </row>
    <row r="83" spans="1:15" ht="27.5" hidden="1" customHeight="1" x14ac:dyDescent="0.2">
      <c r="A83">
        <v>2025</v>
      </c>
      <c r="B83" t="s">
        <v>598</v>
      </c>
      <c r="C83" t="s">
        <v>595</v>
      </c>
      <c r="D83" s="19" t="s">
        <v>284</v>
      </c>
      <c r="E83" s="18" t="s">
        <v>106</v>
      </c>
      <c r="F83" s="18">
        <v>55</v>
      </c>
      <c r="G83" s="20">
        <v>471375</v>
      </c>
      <c r="H83" s="20">
        <v>-17718</v>
      </c>
      <c r="I83" s="20">
        <v>172645</v>
      </c>
      <c r="J83" s="8">
        <f t="shared" si="3"/>
        <v>298730</v>
      </c>
      <c r="K83" s="10">
        <f t="shared" si="4"/>
        <v>0.63374171307345528</v>
      </c>
      <c r="L83" s="17">
        <f t="shared" si="5"/>
        <v>3.7587907716785995E-2</v>
      </c>
      <c r="M83" t="str">
        <f>VLOOKUP(D83,'Jer-Tip-Emp'!B:E,4,0)</f>
        <v>Entradas</v>
      </c>
      <c r="N83" t="str">
        <f>VLOOKUP(D83,'Jer-Tip-Emp'!B:F,5,0)</f>
        <v>Otro</v>
      </c>
      <c r="O83" t="str">
        <f>VLOOKUP(D83,'Jer-Tip-Emp'!B:G,6,0)</f>
        <v>Otro</v>
      </c>
    </row>
    <row r="84" spans="1:15" ht="27.5" customHeight="1" x14ac:dyDescent="0.2">
      <c r="A84">
        <v>2025</v>
      </c>
      <c r="B84" t="s">
        <v>598</v>
      </c>
      <c r="C84" t="s">
        <v>595</v>
      </c>
      <c r="D84" s="19" t="s">
        <v>185</v>
      </c>
      <c r="E84" s="18" t="s">
        <v>137</v>
      </c>
      <c r="F84" s="18">
        <v>35</v>
      </c>
      <c r="G84" s="20">
        <v>1387904</v>
      </c>
      <c r="H84" s="20">
        <v>-8596</v>
      </c>
      <c r="I84" s="20">
        <v>701855</v>
      </c>
      <c r="J84" s="8">
        <f t="shared" si="3"/>
        <v>686049</v>
      </c>
      <c r="K84" s="10">
        <f t="shared" si="4"/>
        <v>0.4943058021304067</v>
      </c>
      <c r="L84" s="17">
        <f t="shared" si="5"/>
        <v>6.193511943189154E-3</v>
      </c>
      <c r="M84" t="str">
        <f>VLOOKUP(D84,'Jer-Tip-Emp'!B:E,4,0)</f>
        <v>Platos mong</v>
      </c>
      <c r="N84" t="str">
        <f>VLOOKUP(D84,'Jer-Tip-Emp'!B:F,5,0)</f>
        <v>No Personal</v>
      </c>
      <c r="O84" t="str">
        <f>VLOOKUP(D84,'Jer-Tip-Emp'!B:G,6,0)</f>
        <v>Platos Especiales</v>
      </c>
    </row>
    <row r="85" spans="1:15" ht="27.5" customHeight="1" x14ac:dyDescent="0.2">
      <c r="A85">
        <v>2025</v>
      </c>
      <c r="B85" t="s">
        <v>598</v>
      </c>
      <c r="C85" t="s">
        <v>595</v>
      </c>
      <c r="D85" s="19" t="s">
        <v>299</v>
      </c>
      <c r="E85" s="18" t="s">
        <v>129</v>
      </c>
      <c r="F85" s="18">
        <v>32</v>
      </c>
      <c r="G85" s="20">
        <v>1213184</v>
      </c>
      <c r="H85" s="20">
        <v>-154623</v>
      </c>
      <c r="I85" s="20">
        <v>362624</v>
      </c>
      <c r="J85" s="8">
        <f t="shared" si="3"/>
        <v>850560</v>
      </c>
      <c r="K85" s="10">
        <f t="shared" si="4"/>
        <v>0.70109727790673138</v>
      </c>
      <c r="L85" s="17">
        <f t="shared" si="5"/>
        <v>0.12745222488921715</v>
      </c>
      <c r="M85" t="str">
        <f>VLOOKUP(D85,'Jer-Tip-Emp'!B:E,4,0)</f>
        <v>Platos mong</v>
      </c>
      <c r="N85" t="str">
        <f>VLOOKUP(D85,'Jer-Tip-Emp'!B:F,5,0)</f>
        <v>No Personal</v>
      </c>
      <c r="O85" t="str">
        <f>VLOOKUP(D85,'Jer-Tip-Emp'!B:G,6,0)</f>
        <v>Caja</v>
      </c>
    </row>
    <row r="86" spans="1:15" ht="27.5" customHeight="1" x14ac:dyDescent="0.2">
      <c r="A86">
        <v>2025</v>
      </c>
      <c r="B86" t="s">
        <v>598</v>
      </c>
      <c r="C86" t="s">
        <v>595</v>
      </c>
      <c r="D86" s="19" t="s">
        <v>273</v>
      </c>
      <c r="E86" s="18" t="s">
        <v>23</v>
      </c>
      <c r="F86" s="18">
        <v>27</v>
      </c>
      <c r="G86" s="20">
        <v>622500</v>
      </c>
      <c r="H86" s="20">
        <v>-49800</v>
      </c>
      <c r="I86" s="18">
        <v>0</v>
      </c>
      <c r="J86" s="8">
        <f t="shared" si="3"/>
        <v>622500</v>
      </c>
      <c r="K86" s="10">
        <f t="shared" si="4"/>
        <v>1</v>
      </c>
      <c r="L86" s="17">
        <f t="shared" si="5"/>
        <v>0.08</v>
      </c>
      <c r="M86" t="str">
        <f>VLOOKUP(D86,'Jer-Tip-Emp'!B:E,4,0)</f>
        <v>Arma tu plato</v>
      </c>
      <c r="N86" t="str">
        <f>VLOOKUP(D86,'Jer-Tip-Emp'!B:F,5,0)</f>
        <v>Personal</v>
      </c>
      <c r="O86" t="str">
        <f>VLOOKUP(D86,'Jer-Tip-Emp'!B:G,6,0)</f>
        <v>Caja</v>
      </c>
    </row>
    <row r="87" spans="1:15" ht="27.5" customHeight="1" x14ac:dyDescent="0.2">
      <c r="A87">
        <v>2025</v>
      </c>
      <c r="B87" t="s">
        <v>598</v>
      </c>
      <c r="C87" t="s">
        <v>595</v>
      </c>
      <c r="D87" s="19" t="s">
        <v>252</v>
      </c>
      <c r="E87" s="18" t="s">
        <v>100</v>
      </c>
      <c r="F87" s="18">
        <v>22</v>
      </c>
      <c r="G87" s="20">
        <v>1097800</v>
      </c>
      <c r="H87" s="18">
        <v>0</v>
      </c>
      <c r="I87" s="20">
        <v>711722</v>
      </c>
      <c r="J87" s="8">
        <f t="shared" si="3"/>
        <v>386078</v>
      </c>
      <c r="K87" s="10">
        <f t="shared" si="4"/>
        <v>0.35168336673346695</v>
      </c>
      <c r="L87" s="17">
        <f t="shared" si="5"/>
        <v>0</v>
      </c>
      <c r="M87" t="str">
        <f>VLOOKUP(D87,'Jer-Tip-Emp'!B:E,4,0)</f>
        <v>Platos mong</v>
      </c>
      <c r="N87" t="str">
        <f>VLOOKUP(D87,'Jer-Tip-Emp'!B:F,5,0)</f>
        <v>No Personal</v>
      </c>
      <c r="O87" t="str">
        <f>VLOOKUP(D87,'Jer-Tip-Emp'!B:G,6,0)</f>
        <v>Caja</v>
      </c>
    </row>
    <row r="88" spans="1:15" ht="27.5" hidden="1" customHeight="1" x14ac:dyDescent="0.2">
      <c r="A88">
        <v>2025</v>
      </c>
      <c r="B88" t="s">
        <v>598</v>
      </c>
      <c r="C88" t="s">
        <v>595</v>
      </c>
      <c r="D88" s="19" t="s">
        <v>403</v>
      </c>
      <c r="E88" s="18" t="s">
        <v>45</v>
      </c>
      <c r="F88" s="18">
        <v>20</v>
      </c>
      <c r="G88" s="20">
        <v>195423</v>
      </c>
      <c r="H88" s="20">
        <v>-2577</v>
      </c>
      <c r="I88" s="20">
        <v>90020</v>
      </c>
      <c r="J88" s="8">
        <f t="shared" si="3"/>
        <v>105403</v>
      </c>
      <c r="K88" s="10">
        <f t="shared" si="4"/>
        <v>0.53935821269758422</v>
      </c>
      <c r="L88" s="17">
        <f t="shared" si="5"/>
        <v>1.3186779447659691E-2</v>
      </c>
      <c r="M88" t="str">
        <f>VLOOKUP(D88,'Jer-Tip-Emp'!B:E,4,0)</f>
        <v>Bebidas</v>
      </c>
      <c r="N88" t="str">
        <f>VLOOKUP(D88,'Jer-Tip-Emp'!B:F,5,0)</f>
        <v>Bebidas</v>
      </c>
      <c r="O88" t="str">
        <f>VLOOKUP(D88,'Jer-Tip-Emp'!B:G,6,0)</f>
        <v>Bebidas</v>
      </c>
    </row>
    <row r="89" spans="1:15" ht="27.5" customHeight="1" x14ac:dyDescent="0.2">
      <c r="A89">
        <v>2025</v>
      </c>
      <c r="B89" t="s">
        <v>598</v>
      </c>
      <c r="C89" t="s">
        <v>595</v>
      </c>
      <c r="D89" s="19" t="s">
        <v>235</v>
      </c>
      <c r="E89" s="18" t="s">
        <v>147</v>
      </c>
      <c r="F89" s="18">
        <v>20</v>
      </c>
      <c r="G89" s="20">
        <v>998000</v>
      </c>
      <c r="H89" s="18">
        <v>0</v>
      </c>
      <c r="I89" s="20">
        <v>376360</v>
      </c>
      <c r="J89" s="8">
        <f t="shared" si="3"/>
        <v>621640</v>
      </c>
      <c r="K89" s="10">
        <f t="shared" si="4"/>
        <v>0.62288577154308622</v>
      </c>
      <c r="L89" s="17">
        <f t="shared" si="5"/>
        <v>0</v>
      </c>
      <c r="M89" t="str">
        <f>VLOOKUP(D89,'Jer-Tip-Emp'!B:E,4,0)</f>
        <v>Platos mong</v>
      </c>
      <c r="N89" t="str">
        <f>VLOOKUP(D89,'Jer-Tip-Emp'!B:F,5,0)</f>
        <v>No Personal</v>
      </c>
      <c r="O89" t="str">
        <f>VLOOKUP(D89,'Jer-Tip-Emp'!B:G,6,0)</f>
        <v>Caja</v>
      </c>
    </row>
    <row r="90" spans="1:15" ht="27.5" hidden="1" customHeight="1" x14ac:dyDescent="0.2">
      <c r="A90">
        <v>2025</v>
      </c>
      <c r="B90" t="s">
        <v>598</v>
      </c>
      <c r="C90" t="s">
        <v>595</v>
      </c>
      <c r="D90" s="19" t="s">
        <v>189</v>
      </c>
      <c r="E90" s="18" t="s">
        <v>21</v>
      </c>
      <c r="F90" s="18">
        <v>14</v>
      </c>
      <c r="G90" s="20">
        <v>94556</v>
      </c>
      <c r="H90" s="20">
        <v>-2044</v>
      </c>
      <c r="I90" s="20">
        <v>34496</v>
      </c>
      <c r="J90" s="8">
        <f t="shared" si="3"/>
        <v>60060</v>
      </c>
      <c r="K90" s="10">
        <f t="shared" si="4"/>
        <v>0.63517915309446249</v>
      </c>
      <c r="L90" s="17">
        <f t="shared" si="5"/>
        <v>2.1616819662422269E-2</v>
      </c>
      <c r="M90" t="str">
        <f>VLOOKUP(D90,'Jer-Tip-Emp'!B:E,4,0)</f>
        <v>Adición</v>
      </c>
      <c r="N90" t="str">
        <f>VLOOKUP(D90,'Jer-Tip-Emp'!B:F,5,0)</f>
        <v>Adición</v>
      </c>
      <c r="O90" t="str">
        <f>VLOOKUP(D90,'Jer-Tip-Emp'!B:G,6,0)</f>
        <v>Adición</v>
      </c>
    </row>
    <row r="91" spans="1:15" ht="27.5" hidden="1" customHeight="1" x14ac:dyDescent="0.2">
      <c r="A91">
        <v>2025</v>
      </c>
      <c r="B91" t="s">
        <v>598</v>
      </c>
      <c r="C91" t="s">
        <v>595</v>
      </c>
      <c r="D91" s="19" t="s">
        <v>282</v>
      </c>
      <c r="E91" s="18" t="s">
        <v>19</v>
      </c>
      <c r="F91" s="18">
        <v>13</v>
      </c>
      <c r="G91" s="20">
        <v>76700</v>
      </c>
      <c r="H91" s="18">
        <v>0</v>
      </c>
      <c r="I91" s="20">
        <v>53274</v>
      </c>
      <c r="J91" s="8">
        <f t="shared" si="3"/>
        <v>23426</v>
      </c>
      <c r="K91" s="10">
        <f t="shared" si="4"/>
        <v>0.30542372881355934</v>
      </c>
      <c r="L91" s="17">
        <f t="shared" si="5"/>
        <v>0</v>
      </c>
      <c r="M91" t="str">
        <f>VLOOKUP(D91,'Jer-Tip-Emp'!B:E,4,0)</f>
        <v>Adición</v>
      </c>
      <c r="N91" t="str">
        <f>VLOOKUP(D91,'Jer-Tip-Emp'!B:F,5,0)</f>
        <v>Adición</v>
      </c>
      <c r="O91" t="str">
        <f>VLOOKUP(D91,'Jer-Tip-Emp'!B:G,6,0)</f>
        <v>Adición</v>
      </c>
    </row>
    <row r="92" spans="1:15" ht="27.5" customHeight="1" x14ac:dyDescent="0.2">
      <c r="A92">
        <v>2025</v>
      </c>
      <c r="B92" t="s">
        <v>598</v>
      </c>
      <c r="C92" t="s">
        <v>595</v>
      </c>
      <c r="D92" s="19" t="s">
        <v>212</v>
      </c>
      <c r="E92" s="18" t="s">
        <v>160</v>
      </c>
      <c r="F92" s="18">
        <v>13</v>
      </c>
      <c r="G92" s="20">
        <v>375700</v>
      </c>
      <c r="H92" s="18">
        <v>0</v>
      </c>
      <c r="I92" s="20">
        <v>146289</v>
      </c>
      <c r="J92" s="8">
        <f t="shared" si="3"/>
        <v>229411</v>
      </c>
      <c r="K92" s="10">
        <f t="shared" si="4"/>
        <v>0.61062283737024226</v>
      </c>
      <c r="L92" s="17">
        <f t="shared" si="5"/>
        <v>0</v>
      </c>
      <c r="M92" t="str">
        <f>VLOOKUP(D92,'Jer-Tip-Emp'!B:E,4,0)</f>
        <v>Combos personales</v>
      </c>
      <c r="N92" t="str">
        <f>VLOOKUP(D92,'Jer-Tip-Emp'!B:F,5,0)</f>
        <v>Personal</v>
      </c>
      <c r="O92" t="str">
        <f>VLOOKUP(D92,'Jer-Tip-Emp'!B:G,6,0)</f>
        <v>Combo</v>
      </c>
    </row>
    <row r="93" spans="1:15" ht="27.5" customHeight="1" x14ac:dyDescent="0.2">
      <c r="A93">
        <v>2025</v>
      </c>
      <c r="B93" t="s">
        <v>598</v>
      </c>
      <c r="C93" t="s">
        <v>595</v>
      </c>
      <c r="D93" s="19" t="s">
        <v>196</v>
      </c>
      <c r="E93" s="18" t="s">
        <v>159</v>
      </c>
      <c r="F93" s="18">
        <v>13</v>
      </c>
      <c r="G93" s="20">
        <v>336700</v>
      </c>
      <c r="H93" s="18">
        <v>0</v>
      </c>
      <c r="I93" s="20">
        <v>123513</v>
      </c>
      <c r="J93" s="8">
        <f t="shared" si="3"/>
        <v>213187</v>
      </c>
      <c r="K93" s="10">
        <f t="shared" si="4"/>
        <v>0.63316602316602322</v>
      </c>
      <c r="L93" s="17">
        <f t="shared" si="5"/>
        <v>0</v>
      </c>
      <c r="M93" t="str">
        <f>VLOOKUP(D93,'Jer-Tip-Emp'!B:E,4,0)</f>
        <v>Combos personales</v>
      </c>
      <c r="N93" t="str">
        <f>VLOOKUP(D93,'Jer-Tip-Emp'!B:F,5,0)</f>
        <v>Personal</v>
      </c>
      <c r="O93" t="str">
        <f>VLOOKUP(D93,'Jer-Tip-Emp'!B:G,6,0)</f>
        <v>Combo</v>
      </c>
    </row>
    <row r="94" spans="1:15" ht="27.5" customHeight="1" x14ac:dyDescent="0.2">
      <c r="A94">
        <v>2025</v>
      </c>
      <c r="B94" t="s">
        <v>598</v>
      </c>
      <c r="C94" t="s">
        <v>595</v>
      </c>
      <c r="D94" s="19" t="s">
        <v>393</v>
      </c>
      <c r="E94" s="18" t="s">
        <v>549</v>
      </c>
      <c r="F94" s="18">
        <v>13</v>
      </c>
      <c r="G94" s="20">
        <v>24000</v>
      </c>
      <c r="H94" s="20">
        <v>-2000</v>
      </c>
      <c r="I94" s="20">
        <v>26455</v>
      </c>
      <c r="J94" s="8">
        <f t="shared" si="3"/>
        <v>-2455</v>
      </c>
      <c r="K94" s="10">
        <f t="shared" si="4"/>
        <v>-0.10229166666666667</v>
      </c>
      <c r="L94" s="17">
        <f t="shared" si="5"/>
        <v>8.3333333333333329E-2</v>
      </c>
      <c r="M94" t="str">
        <f>VLOOKUP(D94,'Jer-Tip-Emp'!B:E,4,0)</f>
        <v>Arma tu plato</v>
      </c>
      <c r="N94" t="str">
        <f>VLOOKUP(D94,'Jer-Tip-Emp'!B:F,5,0)</f>
        <v>Personal</v>
      </c>
      <c r="O94" t="str">
        <f>VLOOKUP(D94,'Jer-Tip-Emp'!B:G,6,0)</f>
        <v>Caja</v>
      </c>
    </row>
    <row r="95" spans="1:15" ht="27.5" customHeight="1" x14ac:dyDescent="0.2">
      <c r="A95">
        <v>2025</v>
      </c>
      <c r="B95" t="s">
        <v>598</v>
      </c>
      <c r="C95" t="s">
        <v>595</v>
      </c>
      <c r="D95" s="19" t="s">
        <v>313</v>
      </c>
      <c r="E95" s="18" t="s">
        <v>540</v>
      </c>
      <c r="F95" s="18">
        <v>13</v>
      </c>
      <c r="G95" s="18">
        <v>0</v>
      </c>
      <c r="H95" s="18">
        <v>0</v>
      </c>
      <c r="I95" s="20">
        <v>71383</v>
      </c>
      <c r="J95" s="8">
        <f t="shared" si="3"/>
        <v>-71383</v>
      </c>
      <c r="K95" s="10">
        <f t="shared" si="4"/>
        <v>0</v>
      </c>
      <c r="L95" s="17">
        <f t="shared" si="5"/>
        <v>0</v>
      </c>
      <c r="M95" t="str">
        <f>VLOOKUP(D95,'Jer-Tip-Emp'!B:E,4,0)</f>
        <v>Arma tu plato</v>
      </c>
      <c r="N95" t="str">
        <f>VLOOKUP(D95,'Jer-Tip-Emp'!B:F,5,0)</f>
        <v>Personal</v>
      </c>
      <c r="O95" t="str">
        <f>VLOOKUP(D95,'Jer-Tip-Emp'!B:G,6,0)</f>
        <v>Caja</v>
      </c>
    </row>
    <row r="96" spans="1:15" ht="27.5" customHeight="1" x14ac:dyDescent="0.2">
      <c r="A96">
        <v>2025</v>
      </c>
      <c r="B96" t="s">
        <v>598</v>
      </c>
      <c r="C96" t="s">
        <v>595</v>
      </c>
      <c r="D96" s="19" t="s">
        <v>186</v>
      </c>
      <c r="E96" s="18" t="s">
        <v>95</v>
      </c>
      <c r="F96" s="18">
        <v>12</v>
      </c>
      <c r="G96" s="20">
        <v>343800</v>
      </c>
      <c r="H96" s="20">
        <v>-3000</v>
      </c>
      <c r="I96" s="20">
        <v>114840</v>
      </c>
      <c r="J96" s="8">
        <f t="shared" si="3"/>
        <v>228960</v>
      </c>
      <c r="K96" s="10">
        <f t="shared" si="4"/>
        <v>0.6659685863874345</v>
      </c>
      <c r="L96" s="17">
        <f t="shared" si="5"/>
        <v>8.7260034904013961E-3</v>
      </c>
      <c r="M96" t="str">
        <f>VLOOKUP(D96,'Jer-Tip-Emp'!B:E,4,0)</f>
        <v>Combos personales</v>
      </c>
      <c r="N96" t="str">
        <f>VLOOKUP(D96,'Jer-Tip-Emp'!B:F,5,0)</f>
        <v>Personal</v>
      </c>
      <c r="O96" t="str">
        <f>VLOOKUP(D96,'Jer-Tip-Emp'!B:G,6,0)</f>
        <v>Combo</v>
      </c>
    </row>
    <row r="97" spans="1:15" ht="27.5" customHeight="1" x14ac:dyDescent="0.2">
      <c r="A97">
        <v>2025</v>
      </c>
      <c r="B97" t="s">
        <v>598</v>
      </c>
      <c r="C97" t="s">
        <v>595</v>
      </c>
      <c r="D97" s="19" t="s">
        <v>180</v>
      </c>
      <c r="E97" s="18" t="s">
        <v>128</v>
      </c>
      <c r="F97" s="18">
        <v>12</v>
      </c>
      <c r="G97" s="20">
        <v>250800</v>
      </c>
      <c r="H97" s="18">
        <v>0</v>
      </c>
      <c r="I97" s="20">
        <v>82056</v>
      </c>
      <c r="J97" s="8">
        <f t="shared" si="3"/>
        <v>168744</v>
      </c>
      <c r="K97" s="10">
        <f t="shared" si="4"/>
        <v>0.67282296650717699</v>
      </c>
      <c r="L97" s="17">
        <f t="shared" si="5"/>
        <v>0</v>
      </c>
      <c r="M97" t="str">
        <f>VLOOKUP(D97,'Jer-Tip-Emp'!B:E,4,0)</f>
        <v>Platos mong</v>
      </c>
      <c r="N97" t="str">
        <f>VLOOKUP(D97,'Jer-Tip-Emp'!B:F,5,0)</f>
        <v>Personal</v>
      </c>
      <c r="O97" t="str">
        <f>VLOOKUP(D97,'Jer-Tip-Emp'!B:G,6,0)</f>
        <v>Caja</v>
      </c>
    </row>
    <row r="98" spans="1:15" ht="27.5" customHeight="1" x14ac:dyDescent="0.2">
      <c r="A98">
        <v>2025</v>
      </c>
      <c r="B98" t="s">
        <v>598</v>
      </c>
      <c r="C98" t="s">
        <v>595</v>
      </c>
      <c r="D98" s="19" t="s">
        <v>202</v>
      </c>
      <c r="E98" s="18" t="s">
        <v>142</v>
      </c>
      <c r="F98" s="18">
        <v>12</v>
      </c>
      <c r="G98" s="20">
        <v>402323</v>
      </c>
      <c r="H98" s="20">
        <v>-4477</v>
      </c>
      <c r="I98" s="20">
        <v>170772</v>
      </c>
      <c r="J98" s="8">
        <f t="shared" si="3"/>
        <v>231551</v>
      </c>
      <c r="K98" s="10">
        <f t="shared" si="4"/>
        <v>0.57553508002276776</v>
      </c>
      <c r="L98" s="17">
        <f t="shared" si="5"/>
        <v>1.1127874866711572E-2</v>
      </c>
      <c r="M98" t="str">
        <f>VLOOKUP(D98,'Jer-Tip-Emp'!B:E,4,0)</f>
        <v>Platos mong</v>
      </c>
      <c r="N98" t="str">
        <f>VLOOKUP(D98,'Jer-Tip-Emp'!B:F,5,0)</f>
        <v>No Personal</v>
      </c>
      <c r="O98" t="str">
        <f>VLOOKUP(D98,'Jer-Tip-Emp'!B:G,6,0)</f>
        <v>Caja</v>
      </c>
    </row>
    <row r="99" spans="1:15" ht="27.5" customHeight="1" x14ac:dyDescent="0.2">
      <c r="A99">
        <v>2025</v>
      </c>
      <c r="B99" t="s">
        <v>598</v>
      </c>
      <c r="C99" t="s">
        <v>595</v>
      </c>
      <c r="D99" s="19" t="s">
        <v>333</v>
      </c>
      <c r="E99" s="18" t="s">
        <v>547</v>
      </c>
      <c r="F99" s="18">
        <v>12</v>
      </c>
      <c r="G99" s="18">
        <v>0</v>
      </c>
      <c r="H99" s="18">
        <v>0</v>
      </c>
      <c r="I99" s="20">
        <v>39864</v>
      </c>
      <c r="J99" s="8">
        <f t="shared" si="3"/>
        <v>-39864</v>
      </c>
      <c r="K99" s="10">
        <f t="shared" si="4"/>
        <v>0</v>
      </c>
      <c r="L99" s="17">
        <f t="shared" si="5"/>
        <v>0</v>
      </c>
      <c r="M99" t="str">
        <f>VLOOKUP(D99,'Jer-Tip-Emp'!B:E,4,0)</f>
        <v>Arma tu plato</v>
      </c>
      <c r="N99" t="str">
        <f>VLOOKUP(D99,'Jer-Tip-Emp'!B:F,5,0)</f>
        <v>Personal</v>
      </c>
      <c r="O99" t="str">
        <f>VLOOKUP(D99,'Jer-Tip-Emp'!B:G,6,0)</f>
        <v>Caja</v>
      </c>
    </row>
    <row r="100" spans="1:15" ht="27.5" customHeight="1" x14ac:dyDescent="0.2">
      <c r="A100">
        <v>2025</v>
      </c>
      <c r="B100" t="s">
        <v>598</v>
      </c>
      <c r="C100" t="s">
        <v>595</v>
      </c>
      <c r="D100" s="19" t="s">
        <v>295</v>
      </c>
      <c r="E100" s="18" t="s">
        <v>110</v>
      </c>
      <c r="F100" s="18">
        <v>11</v>
      </c>
      <c r="G100" s="20">
        <v>216502</v>
      </c>
      <c r="H100" s="20">
        <v>-2398</v>
      </c>
      <c r="I100" s="20">
        <v>74448</v>
      </c>
      <c r="J100" s="8">
        <f t="shared" si="3"/>
        <v>142054</v>
      </c>
      <c r="K100" s="10">
        <f t="shared" si="4"/>
        <v>0.65613250685905899</v>
      </c>
      <c r="L100" s="17">
        <f t="shared" si="5"/>
        <v>1.1076110151407378E-2</v>
      </c>
      <c r="M100" t="str">
        <f>VLOOKUP(D100,'Jer-Tip-Emp'!B:E,4,0)</f>
        <v>Platos mong</v>
      </c>
      <c r="N100" t="str">
        <f>VLOOKUP(D100,'Jer-Tip-Emp'!B:F,5,0)</f>
        <v>Personal</v>
      </c>
      <c r="O100" t="str">
        <f>VLOOKUP(D100,'Jer-Tip-Emp'!B:G,6,0)</f>
        <v>Caja</v>
      </c>
    </row>
    <row r="101" spans="1:15" ht="27.5" customHeight="1" x14ac:dyDescent="0.2">
      <c r="A101">
        <v>2025</v>
      </c>
      <c r="B101" t="s">
        <v>598</v>
      </c>
      <c r="C101" t="s">
        <v>595</v>
      </c>
      <c r="D101" s="19" t="s">
        <v>389</v>
      </c>
      <c r="E101" s="18" t="s">
        <v>541</v>
      </c>
      <c r="F101" s="18">
        <v>11</v>
      </c>
      <c r="G101" s="18">
        <v>0</v>
      </c>
      <c r="H101" s="18">
        <v>0</v>
      </c>
      <c r="I101" s="20">
        <v>60137</v>
      </c>
      <c r="J101" s="8">
        <f t="shared" si="3"/>
        <v>-60137</v>
      </c>
      <c r="K101" s="10">
        <f t="shared" si="4"/>
        <v>0</v>
      </c>
      <c r="L101" s="17">
        <f t="shared" si="5"/>
        <v>0</v>
      </c>
      <c r="M101" t="str">
        <f>VLOOKUP(D101,'Jer-Tip-Emp'!B:E,4,0)</f>
        <v>Arma tu plato</v>
      </c>
      <c r="N101" t="str">
        <f>VLOOKUP(D101,'Jer-Tip-Emp'!B:F,5,0)</f>
        <v>Personal</v>
      </c>
      <c r="O101" t="str">
        <f>VLOOKUP(D101,'Jer-Tip-Emp'!B:G,6,0)</f>
        <v>Caja</v>
      </c>
    </row>
    <row r="102" spans="1:15" ht="27.5" customHeight="1" x14ac:dyDescent="0.2">
      <c r="A102">
        <v>2025</v>
      </c>
      <c r="B102" t="s">
        <v>598</v>
      </c>
      <c r="C102" t="s">
        <v>595</v>
      </c>
      <c r="D102" s="19" t="s">
        <v>322</v>
      </c>
      <c r="E102" s="18" t="s">
        <v>545</v>
      </c>
      <c r="F102" s="18">
        <v>10</v>
      </c>
      <c r="G102" s="20">
        <v>18000</v>
      </c>
      <c r="H102" s="20">
        <v>-2000</v>
      </c>
      <c r="I102" s="20">
        <v>31080</v>
      </c>
      <c r="J102" s="8">
        <f t="shared" si="3"/>
        <v>-13080</v>
      </c>
      <c r="K102" s="10">
        <f t="shared" si="4"/>
        <v>-0.72666666666666668</v>
      </c>
      <c r="L102" s="17">
        <f t="shared" si="5"/>
        <v>0.1111111111111111</v>
      </c>
      <c r="M102" t="str">
        <f>VLOOKUP(D102,'Jer-Tip-Emp'!B:E,4,0)</f>
        <v>Arma tu plato</v>
      </c>
      <c r="N102" t="str">
        <f>VLOOKUP(D102,'Jer-Tip-Emp'!B:F,5,0)</f>
        <v>Personal</v>
      </c>
      <c r="O102" t="str">
        <f>VLOOKUP(D102,'Jer-Tip-Emp'!B:G,6,0)</f>
        <v>Caja</v>
      </c>
    </row>
    <row r="103" spans="1:15" ht="27.5" customHeight="1" x14ac:dyDescent="0.2">
      <c r="A103">
        <v>2025</v>
      </c>
      <c r="B103" t="s">
        <v>598</v>
      </c>
      <c r="C103" t="s">
        <v>595</v>
      </c>
      <c r="D103" s="19" t="s">
        <v>214</v>
      </c>
      <c r="E103" s="18" t="s">
        <v>81</v>
      </c>
      <c r="F103" s="18">
        <v>8</v>
      </c>
      <c r="G103" s="20">
        <v>425900</v>
      </c>
      <c r="H103" s="20">
        <v>-5300</v>
      </c>
      <c r="I103" s="20">
        <v>189104</v>
      </c>
      <c r="J103" s="8">
        <f t="shared" si="3"/>
        <v>236796</v>
      </c>
      <c r="K103" s="10">
        <f t="shared" si="4"/>
        <v>0.55598966893637003</v>
      </c>
      <c r="L103" s="17">
        <f t="shared" si="5"/>
        <v>1.2444235736088284E-2</v>
      </c>
      <c r="M103" t="str">
        <f>VLOOKUP(D103,'Jer-Tip-Emp'!B:E,4,0)</f>
        <v>Combos para compartir</v>
      </c>
      <c r="N103" t="str">
        <f>VLOOKUP(D103,'Jer-Tip-Emp'!B:F,5,0)</f>
        <v>No Personal</v>
      </c>
      <c r="O103" t="str">
        <f>VLOOKUP(D103,'Jer-Tip-Emp'!B:G,6,0)</f>
        <v>Combo</v>
      </c>
    </row>
    <row r="104" spans="1:15" ht="27.5" hidden="1" customHeight="1" x14ac:dyDescent="0.2">
      <c r="A104">
        <v>2025</v>
      </c>
      <c r="B104" t="s">
        <v>598</v>
      </c>
      <c r="C104" t="s">
        <v>595</v>
      </c>
      <c r="D104" s="19" t="s">
        <v>327</v>
      </c>
      <c r="E104" s="18" t="s">
        <v>44</v>
      </c>
      <c r="F104" s="18">
        <v>8</v>
      </c>
      <c r="G104" s="20">
        <v>34300</v>
      </c>
      <c r="H104" s="20">
        <v>-4900</v>
      </c>
      <c r="I104" s="20">
        <v>8760</v>
      </c>
      <c r="J104" s="8">
        <f t="shared" si="3"/>
        <v>25540</v>
      </c>
      <c r="K104" s="10">
        <f t="shared" si="4"/>
        <v>0.74460641399416905</v>
      </c>
      <c r="L104" s="17">
        <f t="shared" si="5"/>
        <v>0.14285714285714285</v>
      </c>
      <c r="M104" t="str">
        <f>VLOOKUP(D104,'Jer-Tip-Emp'!B:E,4,0)</f>
        <v>Bebidas</v>
      </c>
      <c r="N104" t="str">
        <f>VLOOKUP(D104,'Jer-Tip-Emp'!B:F,5,0)</f>
        <v>Bebidas</v>
      </c>
      <c r="O104" t="str">
        <f>VLOOKUP(D104,'Jer-Tip-Emp'!B:G,6,0)</f>
        <v>Bebidas</v>
      </c>
    </row>
    <row r="105" spans="1:15" ht="27.5" customHeight="1" x14ac:dyDescent="0.2">
      <c r="A105">
        <v>2025</v>
      </c>
      <c r="B105" t="s">
        <v>598</v>
      </c>
      <c r="C105" t="s">
        <v>595</v>
      </c>
      <c r="D105" s="19" t="s">
        <v>285</v>
      </c>
      <c r="E105" s="18" t="s">
        <v>146</v>
      </c>
      <c r="F105" s="18">
        <v>7</v>
      </c>
      <c r="G105" s="20">
        <v>131400</v>
      </c>
      <c r="H105" s="20">
        <v>-21900</v>
      </c>
      <c r="I105" s="20">
        <v>59248</v>
      </c>
      <c r="J105" s="8">
        <f t="shared" si="3"/>
        <v>72152</v>
      </c>
      <c r="K105" s="10">
        <f t="shared" si="4"/>
        <v>0.54910197869101973</v>
      </c>
      <c r="L105" s="17">
        <f t="shared" si="5"/>
        <v>0.16666666666666666</v>
      </c>
      <c r="M105" t="str">
        <f>VLOOKUP(D105,'Jer-Tip-Emp'!B:E,4,0)</f>
        <v>Platos mong</v>
      </c>
      <c r="N105" t="str">
        <f>VLOOKUP(D105,'Jer-Tip-Emp'!B:F,5,0)</f>
        <v>Personal</v>
      </c>
      <c r="O105" t="str">
        <f>VLOOKUP(D105,'Jer-Tip-Emp'!B:G,6,0)</f>
        <v>Caja</v>
      </c>
    </row>
    <row r="106" spans="1:15" ht="27.5" customHeight="1" x14ac:dyDescent="0.2">
      <c r="A106">
        <v>2025</v>
      </c>
      <c r="B106" t="s">
        <v>598</v>
      </c>
      <c r="C106" t="s">
        <v>595</v>
      </c>
      <c r="D106" s="19" t="s">
        <v>266</v>
      </c>
      <c r="E106" s="18" t="s">
        <v>85</v>
      </c>
      <c r="F106" s="18">
        <v>7</v>
      </c>
      <c r="G106" s="20">
        <v>489300</v>
      </c>
      <c r="H106" s="18">
        <v>0</v>
      </c>
      <c r="I106" s="20">
        <v>274547</v>
      </c>
      <c r="J106" s="8">
        <f t="shared" si="3"/>
        <v>214753</v>
      </c>
      <c r="K106" s="10">
        <f t="shared" si="4"/>
        <v>0.43889842632331905</v>
      </c>
      <c r="L106" s="17">
        <f t="shared" si="5"/>
        <v>0</v>
      </c>
      <c r="M106" t="str">
        <f>VLOOKUP(D106,'Jer-Tip-Emp'!B:E,4,0)</f>
        <v>Combos para compartir</v>
      </c>
      <c r="N106" t="str">
        <f>VLOOKUP(D106,'Jer-Tip-Emp'!B:F,5,0)</f>
        <v>No Personal</v>
      </c>
      <c r="O106" t="str">
        <f>VLOOKUP(D106,'Jer-Tip-Emp'!B:G,6,0)</f>
        <v>Combo</v>
      </c>
    </row>
    <row r="107" spans="1:15" ht="27.5" customHeight="1" x14ac:dyDescent="0.2">
      <c r="A107">
        <v>2025</v>
      </c>
      <c r="B107" t="s">
        <v>598</v>
      </c>
      <c r="C107" t="s">
        <v>595</v>
      </c>
      <c r="D107" s="19" t="s">
        <v>293</v>
      </c>
      <c r="E107" s="18" t="s">
        <v>127</v>
      </c>
      <c r="F107" s="18">
        <v>7</v>
      </c>
      <c r="G107" s="20">
        <v>405300</v>
      </c>
      <c r="H107" s="18">
        <v>0</v>
      </c>
      <c r="I107" s="20">
        <v>196399</v>
      </c>
      <c r="J107" s="8">
        <f t="shared" si="3"/>
        <v>208901</v>
      </c>
      <c r="K107" s="10">
        <f t="shared" si="4"/>
        <v>0.51542314335060446</v>
      </c>
      <c r="L107" s="17">
        <f t="shared" si="5"/>
        <v>0</v>
      </c>
      <c r="M107" t="str">
        <f>VLOOKUP(D107,'Jer-Tip-Emp'!B:E,4,0)</f>
        <v>Platos mong</v>
      </c>
      <c r="N107" t="str">
        <f>VLOOKUP(D107,'Jer-Tip-Emp'!B:F,5,0)</f>
        <v>No Personal</v>
      </c>
      <c r="O107" t="str">
        <f>VLOOKUP(D107,'Jer-Tip-Emp'!B:G,6,0)</f>
        <v>Caja</v>
      </c>
    </row>
    <row r="108" spans="1:15" ht="27.5" customHeight="1" x14ac:dyDescent="0.2">
      <c r="A108">
        <v>2025</v>
      </c>
      <c r="B108" t="s">
        <v>598</v>
      </c>
      <c r="C108" t="s">
        <v>595</v>
      </c>
      <c r="D108" s="19" t="s">
        <v>448</v>
      </c>
      <c r="E108" s="18" t="s">
        <v>552</v>
      </c>
      <c r="F108" s="18">
        <v>7</v>
      </c>
      <c r="G108" s="18">
        <v>0</v>
      </c>
      <c r="H108" s="18">
        <v>0</v>
      </c>
      <c r="I108" s="20">
        <v>36841</v>
      </c>
      <c r="J108" s="8">
        <f t="shared" si="3"/>
        <v>-36841</v>
      </c>
      <c r="K108" s="10">
        <f t="shared" si="4"/>
        <v>0</v>
      </c>
      <c r="L108" s="17">
        <f t="shared" si="5"/>
        <v>0</v>
      </c>
      <c r="M108" t="str">
        <f>VLOOKUP(D108,'Jer-Tip-Emp'!B:E,4,0)</f>
        <v>Arma tu plato</v>
      </c>
      <c r="N108" t="str">
        <f>VLOOKUP(D108,'Jer-Tip-Emp'!B:F,5,0)</f>
        <v>Personal</v>
      </c>
      <c r="O108" t="str">
        <f>VLOOKUP(D108,'Jer-Tip-Emp'!B:G,6,0)</f>
        <v>Caja</v>
      </c>
    </row>
    <row r="109" spans="1:15" ht="27.5" hidden="1" customHeight="1" x14ac:dyDescent="0.2">
      <c r="A109">
        <v>2025</v>
      </c>
      <c r="B109" t="s">
        <v>598</v>
      </c>
      <c r="C109" t="s">
        <v>595</v>
      </c>
      <c r="D109" s="19" t="s">
        <v>253</v>
      </c>
      <c r="E109" s="18" t="s">
        <v>105</v>
      </c>
      <c r="F109" s="18">
        <v>6</v>
      </c>
      <c r="G109" s="20">
        <v>27562</v>
      </c>
      <c r="H109" s="20">
        <v>-2438</v>
      </c>
      <c r="I109" s="20">
        <v>9414</v>
      </c>
      <c r="J109" s="8">
        <f t="shared" si="3"/>
        <v>18148</v>
      </c>
      <c r="K109" s="10">
        <f t="shared" si="4"/>
        <v>0.65844278354255859</v>
      </c>
      <c r="L109" s="17">
        <f t="shared" si="5"/>
        <v>8.8455119367244761E-2</v>
      </c>
      <c r="M109" t="str">
        <f>VLOOKUP(D109,'Jer-Tip-Emp'!B:E,4,0)</f>
        <v>Entradas</v>
      </c>
      <c r="N109" t="str">
        <f>VLOOKUP(D109,'Jer-Tip-Emp'!B:F,5,0)</f>
        <v>Otro</v>
      </c>
      <c r="O109" t="str">
        <f>VLOOKUP(D109,'Jer-Tip-Emp'!B:G,6,0)</f>
        <v>Otro</v>
      </c>
    </row>
    <row r="110" spans="1:15" ht="27.5" customHeight="1" x14ac:dyDescent="0.2">
      <c r="A110">
        <v>2025</v>
      </c>
      <c r="B110" t="s">
        <v>598</v>
      </c>
      <c r="C110" t="s">
        <v>595</v>
      </c>
      <c r="D110" s="19" t="s">
        <v>278</v>
      </c>
      <c r="E110" s="18" t="s">
        <v>84</v>
      </c>
      <c r="F110" s="18">
        <v>6</v>
      </c>
      <c r="G110" s="20">
        <v>125400</v>
      </c>
      <c r="H110" s="18">
        <v>0</v>
      </c>
      <c r="I110" s="20">
        <v>47838</v>
      </c>
      <c r="J110" s="8">
        <f t="shared" si="3"/>
        <v>77562</v>
      </c>
      <c r="K110" s="10">
        <f t="shared" si="4"/>
        <v>0.61851674641148324</v>
      </c>
      <c r="L110" s="17">
        <f t="shared" si="5"/>
        <v>0</v>
      </c>
      <c r="M110" t="str">
        <f>VLOOKUP(D110,'Jer-Tip-Emp'!B:E,4,0)</f>
        <v>Combos para compartir</v>
      </c>
      <c r="N110" t="str">
        <f>VLOOKUP(D110,'Jer-Tip-Emp'!B:F,5,0)</f>
        <v>No Personal</v>
      </c>
      <c r="O110" t="str">
        <f>VLOOKUP(D110,'Jer-Tip-Emp'!B:G,6,0)</f>
        <v>Combo</v>
      </c>
    </row>
    <row r="111" spans="1:15" ht="27.5" customHeight="1" x14ac:dyDescent="0.2">
      <c r="A111">
        <v>2025</v>
      </c>
      <c r="B111" t="s">
        <v>598</v>
      </c>
      <c r="C111" t="s">
        <v>595</v>
      </c>
      <c r="D111" s="19" t="s">
        <v>241</v>
      </c>
      <c r="E111" s="18" t="s">
        <v>107</v>
      </c>
      <c r="F111" s="18">
        <v>6</v>
      </c>
      <c r="G111" s="20">
        <v>468020</v>
      </c>
      <c r="H111" s="20">
        <v>-23380</v>
      </c>
      <c r="I111" s="20">
        <v>256224</v>
      </c>
      <c r="J111" s="8">
        <f t="shared" si="3"/>
        <v>211796</v>
      </c>
      <c r="K111" s="10">
        <f t="shared" si="4"/>
        <v>0.4525362164010085</v>
      </c>
      <c r="L111" s="17">
        <f t="shared" si="5"/>
        <v>4.9955130122644333E-2</v>
      </c>
      <c r="M111" t="str">
        <f>VLOOKUP(D111,'Jer-Tip-Emp'!B:E,4,0)</f>
        <v>Platos mong</v>
      </c>
      <c r="N111" t="str">
        <f>VLOOKUP(D111,'Jer-Tip-Emp'!B:F,5,0)</f>
        <v>No Personal</v>
      </c>
      <c r="O111" t="str">
        <f>VLOOKUP(D111,'Jer-Tip-Emp'!B:G,6,0)</f>
        <v>Caja</v>
      </c>
    </row>
    <row r="112" spans="1:15" ht="27.5" customHeight="1" x14ac:dyDescent="0.2">
      <c r="A112">
        <v>2025</v>
      </c>
      <c r="B112" t="s">
        <v>598</v>
      </c>
      <c r="C112" t="s">
        <v>595</v>
      </c>
      <c r="D112" s="19" t="s">
        <v>354</v>
      </c>
      <c r="E112" s="18" t="s">
        <v>548</v>
      </c>
      <c r="F112" s="18">
        <v>6</v>
      </c>
      <c r="G112" s="18">
        <v>0</v>
      </c>
      <c r="H112" s="18">
        <v>0</v>
      </c>
      <c r="I112" s="20">
        <v>15804</v>
      </c>
      <c r="J112" s="8">
        <f t="shared" si="3"/>
        <v>-15804</v>
      </c>
      <c r="K112" s="10">
        <f t="shared" si="4"/>
        <v>0</v>
      </c>
      <c r="L112" s="17">
        <f t="shared" si="5"/>
        <v>0</v>
      </c>
      <c r="M112" t="str">
        <f>VLOOKUP(D112,'Jer-Tip-Emp'!B:E,4,0)</f>
        <v>Arma tu plato</v>
      </c>
      <c r="N112" t="str">
        <f>VLOOKUP(D112,'Jer-Tip-Emp'!B:F,5,0)</f>
        <v>Personal</v>
      </c>
      <c r="O112" t="str">
        <f>VLOOKUP(D112,'Jer-Tip-Emp'!B:G,6,0)</f>
        <v>Caja</v>
      </c>
    </row>
    <row r="113" spans="1:15" ht="27.5" customHeight="1" x14ac:dyDescent="0.2">
      <c r="A113">
        <v>2025</v>
      </c>
      <c r="B113" t="s">
        <v>598</v>
      </c>
      <c r="C113" t="s">
        <v>595</v>
      </c>
      <c r="D113" s="19" t="s">
        <v>205</v>
      </c>
      <c r="E113" s="18" t="s">
        <v>141</v>
      </c>
      <c r="F113" s="18">
        <v>6</v>
      </c>
      <c r="G113" s="20">
        <v>95400</v>
      </c>
      <c r="H113" s="18">
        <v>0</v>
      </c>
      <c r="I113" s="20">
        <v>36384</v>
      </c>
      <c r="J113" s="8">
        <f t="shared" si="3"/>
        <v>59016</v>
      </c>
      <c r="K113" s="10">
        <f t="shared" si="4"/>
        <v>0.61861635220125788</v>
      </c>
      <c r="L113" s="17">
        <f t="shared" si="5"/>
        <v>0</v>
      </c>
      <c r="M113" t="str">
        <f>VLOOKUP(D113,'Jer-Tip-Emp'!B:E,4,0)</f>
        <v>Platos mong</v>
      </c>
      <c r="N113" t="str">
        <f>VLOOKUP(D113,'Jer-Tip-Emp'!B:F,5,0)</f>
        <v>Personal</v>
      </c>
      <c r="O113" t="str">
        <f>VLOOKUP(D113,'Jer-Tip-Emp'!B:G,6,0)</f>
        <v>Caja</v>
      </c>
    </row>
    <row r="114" spans="1:15" ht="27.5" customHeight="1" x14ac:dyDescent="0.2">
      <c r="A114">
        <v>2025</v>
      </c>
      <c r="B114" t="s">
        <v>598</v>
      </c>
      <c r="C114" t="s">
        <v>595</v>
      </c>
      <c r="D114" s="19" t="s">
        <v>257</v>
      </c>
      <c r="E114" s="18" t="s">
        <v>78</v>
      </c>
      <c r="F114" s="18">
        <v>5</v>
      </c>
      <c r="G114" s="20">
        <v>71600</v>
      </c>
      <c r="H114" s="20">
        <v>-17900</v>
      </c>
      <c r="I114" s="18">
        <v>0</v>
      </c>
      <c r="J114" s="8">
        <f t="shared" si="3"/>
        <v>71600</v>
      </c>
      <c r="K114" s="10">
        <f t="shared" si="4"/>
        <v>1</v>
      </c>
      <c r="L114" s="17">
        <f t="shared" si="5"/>
        <v>0.25</v>
      </c>
      <c r="M114" t="str">
        <f>VLOOKUP(D114,'Jer-Tip-Emp'!B:E,4,0)</f>
        <v>Bowl</v>
      </c>
      <c r="N114" t="str">
        <f>VLOOKUP(D114,'Jer-Tip-Emp'!B:F,5,0)</f>
        <v>Personal</v>
      </c>
      <c r="O114" t="str">
        <f>VLOOKUP(D114,'Jer-Tip-Emp'!B:G,6,0)</f>
        <v>Bowl</v>
      </c>
    </row>
    <row r="115" spans="1:15" ht="27.5" hidden="1" customHeight="1" x14ac:dyDescent="0.2">
      <c r="A115">
        <v>2025</v>
      </c>
      <c r="B115" t="s">
        <v>598</v>
      </c>
      <c r="C115" t="s">
        <v>595</v>
      </c>
      <c r="D115" s="19" t="s">
        <v>193</v>
      </c>
      <c r="E115" s="18" t="s">
        <v>18</v>
      </c>
      <c r="F115" s="18">
        <v>5</v>
      </c>
      <c r="G115" s="20">
        <v>34500</v>
      </c>
      <c r="H115" s="18">
        <v>0</v>
      </c>
      <c r="I115" s="20">
        <v>15540</v>
      </c>
      <c r="J115" s="8">
        <f t="shared" si="3"/>
        <v>18960</v>
      </c>
      <c r="K115" s="10">
        <f t="shared" si="4"/>
        <v>0.54956521739130437</v>
      </c>
      <c r="L115" s="17">
        <f t="shared" si="5"/>
        <v>0</v>
      </c>
      <c r="M115" t="str">
        <f>VLOOKUP(D115,'Jer-Tip-Emp'!B:E,4,0)</f>
        <v>Adición</v>
      </c>
      <c r="N115" t="str">
        <f>VLOOKUP(D115,'Jer-Tip-Emp'!B:F,5,0)</f>
        <v>Adición</v>
      </c>
      <c r="O115" t="str">
        <f>VLOOKUP(D115,'Jer-Tip-Emp'!B:G,6,0)</f>
        <v>Adición</v>
      </c>
    </row>
    <row r="116" spans="1:15" ht="27.5" hidden="1" customHeight="1" x14ac:dyDescent="0.2">
      <c r="A116">
        <v>2025</v>
      </c>
      <c r="B116" t="s">
        <v>598</v>
      </c>
      <c r="C116" t="s">
        <v>595</v>
      </c>
      <c r="D116" s="19" t="s">
        <v>309</v>
      </c>
      <c r="E116" s="18" t="s">
        <v>48</v>
      </c>
      <c r="F116" s="18">
        <v>5</v>
      </c>
      <c r="G116" s="20">
        <v>19500</v>
      </c>
      <c r="H116" s="18">
        <v>0</v>
      </c>
      <c r="I116" s="20">
        <v>5815</v>
      </c>
      <c r="J116" s="8">
        <f t="shared" si="3"/>
        <v>13685</v>
      </c>
      <c r="K116" s="10">
        <f t="shared" si="4"/>
        <v>0.70179487179487177</v>
      </c>
      <c r="L116" s="17">
        <f t="shared" si="5"/>
        <v>0</v>
      </c>
      <c r="M116" t="str">
        <f>VLOOKUP(D116,'Jer-Tip-Emp'!B:E,4,0)</f>
        <v>Bebidas</v>
      </c>
      <c r="N116" t="str">
        <f>VLOOKUP(D116,'Jer-Tip-Emp'!B:F,5,0)</f>
        <v>Bebidas</v>
      </c>
      <c r="O116" t="str">
        <f>VLOOKUP(D116,'Jer-Tip-Emp'!B:G,6,0)</f>
        <v>Bebidas</v>
      </c>
    </row>
    <row r="117" spans="1:15" ht="27.5" customHeight="1" x14ac:dyDescent="0.2">
      <c r="A117">
        <v>2025</v>
      </c>
      <c r="B117" t="s">
        <v>598</v>
      </c>
      <c r="C117" t="s">
        <v>595</v>
      </c>
      <c r="D117" s="19" t="s">
        <v>178</v>
      </c>
      <c r="E117" s="18" t="s">
        <v>145</v>
      </c>
      <c r="F117" s="18">
        <v>5</v>
      </c>
      <c r="G117" s="20">
        <v>429500</v>
      </c>
      <c r="H117" s="18">
        <v>0</v>
      </c>
      <c r="I117" s="20">
        <v>243040</v>
      </c>
      <c r="J117" s="8">
        <f t="shared" si="3"/>
        <v>186460</v>
      </c>
      <c r="K117" s="10">
        <f t="shared" si="4"/>
        <v>0.4341327124563446</v>
      </c>
      <c r="L117" s="17">
        <f t="shared" si="5"/>
        <v>0</v>
      </c>
      <c r="M117" t="str">
        <f>VLOOKUP(D117,'Jer-Tip-Emp'!B:E,4,0)</f>
        <v>Platos mong</v>
      </c>
      <c r="N117" t="str">
        <f>VLOOKUP(D117,'Jer-Tip-Emp'!B:F,5,0)</f>
        <v>No Personal</v>
      </c>
      <c r="O117" t="str">
        <f>VLOOKUP(D117,'Jer-Tip-Emp'!B:G,6,0)</f>
        <v>Caja</v>
      </c>
    </row>
    <row r="118" spans="1:15" ht="27.5" hidden="1" customHeight="1" x14ac:dyDescent="0.2">
      <c r="A118">
        <v>2025</v>
      </c>
      <c r="B118" t="s">
        <v>598</v>
      </c>
      <c r="C118" t="s">
        <v>595</v>
      </c>
      <c r="D118" s="19" t="s">
        <v>262</v>
      </c>
      <c r="E118" s="18" t="s">
        <v>102</v>
      </c>
      <c r="F118" s="18">
        <v>5</v>
      </c>
      <c r="G118" s="20">
        <v>84500</v>
      </c>
      <c r="H118" s="18">
        <v>0</v>
      </c>
      <c r="I118" s="20">
        <v>31075</v>
      </c>
      <c r="J118" s="8">
        <f t="shared" si="3"/>
        <v>53425</v>
      </c>
      <c r="K118" s="10">
        <f t="shared" si="4"/>
        <v>0.63224852071005921</v>
      </c>
      <c r="L118" s="17">
        <f t="shared" si="5"/>
        <v>0</v>
      </c>
      <c r="M118" t="str">
        <f>VLOOKUP(D118,'Jer-Tip-Emp'!B:E,4,0)</f>
        <v>Entradas</v>
      </c>
      <c r="N118" t="str">
        <f>VLOOKUP(D118,'Jer-Tip-Emp'!B:F,5,0)</f>
        <v>Otro</v>
      </c>
      <c r="O118" t="str">
        <f>VLOOKUP(D118,'Jer-Tip-Emp'!B:G,6,0)</f>
        <v>Otro</v>
      </c>
    </row>
    <row r="119" spans="1:15" ht="27.5" hidden="1" customHeight="1" x14ac:dyDescent="0.2">
      <c r="A119">
        <v>2025</v>
      </c>
      <c r="B119" t="s">
        <v>598</v>
      </c>
      <c r="C119" t="s">
        <v>595</v>
      </c>
      <c r="D119" s="19" t="s">
        <v>268</v>
      </c>
      <c r="E119" s="18" t="s">
        <v>17</v>
      </c>
      <c r="F119" s="18">
        <v>5</v>
      </c>
      <c r="G119" s="20">
        <v>29500</v>
      </c>
      <c r="H119" s="18">
        <v>0</v>
      </c>
      <c r="I119" s="20">
        <v>6410</v>
      </c>
      <c r="J119" s="8">
        <f t="shared" si="3"/>
        <v>23090</v>
      </c>
      <c r="K119" s="10">
        <f t="shared" si="4"/>
        <v>0.78271186440677964</v>
      </c>
      <c r="L119" s="17">
        <f t="shared" si="5"/>
        <v>0</v>
      </c>
      <c r="M119" t="str">
        <f>VLOOKUP(D119,'Jer-Tip-Emp'!B:E,4,0)</f>
        <v>Adición</v>
      </c>
      <c r="N119" t="str">
        <f>VLOOKUP(D119,'Jer-Tip-Emp'!B:F,5,0)</f>
        <v>Adición</v>
      </c>
      <c r="O119" t="str">
        <f>VLOOKUP(D119,'Jer-Tip-Emp'!B:G,6,0)</f>
        <v>Adición</v>
      </c>
    </row>
    <row r="120" spans="1:15" ht="27.5" customHeight="1" x14ac:dyDescent="0.2">
      <c r="A120">
        <v>2025</v>
      </c>
      <c r="B120" t="s">
        <v>598</v>
      </c>
      <c r="C120" t="s">
        <v>595</v>
      </c>
      <c r="D120" s="19" t="s">
        <v>223</v>
      </c>
      <c r="E120" s="18" t="s">
        <v>116</v>
      </c>
      <c r="F120" s="18">
        <v>5</v>
      </c>
      <c r="G120" s="20">
        <v>134500</v>
      </c>
      <c r="H120" s="18">
        <v>0</v>
      </c>
      <c r="I120" s="20">
        <v>68190</v>
      </c>
      <c r="J120" s="8">
        <f t="shared" si="3"/>
        <v>66310</v>
      </c>
      <c r="K120" s="10">
        <f t="shared" si="4"/>
        <v>0.4930111524163569</v>
      </c>
      <c r="L120" s="17">
        <f t="shared" si="5"/>
        <v>0</v>
      </c>
      <c r="M120" t="str">
        <f>VLOOKUP(D120,'Jer-Tip-Emp'!B:E,4,0)</f>
        <v>Platos especiales</v>
      </c>
      <c r="N120" t="str">
        <f>VLOOKUP(D120,'Jer-Tip-Emp'!B:F,5,0)</f>
        <v>Personal</v>
      </c>
      <c r="O120" t="str">
        <f>VLOOKUP(D120,'Jer-Tip-Emp'!B:G,6,0)</f>
        <v>Platos especiales</v>
      </c>
    </row>
    <row r="121" spans="1:15" ht="27.5" hidden="1" customHeight="1" x14ac:dyDescent="0.2">
      <c r="A121">
        <v>2025</v>
      </c>
      <c r="B121" t="s">
        <v>598</v>
      </c>
      <c r="C121" t="s">
        <v>595</v>
      </c>
      <c r="D121" s="19" t="s">
        <v>500</v>
      </c>
      <c r="E121" s="18" t="s">
        <v>546</v>
      </c>
      <c r="F121" s="18">
        <v>5</v>
      </c>
      <c r="G121" s="18">
        <v>0</v>
      </c>
      <c r="H121" s="18">
        <v>0</v>
      </c>
      <c r="I121" s="20">
        <v>4340</v>
      </c>
      <c r="J121" s="8">
        <f t="shared" si="3"/>
        <v>-4340</v>
      </c>
      <c r="K121" s="10">
        <f t="shared" si="4"/>
        <v>0</v>
      </c>
      <c r="L121" s="17">
        <f t="shared" si="5"/>
        <v>0</v>
      </c>
      <c r="M121" t="str">
        <f>VLOOKUP(D121,'Jer-Tip-Emp'!B:E,4,0)</f>
        <v>Bebidas</v>
      </c>
      <c r="N121" t="str">
        <f>VLOOKUP(D121,'Jer-Tip-Emp'!B:F,5,0)</f>
        <v>Bebidas Cambio de bebida</v>
      </c>
      <c r="O121" t="str">
        <f>VLOOKUP(D121,'Jer-Tip-Emp'!B:G,6,0)</f>
        <v>Bebidas</v>
      </c>
    </row>
    <row r="122" spans="1:15" ht="27.5" customHeight="1" x14ac:dyDescent="0.2">
      <c r="A122">
        <v>2025</v>
      </c>
      <c r="B122" t="s">
        <v>598</v>
      </c>
      <c r="C122" t="s">
        <v>595</v>
      </c>
      <c r="D122" s="19" t="s">
        <v>297</v>
      </c>
      <c r="E122" s="18" t="s">
        <v>131</v>
      </c>
      <c r="F122" s="18">
        <v>5</v>
      </c>
      <c r="G122" s="20">
        <v>94500</v>
      </c>
      <c r="H122" s="18">
        <v>0</v>
      </c>
      <c r="I122" s="20">
        <v>27305</v>
      </c>
      <c r="J122" s="8">
        <f t="shared" si="3"/>
        <v>67195</v>
      </c>
      <c r="K122" s="10">
        <f t="shared" si="4"/>
        <v>0.71105820105820106</v>
      </c>
      <c r="L122" s="17">
        <f t="shared" si="5"/>
        <v>0</v>
      </c>
      <c r="M122" t="str">
        <f>VLOOKUP(D122,'Jer-Tip-Emp'!B:E,4,0)</f>
        <v>Platos mong</v>
      </c>
      <c r="N122" t="str">
        <f>VLOOKUP(D122,'Jer-Tip-Emp'!B:F,5,0)</f>
        <v>Personal</v>
      </c>
      <c r="O122" t="str">
        <f>VLOOKUP(D122,'Jer-Tip-Emp'!B:G,6,0)</f>
        <v>Caja</v>
      </c>
    </row>
    <row r="123" spans="1:15" ht="27.5" hidden="1" customHeight="1" x14ac:dyDescent="0.2">
      <c r="A123">
        <v>2025</v>
      </c>
      <c r="B123" t="s">
        <v>598</v>
      </c>
      <c r="C123" t="s">
        <v>595</v>
      </c>
      <c r="D123" s="19" t="s">
        <v>310</v>
      </c>
      <c r="E123" s="18" t="s">
        <v>53</v>
      </c>
      <c r="F123" s="18">
        <v>5</v>
      </c>
      <c r="G123" s="20">
        <v>29500</v>
      </c>
      <c r="H123" s="18">
        <v>0</v>
      </c>
      <c r="I123" s="20">
        <v>8475</v>
      </c>
      <c r="J123" s="8">
        <f t="shared" si="3"/>
        <v>21025</v>
      </c>
      <c r="K123" s="10">
        <f t="shared" si="4"/>
        <v>0.71271186440677969</v>
      </c>
      <c r="L123" s="17">
        <f t="shared" si="5"/>
        <v>0</v>
      </c>
      <c r="M123" t="str">
        <f>VLOOKUP(D123,'Jer-Tip-Emp'!B:E,4,0)</f>
        <v>Bebidas</v>
      </c>
      <c r="N123" t="str">
        <f>VLOOKUP(D123,'Jer-Tip-Emp'!B:F,5,0)</f>
        <v>Bebidas</v>
      </c>
      <c r="O123" t="str">
        <f>VLOOKUP(D123,'Jer-Tip-Emp'!B:G,6,0)</f>
        <v>Bebidas</v>
      </c>
    </row>
    <row r="124" spans="1:15" ht="27.5" customHeight="1" x14ac:dyDescent="0.2">
      <c r="A124">
        <v>2025</v>
      </c>
      <c r="B124" t="s">
        <v>598</v>
      </c>
      <c r="C124" t="s">
        <v>595</v>
      </c>
      <c r="D124" s="19" t="s">
        <v>224</v>
      </c>
      <c r="E124" s="18" t="s">
        <v>114</v>
      </c>
      <c r="F124" s="18">
        <v>5</v>
      </c>
      <c r="G124" s="20">
        <v>99600</v>
      </c>
      <c r="H124" s="20">
        <v>-24900</v>
      </c>
      <c r="I124" s="20">
        <v>63590</v>
      </c>
      <c r="J124" s="8">
        <f t="shared" si="3"/>
        <v>36010</v>
      </c>
      <c r="K124" s="10">
        <f t="shared" si="4"/>
        <v>0.36154618473895583</v>
      </c>
      <c r="L124" s="17">
        <f t="shared" si="5"/>
        <v>0.25</v>
      </c>
      <c r="M124" t="str">
        <f>VLOOKUP(D124,'Jer-Tip-Emp'!B:E,4,0)</f>
        <v>Platos especiales</v>
      </c>
      <c r="N124" t="str">
        <f>VLOOKUP(D124,'Jer-Tip-Emp'!B:F,5,0)</f>
        <v>Personal</v>
      </c>
      <c r="O124" t="str">
        <f>VLOOKUP(D124,'Jer-Tip-Emp'!B:G,6,0)</f>
        <v>Platos especiales</v>
      </c>
    </row>
    <row r="125" spans="1:15" ht="27.5" hidden="1" customHeight="1" x14ac:dyDescent="0.2">
      <c r="A125">
        <v>2025</v>
      </c>
      <c r="B125" t="s">
        <v>598</v>
      </c>
      <c r="C125" t="s">
        <v>595</v>
      </c>
      <c r="D125" s="19" t="s">
        <v>176</v>
      </c>
      <c r="E125" s="18" t="s">
        <v>544</v>
      </c>
      <c r="F125" s="18">
        <v>5</v>
      </c>
      <c r="G125" s="20">
        <v>5000</v>
      </c>
      <c r="H125" s="18">
        <v>0</v>
      </c>
      <c r="I125" s="20">
        <v>9725</v>
      </c>
      <c r="J125" s="8">
        <f t="shared" si="3"/>
        <v>-4725</v>
      </c>
      <c r="K125" s="10">
        <f t="shared" si="4"/>
        <v>-0.94499999999999995</v>
      </c>
      <c r="L125" s="17">
        <f t="shared" si="5"/>
        <v>0</v>
      </c>
      <c r="M125" t="str">
        <f>VLOOKUP(D125,'Jer-Tip-Emp'!B:E,4,0)</f>
        <v>Bebidas</v>
      </c>
      <c r="N125" t="str">
        <f>VLOOKUP(D125,'Jer-Tip-Emp'!B:F,5,0)</f>
        <v>Bebidas Cambio de bebida</v>
      </c>
      <c r="O125" t="str">
        <f>VLOOKUP(D125,'Jer-Tip-Emp'!B:G,6,0)</f>
        <v>Bebidas</v>
      </c>
    </row>
    <row r="126" spans="1:15" ht="27.5" customHeight="1" x14ac:dyDescent="0.2">
      <c r="A126">
        <v>2025</v>
      </c>
      <c r="B126" t="s">
        <v>598</v>
      </c>
      <c r="C126" t="s">
        <v>595</v>
      </c>
      <c r="D126" s="19" t="s">
        <v>470</v>
      </c>
      <c r="E126" s="18" t="s">
        <v>550</v>
      </c>
      <c r="F126" s="18">
        <v>5</v>
      </c>
      <c r="G126" s="18">
        <v>0</v>
      </c>
      <c r="H126" s="18">
        <v>0</v>
      </c>
      <c r="I126" s="20">
        <v>15485</v>
      </c>
      <c r="J126" s="8">
        <f t="shared" si="3"/>
        <v>-15485</v>
      </c>
      <c r="K126" s="10">
        <f t="shared" si="4"/>
        <v>0</v>
      </c>
      <c r="L126" s="17">
        <f t="shared" si="5"/>
        <v>0</v>
      </c>
      <c r="M126" t="str">
        <f>VLOOKUP(D126,'Jer-Tip-Emp'!B:E,4,0)</f>
        <v>Arma tu plato</v>
      </c>
      <c r="N126" t="str">
        <f>VLOOKUP(D126,'Jer-Tip-Emp'!B:F,5,0)</f>
        <v>Personal</v>
      </c>
      <c r="O126" t="str">
        <f>VLOOKUP(D126,'Jer-Tip-Emp'!B:G,6,0)</f>
        <v>Caja</v>
      </c>
    </row>
    <row r="127" spans="1:15" ht="27.5" customHeight="1" x14ac:dyDescent="0.2">
      <c r="A127">
        <v>2025</v>
      </c>
      <c r="B127" t="s">
        <v>598</v>
      </c>
      <c r="C127" t="s">
        <v>595</v>
      </c>
      <c r="D127" s="19" t="s">
        <v>240</v>
      </c>
      <c r="E127" s="18" t="s">
        <v>139</v>
      </c>
      <c r="F127" s="18">
        <v>4</v>
      </c>
      <c r="G127" s="20">
        <v>167600</v>
      </c>
      <c r="H127" s="18">
        <v>0</v>
      </c>
      <c r="I127" s="20">
        <v>97020</v>
      </c>
      <c r="J127" s="8">
        <f t="shared" si="3"/>
        <v>70580</v>
      </c>
      <c r="K127" s="10">
        <f t="shared" si="4"/>
        <v>0.42112171837708828</v>
      </c>
      <c r="L127" s="17">
        <f t="shared" si="5"/>
        <v>0</v>
      </c>
      <c r="M127" t="str">
        <f>VLOOKUP(D127,'Jer-Tip-Emp'!B:E,4,0)</f>
        <v>Platos mong</v>
      </c>
      <c r="N127" t="str">
        <f>VLOOKUP(D127,'Jer-Tip-Emp'!B:F,5,0)</f>
        <v>No Personal</v>
      </c>
      <c r="O127" t="str">
        <f>VLOOKUP(D127,'Jer-Tip-Emp'!B:G,6,0)</f>
        <v>Caja</v>
      </c>
    </row>
    <row r="128" spans="1:15" ht="27.5" customHeight="1" x14ac:dyDescent="0.2">
      <c r="A128">
        <v>2025</v>
      </c>
      <c r="B128" t="s">
        <v>598</v>
      </c>
      <c r="C128" t="s">
        <v>595</v>
      </c>
      <c r="D128" s="19" t="s">
        <v>200</v>
      </c>
      <c r="E128" s="18" t="s">
        <v>149</v>
      </c>
      <c r="F128" s="18">
        <v>3</v>
      </c>
      <c r="G128" s="20">
        <v>73893</v>
      </c>
      <c r="H128" s="18">
        <v>-807</v>
      </c>
      <c r="I128" s="20">
        <v>31443</v>
      </c>
      <c r="J128" s="8">
        <f t="shared" si="3"/>
        <v>42450</v>
      </c>
      <c r="K128" s="10">
        <f t="shared" si="4"/>
        <v>0.57447931468474689</v>
      </c>
      <c r="L128" s="17">
        <f t="shared" si="5"/>
        <v>1.0921196865738298E-2</v>
      </c>
      <c r="M128" t="str">
        <f>VLOOKUP(D128,'Jer-Tip-Emp'!B:E,4,0)</f>
        <v>Platos mong</v>
      </c>
      <c r="N128" t="str">
        <f>VLOOKUP(D128,'Jer-Tip-Emp'!B:F,5,0)</f>
        <v>Personal</v>
      </c>
      <c r="O128" t="str">
        <f>VLOOKUP(D128,'Jer-Tip-Emp'!B:G,6,0)</f>
        <v>Caja</v>
      </c>
    </row>
    <row r="129" spans="1:15" ht="27.5" customHeight="1" x14ac:dyDescent="0.2">
      <c r="A129">
        <v>2025</v>
      </c>
      <c r="B129" t="s">
        <v>598</v>
      </c>
      <c r="C129" t="s">
        <v>595</v>
      </c>
      <c r="D129" s="19" t="s">
        <v>228</v>
      </c>
      <c r="E129" s="18" t="s">
        <v>96</v>
      </c>
      <c r="F129" s="18">
        <v>3</v>
      </c>
      <c r="G129" s="20">
        <v>89700</v>
      </c>
      <c r="H129" s="18">
        <v>0</v>
      </c>
      <c r="I129" s="20">
        <v>30741</v>
      </c>
      <c r="J129" s="8">
        <f t="shared" si="3"/>
        <v>58959</v>
      </c>
      <c r="K129" s="10">
        <f t="shared" si="4"/>
        <v>0.65729096989966551</v>
      </c>
      <c r="L129" s="17">
        <f t="shared" si="5"/>
        <v>0</v>
      </c>
      <c r="M129" t="str">
        <f>VLOOKUP(D129,'Jer-Tip-Emp'!B:E,4,0)</f>
        <v>Combos personales</v>
      </c>
      <c r="N129" t="str">
        <f>VLOOKUP(D129,'Jer-Tip-Emp'!B:F,5,0)</f>
        <v>Personal</v>
      </c>
      <c r="O129" t="str">
        <f>VLOOKUP(D129,'Jer-Tip-Emp'!B:G,6,0)</f>
        <v>Combo</v>
      </c>
    </row>
    <row r="130" spans="1:15" ht="27.5" hidden="1" customHeight="1" x14ac:dyDescent="0.2">
      <c r="A130">
        <v>2025</v>
      </c>
      <c r="B130" t="s">
        <v>598</v>
      </c>
      <c r="C130" t="s">
        <v>595</v>
      </c>
      <c r="D130" s="19" t="s">
        <v>296</v>
      </c>
      <c r="E130" s="18" t="s">
        <v>22</v>
      </c>
      <c r="F130" s="18">
        <v>3</v>
      </c>
      <c r="G130" s="20">
        <v>20700</v>
      </c>
      <c r="H130" s="18">
        <v>0</v>
      </c>
      <c r="I130" s="20">
        <v>2067</v>
      </c>
      <c r="J130" s="8">
        <f t="shared" ref="J130:J193" si="6">G130-I130</f>
        <v>18633</v>
      </c>
      <c r="K130" s="10">
        <f t="shared" ref="K130:K193" si="7">IFERROR(J130/G130,0)</f>
        <v>0.90014492753623188</v>
      </c>
      <c r="L130" s="17">
        <f t="shared" ref="L130:L193" si="8">IFERROR((H130/G130)*-1,0)</f>
        <v>0</v>
      </c>
      <c r="M130" t="str">
        <f>VLOOKUP(D130,'Jer-Tip-Emp'!B:E,4,0)</f>
        <v>Adición</v>
      </c>
      <c r="N130" t="str">
        <f>VLOOKUP(D130,'Jer-Tip-Emp'!B:F,5,0)</f>
        <v>Adición</v>
      </c>
      <c r="O130" t="str">
        <f>VLOOKUP(D130,'Jer-Tip-Emp'!B:G,6,0)</f>
        <v>Adición</v>
      </c>
    </row>
    <row r="131" spans="1:15" ht="27.5" customHeight="1" x14ac:dyDescent="0.2">
      <c r="A131">
        <v>2025</v>
      </c>
      <c r="B131" t="s">
        <v>598</v>
      </c>
      <c r="C131" t="s">
        <v>595</v>
      </c>
      <c r="D131" s="19" t="s">
        <v>206</v>
      </c>
      <c r="E131" s="18" t="s">
        <v>117</v>
      </c>
      <c r="F131" s="18">
        <v>3</v>
      </c>
      <c r="G131" s="20">
        <v>50700</v>
      </c>
      <c r="H131" s="18">
        <v>0</v>
      </c>
      <c r="I131" s="20">
        <v>21375</v>
      </c>
      <c r="J131" s="8">
        <f t="shared" si="6"/>
        <v>29325</v>
      </c>
      <c r="K131" s="10">
        <f t="shared" si="7"/>
        <v>0.57840236686390534</v>
      </c>
      <c r="L131" s="17">
        <f t="shared" si="8"/>
        <v>0</v>
      </c>
      <c r="M131" t="str">
        <f>VLOOKUP(D131,'Jer-Tip-Emp'!B:E,4,0)</f>
        <v>Platos especiales</v>
      </c>
      <c r="N131" t="str">
        <f>VLOOKUP(D131,'Jer-Tip-Emp'!B:F,5,0)</f>
        <v>Personal</v>
      </c>
      <c r="O131" t="str">
        <f>VLOOKUP(D131,'Jer-Tip-Emp'!B:G,6,0)</f>
        <v>Platos especiales</v>
      </c>
    </row>
    <row r="132" spans="1:15" ht="27.5" hidden="1" customHeight="1" x14ac:dyDescent="0.2">
      <c r="A132">
        <v>2025</v>
      </c>
      <c r="B132" t="s">
        <v>598</v>
      </c>
      <c r="C132" t="s">
        <v>595</v>
      </c>
      <c r="D132" s="19" t="s">
        <v>254</v>
      </c>
      <c r="E132" s="18" t="s">
        <v>20</v>
      </c>
      <c r="F132" s="18">
        <v>3</v>
      </c>
      <c r="G132" s="20">
        <v>14700</v>
      </c>
      <c r="H132" s="18">
        <v>0</v>
      </c>
      <c r="I132" s="20">
        <v>9030</v>
      </c>
      <c r="J132" s="8">
        <f t="shared" si="6"/>
        <v>5670</v>
      </c>
      <c r="K132" s="10">
        <f t="shared" si="7"/>
        <v>0.38571428571428573</v>
      </c>
      <c r="L132" s="17">
        <f t="shared" si="8"/>
        <v>0</v>
      </c>
      <c r="M132" t="str">
        <f>VLOOKUP(D132,'Jer-Tip-Emp'!B:E,4,0)</f>
        <v>Adición</v>
      </c>
      <c r="N132" t="str">
        <f>VLOOKUP(D132,'Jer-Tip-Emp'!B:F,5,0)</f>
        <v>Adición</v>
      </c>
      <c r="O132" t="str">
        <f>VLOOKUP(D132,'Jer-Tip-Emp'!B:G,6,0)</f>
        <v>Adición</v>
      </c>
    </row>
    <row r="133" spans="1:15" ht="27.5" customHeight="1" x14ac:dyDescent="0.2">
      <c r="A133">
        <v>2025</v>
      </c>
      <c r="B133" t="s">
        <v>598</v>
      </c>
      <c r="C133" t="s">
        <v>595</v>
      </c>
      <c r="D133" s="19" t="s">
        <v>261</v>
      </c>
      <c r="E133" s="18" t="s">
        <v>135</v>
      </c>
      <c r="F133" s="18">
        <v>3</v>
      </c>
      <c r="G133" s="20">
        <v>53700</v>
      </c>
      <c r="H133" s="18">
        <v>0</v>
      </c>
      <c r="I133" s="20">
        <v>16398</v>
      </c>
      <c r="J133" s="8">
        <f t="shared" si="6"/>
        <v>37302</v>
      </c>
      <c r="K133" s="10">
        <f t="shared" si="7"/>
        <v>0.69463687150837994</v>
      </c>
      <c r="L133" s="17">
        <f t="shared" si="8"/>
        <v>0</v>
      </c>
      <c r="M133" t="str">
        <f>VLOOKUP(D133,'Jer-Tip-Emp'!B:E,4,0)</f>
        <v>Platos mong</v>
      </c>
      <c r="N133" t="str">
        <f>VLOOKUP(D133,'Jer-Tip-Emp'!B:F,5,0)</f>
        <v>Personal</v>
      </c>
      <c r="O133" t="str">
        <f>VLOOKUP(D133,'Jer-Tip-Emp'!B:G,6,0)</f>
        <v>Caja</v>
      </c>
    </row>
    <row r="134" spans="1:15" ht="27.5" customHeight="1" x14ac:dyDescent="0.2">
      <c r="A134">
        <v>2025</v>
      </c>
      <c r="B134" t="s">
        <v>598</v>
      </c>
      <c r="C134" t="s">
        <v>595</v>
      </c>
      <c r="D134" s="19" t="s">
        <v>376</v>
      </c>
      <c r="E134" s="18" t="s">
        <v>543</v>
      </c>
      <c r="F134" s="18">
        <v>3</v>
      </c>
      <c r="G134" s="18">
        <v>0</v>
      </c>
      <c r="H134" s="18">
        <v>0</v>
      </c>
      <c r="I134" s="20">
        <v>3846</v>
      </c>
      <c r="J134" s="8">
        <f t="shared" si="6"/>
        <v>-3846</v>
      </c>
      <c r="K134" s="10">
        <f t="shared" si="7"/>
        <v>0</v>
      </c>
      <c r="L134" s="17">
        <f t="shared" si="8"/>
        <v>0</v>
      </c>
      <c r="M134" t="str">
        <f>VLOOKUP(D134,'Jer-Tip-Emp'!B:E,4,0)</f>
        <v>Arma tu plato</v>
      </c>
      <c r="N134" t="str">
        <f>VLOOKUP(D134,'Jer-Tip-Emp'!B:F,5,0)</f>
        <v>Personal</v>
      </c>
      <c r="O134" t="str">
        <f>VLOOKUP(D134,'Jer-Tip-Emp'!B:G,6,0)</f>
        <v>Caja</v>
      </c>
    </row>
    <row r="135" spans="1:15" ht="27.5" hidden="1" customHeight="1" x14ac:dyDescent="0.2">
      <c r="A135">
        <v>2025</v>
      </c>
      <c r="B135" t="s">
        <v>598</v>
      </c>
      <c r="C135" t="s">
        <v>595</v>
      </c>
      <c r="D135" s="19" t="s">
        <v>183</v>
      </c>
      <c r="E135" s="18" t="s">
        <v>104</v>
      </c>
      <c r="F135" s="18">
        <v>3</v>
      </c>
      <c r="G135" s="20">
        <v>31800</v>
      </c>
      <c r="H135" s="20">
        <v>-15900</v>
      </c>
      <c r="I135" s="20">
        <v>30084</v>
      </c>
      <c r="J135" s="8">
        <f t="shared" si="6"/>
        <v>1716</v>
      </c>
      <c r="K135" s="10">
        <f t="shared" si="7"/>
        <v>5.39622641509434E-2</v>
      </c>
      <c r="L135" s="17">
        <f t="shared" si="8"/>
        <v>0.5</v>
      </c>
      <c r="M135" t="str">
        <f>VLOOKUP(D135,'Jer-Tip-Emp'!B:E,4,0)</f>
        <v>Entradas</v>
      </c>
      <c r="N135" t="str">
        <f>VLOOKUP(D135,'Jer-Tip-Emp'!B:F,5,0)</f>
        <v>Otro</v>
      </c>
      <c r="O135" t="str">
        <f>VLOOKUP(D135,'Jer-Tip-Emp'!B:G,6,0)</f>
        <v>Otro</v>
      </c>
    </row>
    <row r="136" spans="1:15" ht="27.5" customHeight="1" x14ac:dyDescent="0.2">
      <c r="A136">
        <v>2025</v>
      </c>
      <c r="B136" t="s">
        <v>598</v>
      </c>
      <c r="C136" t="s">
        <v>595</v>
      </c>
      <c r="D136" s="19" t="s">
        <v>274</v>
      </c>
      <c r="E136" s="18" t="s">
        <v>91</v>
      </c>
      <c r="F136" s="18">
        <v>2</v>
      </c>
      <c r="G136" s="20">
        <v>103800</v>
      </c>
      <c r="H136" s="18">
        <v>0</v>
      </c>
      <c r="I136" s="20">
        <v>57630</v>
      </c>
      <c r="J136" s="8">
        <f t="shared" si="6"/>
        <v>46170</v>
      </c>
      <c r="K136" s="10">
        <f t="shared" si="7"/>
        <v>0.44479768786127166</v>
      </c>
      <c r="L136" s="17">
        <f t="shared" si="8"/>
        <v>0</v>
      </c>
      <c r="M136" t="str">
        <f>VLOOKUP(D136,'Jer-Tip-Emp'!B:E,4,0)</f>
        <v>Platos mong</v>
      </c>
      <c r="N136" t="str">
        <f>VLOOKUP(D136,'Jer-Tip-Emp'!B:F,5,0)</f>
        <v>No Personal</v>
      </c>
      <c r="O136" t="str">
        <f>VLOOKUP(D136,'Jer-Tip-Emp'!B:G,6,0)</f>
        <v>Caja</v>
      </c>
    </row>
    <row r="137" spans="1:15" ht="27.5" customHeight="1" x14ac:dyDescent="0.2">
      <c r="A137">
        <v>2025</v>
      </c>
      <c r="B137" t="s">
        <v>598</v>
      </c>
      <c r="C137" t="s">
        <v>595</v>
      </c>
      <c r="D137" s="19" t="s">
        <v>245</v>
      </c>
      <c r="E137" s="18" t="s">
        <v>167</v>
      </c>
      <c r="F137" s="18">
        <v>2</v>
      </c>
      <c r="G137" s="20">
        <v>38900</v>
      </c>
      <c r="H137" s="18">
        <v>-900</v>
      </c>
      <c r="I137" s="18">
        <v>0</v>
      </c>
      <c r="J137" s="8">
        <f t="shared" si="6"/>
        <v>38900</v>
      </c>
      <c r="K137" s="10">
        <f t="shared" si="7"/>
        <v>1</v>
      </c>
      <c r="L137" s="17">
        <f t="shared" si="8"/>
        <v>2.313624678663239E-2</v>
      </c>
      <c r="M137" t="str">
        <f>VLOOKUP(D137,'Jer-Tip-Emp'!B:E,4,0)</f>
        <v>Mong Express</v>
      </c>
      <c r="N137" t="str">
        <f>VLOOKUP(D137,'Jer-Tip-Emp'!B:F,5,0)</f>
        <v>Personal</v>
      </c>
      <c r="O137" t="str">
        <f>VLOOKUP(D137,'Jer-Tip-Emp'!B:G,6,0)</f>
        <v>Caja</v>
      </c>
    </row>
    <row r="138" spans="1:15" ht="27.5" hidden="1" customHeight="1" x14ac:dyDescent="0.2">
      <c r="A138">
        <v>2025</v>
      </c>
      <c r="B138" t="s">
        <v>598</v>
      </c>
      <c r="C138" t="s">
        <v>595</v>
      </c>
      <c r="D138" s="19" t="s">
        <v>275</v>
      </c>
      <c r="E138" s="18" t="s">
        <v>16</v>
      </c>
      <c r="F138" s="18">
        <v>2</v>
      </c>
      <c r="G138" s="20">
        <v>13800</v>
      </c>
      <c r="H138" s="18">
        <v>0</v>
      </c>
      <c r="I138" s="20">
        <v>4490</v>
      </c>
      <c r="J138" s="8">
        <f t="shared" si="6"/>
        <v>9310</v>
      </c>
      <c r="K138" s="10">
        <f t="shared" si="7"/>
        <v>0.67463768115942024</v>
      </c>
      <c r="L138" s="17">
        <f t="shared" si="8"/>
        <v>0</v>
      </c>
      <c r="M138" t="str">
        <f>VLOOKUP(D138,'Jer-Tip-Emp'!B:E,4,0)</f>
        <v>Adición</v>
      </c>
      <c r="N138" t="str">
        <f>VLOOKUP(D138,'Jer-Tip-Emp'!B:F,5,0)</f>
        <v>Adición</v>
      </c>
      <c r="O138" t="str">
        <f>VLOOKUP(D138,'Jer-Tip-Emp'!B:G,6,0)</f>
        <v>Adición</v>
      </c>
    </row>
    <row r="139" spans="1:15" ht="27.5" hidden="1" customHeight="1" x14ac:dyDescent="0.2">
      <c r="A139">
        <v>2025</v>
      </c>
      <c r="B139" t="s">
        <v>598</v>
      </c>
      <c r="C139" t="s">
        <v>595</v>
      </c>
      <c r="D139" s="19" t="s">
        <v>410</v>
      </c>
      <c r="E139" s="18" t="s">
        <v>559</v>
      </c>
      <c r="F139" s="18">
        <v>2</v>
      </c>
      <c r="G139" s="20">
        <v>4600</v>
      </c>
      <c r="H139" s="18">
        <v>0</v>
      </c>
      <c r="I139" s="20">
        <v>4470</v>
      </c>
      <c r="J139" s="8">
        <f t="shared" si="6"/>
        <v>130</v>
      </c>
      <c r="K139" s="10">
        <f t="shared" si="7"/>
        <v>2.8260869565217391E-2</v>
      </c>
      <c r="L139" s="17">
        <f t="shared" si="8"/>
        <v>0</v>
      </c>
      <c r="M139" t="str">
        <f>VLOOKUP(D139,'Jer-Tip-Emp'!B:E,4,0)</f>
        <v>Bebidas</v>
      </c>
      <c r="N139" t="str">
        <f>VLOOKUP(D139,'Jer-Tip-Emp'!B:F,5,0)</f>
        <v>Bebidas Cambio de bebida</v>
      </c>
      <c r="O139" t="str">
        <f>VLOOKUP(D139,'Jer-Tip-Emp'!B:G,6,0)</f>
        <v>Bebidas</v>
      </c>
    </row>
    <row r="140" spans="1:15" ht="27.5" customHeight="1" x14ac:dyDescent="0.2">
      <c r="A140">
        <v>2025</v>
      </c>
      <c r="B140" t="s">
        <v>598</v>
      </c>
      <c r="C140" t="s">
        <v>595</v>
      </c>
      <c r="D140" s="19" t="s">
        <v>204</v>
      </c>
      <c r="E140" s="18" t="s">
        <v>154</v>
      </c>
      <c r="F140" s="18">
        <v>2</v>
      </c>
      <c r="G140" s="20">
        <v>85800</v>
      </c>
      <c r="H140" s="18">
        <v>0</v>
      </c>
      <c r="I140" s="20">
        <v>38882</v>
      </c>
      <c r="J140" s="8">
        <f t="shared" si="6"/>
        <v>46918</v>
      </c>
      <c r="K140" s="10">
        <f t="shared" si="7"/>
        <v>0.54682983682983688</v>
      </c>
      <c r="L140" s="17">
        <f t="shared" si="8"/>
        <v>0</v>
      </c>
      <c r="M140" t="str">
        <f>VLOOKUP(D140,'Jer-Tip-Emp'!B:E,4,0)</f>
        <v>Platos mong</v>
      </c>
      <c r="N140" t="str">
        <f>VLOOKUP(D140,'Jer-Tip-Emp'!B:F,5,0)</f>
        <v>No Personal</v>
      </c>
      <c r="O140" t="str">
        <f>VLOOKUP(D140,'Jer-Tip-Emp'!B:G,6,0)</f>
        <v>Caja</v>
      </c>
    </row>
    <row r="141" spans="1:15" ht="27.5" hidden="1" customHeight="1" x14ac:dyDescent="0.2">
      <c r="A141">
        <v>2025</v>
      </c>
      <c r="B141" t="s">
        <v>598</v>
      </c>
      <c r="C141" t="s">
        <v>595</v>
      </c>
      <c r="D141" s="19" t="s">
        <v>409</v>
      </c>
      <c r="E141" s="18" t="s">
        <v>64</v>
      </c>
      <c r="F141" s="18">
        <v>2</v>
      </c>
      <c r="G141" s="20">
        <v>16000</v>
      </c>
      <c r="H141" s="18">
        <v>0</v>
      </c>
      <c r="I141" s="18">
        <v>0</v>
      </c>
      <c r="J141" s="8">
        <f t="shared" si="6"/>
        <v>16000</v>
      </c>
      <c r="K141" s="10">
        <f t="shared" si="7"/>
        <v>1</v>
      </c>
      <c r="L141" s="17">
        <f t="shared" si="8"/>
        <v>0</v>
      </c>
      <c r="M141" t="str">
        <f>VLOOKUP(D141,'Jer-Tip-Emp'!B:E,4,0)</f>
        <v>Bebidas</v>
      </c>
      <c r="N141" t="str">
        <f>VLOOKUP(D141,'Jer-Tip-Emp'!B:F,5,0)</f>
        <v>Bebidas</v>
      </c>
      <c r="O141" t="str">
        <f>VLOOKUP(D141,'Jer-Tip-Emp'!B:G,6,0)</f>
        <v>Bebidas</v>
      </c>
    </row>
    <row r="142" spans="1:15" ht="27.5" customHeight="1" x14ac:dyDescent="0.2">
      <c r="A142">
        <v>2025</v>
      </c>
      <c r="B142" t="s">
        <v>598</v>
      </c>
      <c r="C142" t="s">
        <v>595</v>
      </c>
      <c r="D142" s="19" t="s">
        <v>260</v>
      </c>
      <c r="E142" s="18" t="s">
        <v>97</v>
      </c>
      <c r="F142" s="18">
        <v>2</v>
      </c>
      <c r="G142" s="20">
        <v>95800</v>
      </c>
      <c r="H142" s="18">
        <v>0</v>
      </c>
      <c r="I142" s="20">
        <v>41822</v>
      </c>
      <c r="J142" s="8">
        <f t="shared" si="6"/>
        <v>53978</v>
      </c>
      <c r="K142" s="10">
        <f t="shared" si="7"/>
        <v>0.56344467640918583</v>
      </c>
      <c r="L142" s="17">
        <f t="shared" si="8"/>
        <v>0</v>
      </c>
      <c r="M142" t="str">
        <f>VLOOKUP(D142,'Jer-Tip-Emp'!B:E,4,0)</f>
        <v>Platos mong</v>
      </c>
      <c r="N142" t="str">
        <f>VLOOKUP(D142,'Jer-Tip-Emp'!B:F,5,0)</f>
        <v>No Personal</v>
      </c>
      <c r="O142" t="str">
        <f>VLOOKUP(D142,'Jer-Tip-Emp'!B:G,6,0)</f>
        <v>Caja</v>
      </c>
    </row>
    <row r="143" spans="1:15" ht="27.5" customHeight="1" x14ac:dyDescent="0.2">
      <c r="A143">
        <v>2025</v>
      </c>
      <c r="B143" t="s">
        <v>598</v>
      </c>
      <c r="C143" t="s">
        <v>595</v>
      </c>
      <c r="D143" s="19" t="s">
        <v>290</v>
      </c>
      <c r="E143" s="18" t="s">
        <v>86</v>
      </c>
      <c r="F143" s="18">
        <v>2</v>
      </c>
      <c r="G143" s="20">
        <v>193800</v>
      </c>
      <c r="H143" s="18">
        <v>0</v>
      </c>
      <c r="I143" s="20">
        <v>93560</v>
      </c>
      <c r="J143" s="8">
        <f t="shared" si="6"/>
        <v>100240</v>
      </c>
      <c r="K143" s="10">
        <f t="shared" si="7"/>
        <v>0.51723426212590295</v>
      </c>
      <c r="L143" s="17">
        <f t="shared" si="8"/>
        <v>0</v>
      </c>
      <c r="M143" t="str">
        <f>VLOOKUP(D143,'Jer-Tip-Emp'!B:E,4,0)</f>
        <v>Combos para compartir</v>
      </c>
      <c r="N143" t="str">
        <f>VLOOKUP(D143,'Jer-Tip-Emp'!B:F,5,0)</f>
        <v>No Personal</v>
      </c>
      <c r="O143" t="str">
        <f>VLOOKUP(D143,'Jer-Tip-Emp'!B:G,6,0)</f>
        <v>Combo</v>
      </c>
    </row>
    <row r="144" spans="1:15" ht="27.5" customHeight="1" x14ac:dyDescent="0.2">
      <c r="A144">
        <v>2025</v>
      </c>
      <c r="B144" t="s">
        <v>598</v>
      </c>
      <c r="C144" t="s">
        <v>595</v>
      </c>
      <c r="D144" s="19" t="s">
        <v>226</v>
      </c>
      <c r="E144" s="18" t="s">
        <v>227</v>
      </c>
      <c r="F144" s="18">
        <v>2</v>
      </c>
      <c r="G144" s="20">
        <v>101800</v>
      </c>
      <c r="H144" s="18">
        <v>0</v>
      </c>
      <c r="I144" s="20">
        <v>42234</v>
      </c>
      <c r="J144" s="8">
        <f t="shared" si="6"/>
        <v>59566</v>
      </c>
      <c r="K144" s="10">
        <f t="shared" si="7"/>
        <v>0.58512770137524561</v>
      </c>
      <c r="L144" s="17">
        <f t="shared" si="8"/>
        <v>0</v>
      </c>
      <c r="M144" t="str">
        <f>VLOOKUP(D144,'Jer-Tip-Emp'!B:E,4,0)</f>
        <v>Platos mong</v>
      </c>
      <c r="N144" t="str">
        <f>VLOOKUP(D144,'Jer-Tip-Emp'!B:F,5,0)</f>
        <v>No Personal</v>
      </c>
      <c r="O144" t="str">
        <f>VLOOKUP(D144,'Jer-Tip-Emp'!B:G,6,0)</f>
        <v>Caja</v>
      </c>
    </row>
    <row r="145" spans="1:15" ht="27.5" hidden="1" customHeight="1" x14ac:dyDescent="0.2">
      <c r="A145">
        <v>2025</v>
      </c>
      <c r="B145" t="s">
        <v>598</v>
      </c>
      <c r="C145" t="s">
        <v>595</v>
      </c>
      <c r="D145" s="19" t="s">
        <v>218</v>
      </c>
      <c r="E145" s="18" t="s">
        <v>33</v>
      </c>
      <c r="F145" s="18">
        <v>2</v>
      </c>
      <c r="G145" s="20">
        <v>15800</v>
      </c>
      <c r="H145" s="18">
        <v>0</v>
      </c>
      <c r="I145" s="18">
        <v>0</v>
      </c>
      <c r="J145" s="8">
        <f t="shared" si="6"/>
        <v>15800</v>
      </c>
      <c r="K145" s="10">
        <f t="shared" si="7"/>
        <v>1</v>
      </c>
      <c r="L145" s="17">
        <f t="shared" si="8"/>
        <v>0</v>
      </c>
      <c r="M145" t="str">
        <f>VLOOKUP(D145,'Jer-Tip-Emp'!B:E,4,0)</f>
        <v>Adición</v>
      </c>
      <c r="N145" t="str">
        <f>VLOOKUP(D145,'Jer-Tip-Emp'!B:F,5,0)</f>
        <v>Adición</v>
      </c>
      <c r="O145" t="str">
        <f>VLOOKUP(D145,'Jer-Tip-Emp'!B:G,6,0)</f>
        <v>Adición</v>
      </c>
    </row>
    <row r="146" spans="1:15" ht="27.5" hidden="1" customHeight="1" x14ac:dyDescent="0.2">
      <c r="A146">
        <v>2025</v>
      </c>
      <c r="B146" t="s">
        <v>598</v>
      </c>
      <c r="C146" t="s">
        <v>595</v>
      </c>
      <c r="D146" s="19" t="s">
        <v>337</v>
      </c>
      <c r="E146" s="18" t="s">
        <v>58</v>
      </c>
      <c r="F146" s="18">
        <v>2</v>
      </c>
      <c r="G146" s="20">
        <v>9800</v>
      </c>
      <c r="H146" s="18">
        <v>0</v>
      </c>
      <c r="I146" s="20">
        <v>3120</v>
      </c>
      <c r="J146" s="8">
        <f t="shared" si="6"/>
        <v>6680</v>
      </c>
      <c r="K146" s="10">
        <f t="shared" si="7"/>
        <v>0.68163265306122445</v>
      </c>
      <c r="L146" s="17">
        <f t="shared" si="8"/>
        <v>0</v>
      </c>
      <c r="M146" t="str">
        <f>VLOOKUP(D146,'Jer-Tip-Emp'!B:E,4,0)</f>
        <v>Bebidas</v>
      </c>
      <c r="N146" t="str">
        <f>VLOOKUP(D146,'Jer-Tip-Emp'!B:F,5,0)</f>
        <v>Bebidas</v>
      </c>
      <c r="O146" t="str">
        <f>VLOOKUP(D146,'Jer-Tip-Emp'!B:G,6,0)</f>
        <v>Bebidas</v>
      </c>
    </row>
    <row r="147" spans="1:15" ht="27.5" customHeight="1" x14ac:dyDescent="0.2">
      <c r="A147">
        <v>2025</v>
      </c>
      <c r="B147" t="s">
        <v>598</v>
      </c>
      <c r="C147" t="s">
        <v>595</v>
      </c>
      <c r="D147" s="19" t="s">
        <v>251</v>
      </c>
      <c r="E147" s="18" t="s">
        <v>123</v>
      </c>
      <c r="F147" s="18">
        <v>1</v>
      </c>
      <c r="G147" s="20">
        <v>59900</v>
      </c>
      <c r="H147" s="18">
        <v>0</v>
      </c>
      <c r="I147" s="20">
        <v>33677</v>
      </c>
      <c r="J147" s="8">
        <f t="shared" si="6"/>
        <v>26223</v>
      </c>
      <c r="K147" s="10">
        <f t="shared" si="7"/>
        <v>0.43777963272120202</v>
      </c>
      <c r="L147" s="17">
        <f t="shared" si="8"/>
        <v>0</v>
      </c>
      <c r="M147" t="str">
        <f>VLOOKUP(D147,'Jer-Tip-Emp'!B:E,4,0)</f>
        <v>Platos mong</v>
      </c>
      <c r="N147" t="str">
        <f>VLOOKUP(D147,'Jer-Tip-Emp'!B:F,5,0)</f>
        <v>No Personal</v>
      </c>
      <c r="O147" t="str">
        <f>VLOOKUP(D147,'Jer-Tip-Emp'!B:G,6,0)</f>
        <v>Caja</v>
      </c>
    </row>
    <row r="148" spans="1:15" ht="27.5" customHeight="1" x14ac:dyDescent="0.2">
      <c r="A148">
        <v>2025</v>
      </c>
      <c r="B148" t="s">
        <v>598</v>
      </c>
      <c r="C148" t="s">
        <v>595</v>
      </c>
      <c r="D148" s="19" t="s">
        <v>283</v>
      </c>
      <c r="E148" s="18" t="s">
        <v>80</v>
      </c>
      <c r="F148" s="18">
        <v>1</v>
      </c>
      <c r="G148" s="20">
        <v>21900</v>
      </c>
      <c r="H148" s="18">
        <v>0</v>
      </c>
      <c r="I148" s="18">
        <v>0</v>
      </c>
      <c r="J148" s="8">
        <f t="shared" si="6"/>
        <v>21900</v>
      </c>
      <c r="K148" s="10">
        <f t="shared" si="7"/>
        <v>1</v>
      </c>
      <c r="L148" s="17">
        <f t="shared" si="8"/>
        <v>0</v>
      </c>
      <c r="M148" t="str">
        <f>VLOOKUP(D148,'Jer-Tip-Emp'!B:E,4,0)</f>
        <v>Bowl</v>
      </c>
      <c r="N148" t="str">
        <f>VLOOKUP(D148,'Jer-Tip-Emp'!B:F,5,0)</f>
        <v>Personal</v>
      </c>
      <c r="O148" t="str">
        <f>VLOOKUP(D148,'Jer-Tip-Emp'!B:G,6,0)</f>
        <v>Bowl</v>
      </c>
    </row>
    <row r="149" spans="1:15" ht="27.5" customHeight="1" x14ac:dyDescent="0.2">
      <c r="A149">
        <v>2025</v>
      </c>
      <c r="B149" t="s">
        <v>598</v>
      </c>
      <c r="C149" t="s">
        <v>595</v>
      </c>
      <c r="D149" s="19" t="s">
        <v>298</v>
      </c>
      <c r="E149" s="18" t="s">
        <v>153</v>
      </c>
      <c r="F149" s="18">
        <v>1</v>
      </c>
      <c r="G149" s="20">
        <v>20900</v>
      </c>
      <c r="H149" s="18">
        <v>0</v>
      </c>
      <c r="I149" s="20">
        <v>8521</v>
      </c>
      <c r="J149" s="8">
        <f t="shared" si="6"/>
        <v>12379</v>
      </c>
      <c r="K149" s="10">
        <f t="shared" si="7"/>
        <v>0.59229665071770332</v>
      </c>
      <c r="L149" s="17">
        <f t="shared" si="8"/>
        <v>0</v>
      </c>
      <c r="M149" t="str">
        <f>VLOOKUP(D149,'Jer-Tip-Emp'!B:E,4,0)</f>
        <v>Platos mong</v>
      </c>
      <c r="N149" t="str">
        <f>VLOOKUP(D149,'Jer-Tip-Emp'!B:F,5,0)</f>
        <v>Personal</v>
      </c>
      <c r="O149" t="str">
        <f>VLOOKUP(D149,'Jer-Tip-Emp'!B:G,6,0)</f>
        <v>Caja</v>
      </c>
    </row>
    <row r="150" spans="1:15" ht="27.5" customHeight="1" x14ac:dyDescent="0.2">
      <c r="A150">
        <v>2025</v>
      </c>
      <c r="B150" t="s">
        <v>598</v>
      </c>
      <c r="C150" t="s">
        <v>595</v>
      </c>
      <c r="D150" s="19" t="s">
        <v>232</v>
      </c>
      <c r="E150" s="18" t="s">
        <v>94</v>
      </c>
      <c r="F150" s="18">
        <v>1</v>
      </c>
      <c r="G150" s="20">
        <v>17975</v>
      </c>
      <c r="H150" s="20">
        <v>-4925</v>
      </c>
      <c r="I150" s="20">
        <v>9404</v>
      </c>
      <c r="J150" s="8">
        <f t="shared" si="6"/>
        <v>8571</v>
      </c>
      <c r="K150" s="10">
        <f t="shared" si="7"/>
        <v>0.47682892906815022</v>
      </c>
      <c r="L150" s="17">
        <f t="shared" si="8"/>
        <v>0.27399165507649514</v>
      </c>
      <c r="M150" t="str">
        <f>VLOOKUP(D150,'Jer-Tip-Emp'!B:E,4,0)</f>
        <v>Platos mong</v>
      </c>
      <c r="N150" t="str">
        <f>VLOOKUP(D150,'Jer-Tip-Emp'!B:F,5,0)</f>
        <v>Personal</v>
      </c>
      <c r="O150" t="str">
        <f>VLOOKUP(D150,'Jer-Tip-Emp'!B:G,6,0)</f>
        <v>Caja</v>
      </c>
    </row>
    <row r="151" spans="1:15" ht="27.5" customHeight="1" x14ac:dyDescent="0.2">
      <c r="A151">
        <v>2025</v>
      </c>
      <c r="B151" t="s">
        <v>598</v>
      </c>
      <c r="C151" t="s">
        <v>595</v>
      </c>
      <c r="D151" s="19" t="s">
        <v>216</v>
      </c>
      <c r="E151" s="18" t="s">
        <v>158</v>
      </c>
      <c r="F151" s="18">
        <v>1</v>
      </c>
      <c r="G151" s="20">
        <v>34900</v>
      </c>
      <c r="H151" s="18">
        <v>0</v>
      </c>
      <c r="I151" s="20">
        <v>15895</v>
      </c>
      <c r="J151" s="8">
        <f t="shared" si="6"/>
        <v>19005</v>
      </c>
      <c r="K151" s="10">
        <f t="shared" si="7"/>
        <v>0.54455587392550142</v>
      </c>
      <c r="L151" s="17">
        <f t="shared" si="8"/>
        <v>0</v>
      </c>
      <c r="M151" t="str">
        <f>VLOOKUP(D151,'Jer-Tip-Emp'!B:E,4,0)</f>
        <v>Platos mong</v>
      </c>
      <c r="N151" t="str">
        <f>VLOOKUP(D151,'Jer-Tip-Emp'!B:F,5,0)</f>
        <v>No Personal</v>
      </c>
      <c r="O151" t="str">
        <f>VLOOKUP(D151,'Jer-Tip-Emp'!B:G,6,0)</f>
        <v>Caja</v>
      </c>
    </row>
    <row r="152" spans="1:15" ht="27.5" hidden="1" customHeight="1" x14ac:dyDescent="0.2">
      <c r="A152">
        <v>2025</v>
      </c>
      <c r="B152" t="s">
        <v>598</v>
      </c>
      <c r="C152" t="s">
        <v>595</v>
      </c>
      <c r="D152" s="19" t="s">
        <v>465</v>
      </c>
      <c r="E152" s="18" t="s">
        <v>578</v>
      </c>
      <c r="F152" s="18">
        <v>1</v>
      </c>
      <c r="G152" s="20">
        <v>2300</v>
      </c>
      <c r="H152" s="18">
        <v>0</v>
      </c>
      <c r="I152" s="20">
        <v>2239</v>
      </c>
      <c r="J152" s="8">
        <f t="shared" si="6"/>
        <v>61</v>
      </c>
      <c r="K152" s="10">
        <f t="shared" si="7"/>
        <v>2.6521739130434784E-2</v>
      </c>
      <c r="L152" s="17">
        <f t="shared" si="8"/>
        <v>0</v>
      </c>
      <c r="M152" t="str">
        <f>VLOOKUP(D152,'Jer-Tip-Emp'!B:E,4,0)</f>
        <v>Bebidas</v>
      </c>
      <c r="N152" t="str">
        <f>VLOOKUP(D152,'Jer-Tip-Emp'!B:F,5,0)</f>
        <v>Bebidas Cambio de bebida</v>
      </c>
      <c r="O152" t="str">
        <f>VLOOKUP(D152,'Jer-Tip-Emp'!B:G,6,0)</f>
        <v>Bebidas</v>
      </c>
    </row>
    <row r="153" spans="1:15" ht="27.5" customHeight="1" x14ac:dyDescent="0.2">
      <c r="A153">
        <v>2025</v>
      </c>
      <c r="B153" t="s">
        <v>598</v>
      </c>
      <c r="C153" t="s">
        <v>595</v>
      </c>
      <c r="D153" s="19" t="s">
        <v>279</v>
      </c>
      <c r="E153" s="18" t="s">
        <v>132</v>
      </c>
      <c r="F153" s="18">
        <v>1</v>
      </c>
      <c r="G153" s="20">
        <v>34900</v>
      </c>
      <c r="H153" s="18">
        <v>0</v>
      </c>
      <c r="I153" s="20">
        <v>11217</v>
      </c>
      <c r="J153" s="8">
        <f t="shared" si="6"/>
        <v>23683</v>
      </c>
      <c r="K153" s="10">
        <f t="shared" si="7"/>
        <v>0.67859598853868197</v>
      </c>
      <c r="L153" s="17">
        <f t="shared" si="8"/>
        <v>0</v>
      </c>
      <c r="M153" t="str">
        <f>VLOOKUP(D153,'Jer-Tip-Emp'!B:E,4,0)</f>
        <v>Platos mong</v>
      </c>
      <c r="N153" t="str">
        <f>VLOOKUP(D153,'Jer-Tip-Emp'!B:F,5,0)</f>
        <v>No Personal</v>
      </c>
      <c r="O153" t="str">
        <f>VLOOKUP(D153,'Jer-Tip-Emp'!B:G,6,0)</f>
        <v>Caja</v>
      </c>
    </row>
    <row r="154" spans="1:15" ht="27.5" customHeight="1" x14ac:dyDescent="0.2">
      <c r="A154">
        <v>2025</v>
      </c>
      <c r="B154" t="s">
        <v>598</v>
      </c>
      <c r="C154" t="s">
        <v>595</v>
      </c>
      <c r="D154" s="19" t="s">
        <v>191</v>
      </c>
      <c r="E154" s="18" t="s">
        <v>136</v>
      </c>
      <c r="F154" s="18">
        <v>1</v>
      </c>
      <c r="G154" s="20">
        <v>29900</v>
      </c>
      <c r="H154" s="18">
        <v>0</v>
      </c>
      <c r="I154" s="20">
        <v>11810</v>
      </c>
      <c r="J154" s="8">
        <f t="shared" si="6"/>
        <v>18090</v>
      </c>
      <c r="K154" s="10">
        <f t="shared" si="7"/>
        <v>0.60501672240802673</v>
      </c>
      <c r="L154" s="17">
        <f t="shared" si="8"/>
        <v>0</v>
      </c>
      <c r="M154" t="str">
        <f>VLOOKUP(D154,'Jer-Tip-Emp'!B:E,4,0)</f>
        <v>Platos mong</v>
      </c>
      <c r="N154" t="str">
        <f>VLOOKUP(D154,'Jer-Tip-Emp'!B:F,5,0)</f>
        <v>No Personal</v>
      </c>
      <c r="O154" t="str">
        <f>VLOOKUP(D154,'Jer-Tip-Emp'!B:G,6,0)</f>
        <v>Caja</v>
      </c>
    </row>
    <row r="155" spans="1:15" ht="27.5" customHeight="1" x14ac:dyDescent="0.2">
      <c r="A155">
        <v>2025</v>
      </c>
      <c r="B155" t="s">
        <v>598</v>
      </c>
      <c r="C155" t="s">
        <v>595</v>
      </c>
      <c r="D155" s="19" t="s">
        <v>199</v>
      </c>
      <c r="E155" s="18" t="s">
        <v>115</v>
      </c>
      <c r="F155" s="18">
        <v>1</v>
      </c>
      <c r="G155" s="20">
        <v>11900</v>
      </c>
      <c r="H155" s="18">
        <v>0</v>
      </c>
      <c r="I155" s="18">
        <v>0</v>
      </c>
      <c r="J155" s="8">
        <f t="shared" si="6"/>
        <v>11900</v>
      </c>
      <c r="K155" s="10">
        <f t="shared" si="7"/>
        <v>1</v>
      </c>
      <c r="L155" s="17">
        <f t="shared" si="8"/>
        <v>0</v>
      </c>
      <c r="M155" t="str">
        <f>VLOOKUP(D155,'Jer-Tip-Emp'!B:E,4,0)</f>
        <v>Platos especiales</v>
      </c>
      <c r="N155" t="str">
        <f>VLOOKUP(D155,'Jer-Tip-Emp'!B:F,5,0)</f>
        <v>Personal</v>
      </c>
      <c r="O155" t="str">
        <f>VLOOKUP(D155,'Jer-Tip-Emp'!B:G,6,0)</f>
        <v>Platos especiales</v>
      </c>
    </row>
    <row r="156" spans="1:15" ht="27.5" hidden="1" customHeight="1" x14ac:dyDescent="0.2">
      <c r="A156">
        <v>2025</v>
      </c>
      <c r="B156" t="s">
        <v>598</v>
      </c>
      <c r="C156" t="s">
        <v>595</v>
      </c>
      <c r="D156" s="19" t="s">
        <v>321</v>
      </c>
      <c r="E156" s="18" t="s">
        <v>72</v>
      </c>
      <c r="F156" s="18">
        <v>1</v>
      </c>
      <c r="G156" s="20">
        <v>4900</v>
      </c>
      <c r="H156" s="18">
        <v>0</v>
      </c>
      <c r="I156" s="20">
        <v>1330</v>
      </c>
      <c r="J156" s="8">
        <f t="shared" si="6"/>
        <v>3570</v>
      </c>
      <c r="K156" s="10">
        <f t="shared" si="7"/>
        <v>0.72857142857142854</v>
      </c>
      <c r="L156" s="17">
        <f t="shared" si="8"/>
        <v>0</v>
      </c>
      <c r="M156" t="str">
        <f>VLOOKUP(D156,'Jer-Tip-Emp'!B:E,4,0)</f>
        <v>Bebidas</v>
      </c>
      <c r="N156" t="str">
        <f>VLOOKUP(D156,'Jer-Tip-Emp'!B:F,5,0)</f>
        <v>Bebidas</v>
      </c>
      <c r="O156" t="str">
        <f>VLOOKUP(D156,'Jer-Tip-Emp'!B:G,6,0)</f>
        <v>Bebidas</v>
      </c>
    </row>
    <row r="157" spans="1:15" ht="27.5" customHeight="1" x14ac:dyDescent="0.2">
      <c r="A157">
        <v>2025</v>
      </c>
      <c r="B157" t="s">
        <v>598</v>
      </c>
      <c r="C157" t="s">
        <v>595</v>
      </c>
      <c r="D157" s="19" t="s">
        <v>179</v>
      </c>
      <c r="E157" s="18" t="s">
        <v>76</v>
      </c>
      <c r="F157" s="18">
        <v>1</v>
      </c>
      <c r="G157" s="18">
        <v>0</v>
      </c>
      <c r="H157" s="20">
        <v>-18900</v>
      </c>
      <c r="I157" s="18">
        <v>0</v>
      </c>
      <c r="J157" s="8">
        <f t="shared" si="6"/>
        <v>0</v>
      </c>
      <c r="K157" s="10">
        <f t="shared" si="7"/>
        <v>0</v>
      </c>
      <c r="L157" s="17">
        <f t="shared" si="8"/>
        <v>0</v>
      </c>
      <c r="M157" t="str">
        <f>VLOOKUP(D157,'Jer-Tip-Emp'!B:E,4,0)</f>
        <v>Bowl</v>
      </c>
      <c r="N157" t="str">
        <f>VLOOKUP(D157,'Jer-Tip-Emp'!B:F,5,0)</f>
        <v>Personal</v>
      </c>
      <c r="O157" t="str">
        <f>VLOOKUP(D157,'Jer-Tip-Emp'!B:G,6,0)</f>
        <v>Bowl</v>
      </c>
    </row>
    <row r="158" spans="1:15" ht="27.5" customHeight="1" x14ac:dyDescent="0.2">
      <c r="A158">
        <v>2025</v>
      </c>
      <c r="B158" t="s">
        <v>598</v>
      </c>
      <c r="C158" t="s">
        <v>595</v>
      </c>
      <c r="D158" s="19" t="s">
        <v>267</v>
      </c>
      <c r="E158" s="18" t="s">
        <v>77</v>
      </c>
      <c r="F158" s="18">
        <v>1</v>
      </c>
      <c r="G158" s="18">
        <v>0</v>
      </c>
      <c r="H158" s="20">
        <v>-17900</v>
      </c>
      <c r="I158" s="18">
        <v>0</v>
      </c>
      <c r="J158" s="8">
        <f t="shared" si="6"/>
        <v>0</v>
      </c>
      <c r="K158" s="10">
        <f t="shared" si="7"/>
        <v>0</v>
      </c>
      <c r="L158" s="17">
        <f t="shared" si="8"/>
        <v>0</v>
      </c>
      <c r="M158" t="str">
        <f>VLOOKUP(D158,'Jer-Tip-Emp'!B:E,4,0)</f>
        <v>Bowl</v>
      </c>
      <c r="N158" t="str">
        <f>VLOOKUP(D158,'Jer-Tip-Emp'!B:F,5,0)</f>
        <v>Personal</v>
      </c>
      <c r="O158" t="str">
        <f>VLOOKUP(D158,'Jer-Tip-Emp'!B:G,6,0)</f>
        <v>Bowl</v>
      </c>
    </row>
    <row r="159" spans="1:15" ht="27.5" customHeight="1" x14ac:dyDescent="0.2">
      <c r="A159">
        <v>2025</v>
      </c>
      <c r="B159" t="s">
        <v>598</v>
      </c>
      <c r="C159" t="s">
        <v>595</v>
      </c>
      <c r="D159" s="19" t="s">
        <v>217</v>
      </c>
      <c r="E159" s="18" t="s">
        <v>74</v>
      </c>
      <c r="F159" s="18">
        <v>1</v>
      </c>
      <c r="G159" s="18">
        <v>0</v>
      </c>
      <c r="H159" s="20">
        <v>-17900</v>
      </c>
      <c r="I159" s="18">
        <v>0</v>
      </c>
      <c r="J159" s="8">
        <f t="shared" si="6"/>
        <v>0</v>
      </c>
      <c r="K159" s="10">
        <f t="shared" si="7"/>
        <v>0</v>
      </c>
      <c r="L159" s="17">
        <f t="shared" si="8"/>
        <v>0</v>
      </c>
      <c r="M159" t="str">
        <f>VLOOKUP(D159,'Jer-Tip-Emp'!B:E,4,0)</f>
        <v>Bowl</v>
      </c>
      <c r="N159" t="str">
        <f>VLOOKUP(D159,'Jer-Tip-Emp'!B:F,5,0)</f>
        <v>Personal</v>
      </c>
      <c r="O159" t="str">
        <f>VLOOKUP(D159,'Jer-Tip-Emp'!B:G,6,0)</f>
        <v>Bowl</v>
      </c>
    </row>
    <row r="160" spans="1:15" ht="27.5" hidden="1" customHeight="1" x14ac:dyDescent="0.2">
      <c r="A160">
        <v>2025</v>
      </c>
      <c r="B160" t="s">
        <v>598</v>
      </c>
      <c r="C160" t="s">
        <v>595</v>
      </c>
      <c r="D160" s="19" t="s">
        <v>336</v>
      </c>
      <c r="E160" s="18" t="s">
        <v>60</v>
      </c>
      <c r="F160" s="18">
        <v>1</v>
      </c>
      <c r="G160" s="20">
        <v>4900</v>
      </c>
      <c r="H160" s="18">
        <v>0</v>
      </c>
      <c r="I160" s="20">
        <v>1560</v>
      </c>
      <c r="J160" s="8">
        <f t="shared" si="6"/>
        <v>3340</v>
      </c>
      <c r="K160" s="10">
        <f t="shared" si="7"/>
        <v>0.68163265306122445</v>
      </c>
      <c r="L160" s="17">
        <f t="shared" si="8"/>
        <v>0</v>
      </c>
      <c r="M160" t="str">
        <f>VLOOKUP(D160,'Jer-Tip-Emp'!B:E,4,0)</f>
        <v>Bebidas</v>
      </c>
      <c r="N160" t="str">
        <f>VLOOKUP(D160,'Jer-Tip-Emp'!B:F,5,0)</f>
        <v>Bebidas</v>
      </c>
      <c r="O160" t="str">
        <f>VLOOKUP(D160,'Jer-Tip-Emp'!B:G,6,0)</f>
        <v>Bebidas</v>
      </c>
    </row>
    <row r="161" spans="1:15" ht="27.5" hidden="1" customHeight="1" x14ac:dyDescent="0.2">
      <c r="A161">
        <v>2025</v>
      </c>
      <c r="B161" t="s">
        <v>598</v>
      </c>
      <c r="C161" t="s">
        <v>595</v>
      </c>
      <c r="D161" s="19" t="s">
        <v>450</v>
      </c>
      <c r="E161" s="18" t="s">
        <v>565</v>
      </c>
      <c r="F161" s="18">
        <v>1</v>
      </c>
      <c r="G161" s="20">
        <v>1600</v>
      </c>
      <c r="H161" s="18">
        <v>0</v>
      </c>
      <c r="I161" s="20">
        <v>1874</v>
      </c>
      <c r="J161" s="8">
        <f t="shared" si="6"/>
        <v>-274</v>
      </c>
      <c r="K161" s="10">
        <f t="shared" si="7"/>
        <v>-0.17125000000000001</v>
      </c>
      <c r="L161" s="17">
        <f t="shared" si="8"/>
        <v>0</v>
      </c>
      <c r="M161" t="str">
        <f>VLOOKUP(D161,'Jer-Tip-Emp'!B:E,4,0)</f>
        <v>Bebidas</v>
      </c>
      <c r="N161" t="str">
        <f>VLOOKUP(D161,'Jer-Tip-Emp'!B:F,5,0)</f>
        <v>Bebidas Cambio de bebida</v>
      </c>
      <c r="O161" t="str">
        <f>VLOOKUP(D161,'Jer-Tip-Emp'!B:G,6,0)</f>
        <v>Bebidas</v>
      </c>
    </row>
    <row r="162" spans="1:15" ht="27.5" hidden="1" customHeight="1" x14ac:dyDescent="0.2">
      <c r="A162">
        <v>2025</v>
      </c>
      <c r="B162" t="s">
        <v>598</v>
      </c>
      <c r="C162" t="s">
        <v>595</v>
      </c>
      <c r="D162" s="19" t="s">
        <v>209</v>
      </c>
      <c r="E162" s="18" t="s">
        <v>210</v>
      </c>
      <c r="F162" s="18">
        <v>1</v>
      </c>
      <c r="G162" s="20">
        <v>359088</v>
      </c>
      <c r="H162" s="18">
        <v>0</v>
      </c>
      <c r="I162" s="18">
        <v>0</v>
      </c>
      <c r="J162" s="8">
        <f t="shared" si="6"/>
        <v>359088</v>
      </c>
      <c r="K162" s="10">
        <f t="shared" si="7"/>
        <v>1</v>
      </c>
      <c r="L162" s="17">
        <f t="shared" si="8"/>
        <v>0</v>
      </c>
      <c r="M162" t="str">
        <f>VLOOKUP(D162,'Jer-Tip-Emp'!B:E,4,0)</f>
        <v>Otro</v>
      </c>
      <c r="N162" t="str">
        <f>VLOOKUP(D162,'Jer-Tip-Emp'!B:F,5,0)</f>
        <v>Otro</v>
      </c>
      <c r="O162" t="str">
        <f>VLOOKUP(D162,'Jer-Tip-Emp'!B:G,6,0)</f>
        <v>Otro</v>
      </c>
    </row>
    <row r="163" spans="1:15" ht="27.5" customHeight="1" x14ac:dyDescent="0.2">
      <c r="A163">
        <v>2025</v>
      </c>
      <c r="B163" t="s">
        <v>598</v>
      </c>
      <c r="C163" t="s">
        <v>595</v>
      </c>
      <c r="D163" s="19" t="s">
        <v>198</v>
      </c>
      <c r="E163" s="18" t="s">
        <v>124</v>
      </c>
      <c r="F163" s="18">
        <v>1</v>
      </c>
      <c r="G163" s="20">
        <v>23900</v>
      </c>
      <c r="H163" s="18">
        <v>0</v>
      </c>
      <c r="I163" s="20">
        <v>8757</v>
      </c>
      <c r="J163" s="8">
        <f t="shared" si="6"/>
        <v>15143</v>
      </c>
      <c r="K163" s="10">
        <f t="shared" si="7"/>
        <v>0.6335983263598326</v>
      </c>
      <c r="L163" s="17">
        <f t="shared" si="8"/>
        <v>0</v>
      </c>
      <c r="M163" t="str">
        <f>VLOOKUP(D163,'Jer-Tip-Emp'!B:E,4,0)</f>
        <v>Platos mong</v>
      </c>
      <c r="N163" t="str">
        <f>VLOOKUP(D163,'Jer-Tip-Emp'!B:F,5,0)</f>
        <v>Personal</v>
      </c>
      <c r="O163" t="str">
        <f>VLOOKUP(D163,'Jer-Tip-Emp'!B:G,6,0)</f>
        <v>Caja</v>
      </c>
    </row>
    <row r="164" spans="1:15" ht="27.5" hidden="1" customHeight="1" x14ac:dyDescent="0.2">
      <c r="A164">
        <v>2025</v>
      </c>
      <c r="B164" t="s">
        <v>598</v>
      </c>
      <c r="C164" t="s">
        <v>595</v>
      </c>
      <c r="D164" s="19" t="s">
        <v>330</v>
      </c>
      <c r="E164" s="18" t="s">
        <v>38</v>
      </c>
      <c r="F164" s="18">
        <v>1</v>
      </c>
      <c r="G164" s="20">
        <v>4900</v>
      </c>
      <c r="H164" s="18">
        <v>0</v>
      </c>
      <c r="I164" s="20">
        <v>1288</v>
      </c>
      <c r="J164" s="8">
        <f t="shared" si="6"/>
        <v>3612</v>
      </c>
      <c r="K164" s="10">
        <f t="shared" si="7"/>
        <v>0.7371428571428571</v>
      </c>
      <c r="L164" s="17">
        <f t="shared" si="8"/>
        <v>0</v>
      </c>
      <c r="M164" t="str">
        <f>VLOOKUP(D164,'Jer-Tip-Emp'!B:E,4,0)</f>
        <v>Bebidas</v>
      </c>
      <c r="N164" t="str">
        <f>VLOOKUP(D164,'Jer-Tip-Emp'!B:F,5,0)</f>
        <v>Bebidas</v>
      </c>
      <c r="O164" t="str">
        <f>VLOOKUP(D164,'Jer-Tip-Emp'!B:G,6,0)</f>
        <v>Bebidas</v>
      </c>
    </row>
    <row r="165" spans="1:15" ht="27.5" customHeight="1" x14ac:dyDescent="0.2">
      <c r="A165">
        <v>2025</v>
      </c>
      <c r="B165" t="s">
        <v>598</v>
      </c>
      <c r="C165" t="s">
        <v>595</v>
      </c>
      <c r="D165" s="19" t="s">
        <v>259</v>
      </c>
      <c r="E165" s="18" t="s">
        <v>152</v>
      </c>
      <c r="F165" s="18">
        <v>1</v>
      </c>
      <c r="G165" s="20">
        <v>57900</v>
      </c>
      <c r="H165" s="18">
        <v>0</v>
      </c>
      <c r="I165" s="20">
        <v>37744</v>
      </c>
      <c r="J165" s="8">
        <f t="shared" si="6"/>
        <v>20156</v>
      </c>
      <c r="K165" s="10">
        <f t="shared" si="7"/>
        <v>0.34811744386873922</v>
      </c>
      <c r="L165" s="17">
        <f t="shared" si="8"/>
        <v>0</v>
      </c>
      <c r="M165" t="str">
        <f>VLOOKUP(D165,'Jer-Tip-Emp'!B:E,4,0)</f>
        <v>Platos mong</v>
      </c>
      <c r="N165" t="str">
        <f>VLOOKUP(D165,'Jer-Tip-Emp'!B:F,5,0)</f>
        <v>No Personal</v>
      </c>
      <c r="O165" t="str">
        <f>VLOOKUP(D165,'Jer-Tip-Emp'!B:G,6,0)</f>
        <v>Caja</v>
      </c>
    </row>
    <row r="166" spans="1:15" ht="27.5" hidden="1" customHeight="1" x14ac:dyDescent="0.2">
      <c r="A166">
        <v>2025</v>
      </c>
      <c r="B166" t="s">
        <v>598</v>
      </c>
      <c r="C166" t="s">
        <v>595</v>
      </c>
      <c r="D166" s="19" t="s">
        <v>382</v>
      </c>
      <c r="E166" s="18" t="s">
        <v>42</v>
      </c>
      <c r="F166" s="18">
        <v>1</v>
      </c>
      <c r="G166" s="20">
        <v>4900</v>
      </c>
      <c r="H166" s="18">
        <v>0</v>
      </c>
      <c r="I166" s="20">
        <v>1373</v>
      </c>
      <c r="J166" s="8">
        <f t="shared" si="6"/>
        <v>3527</v>
      </c>
      <c r="K166" s="10">
        <f t="shared" si="7"/>
        <v>0.71979591836734691</v>
      </c>
      <c r="L166" s="17">
        <f t="shared" si="8"/>
        <v>0</v>
      </c>
      <c r="M166" t="str">
        <f>VLOOKUP(D166,'Jer-Tip-Emp'!B:E,4,0)</f>
        <v>Bebidas</v>
      </c>
      <c r="N166" t="str">
        <f>VLOOKUP(D166,'Jer-Tip-Emp'!B:F,5,0)</f>
        <v>Bebidas</v>
      </c>
      <c r="O166" t="str">
        <f>VLOOKUP(D166,'Jer-Tip-Emp'!B:G,6,0)</f>
        <v>Bebidas</v>
      </c>
    </row>
    <row r="167" spans="1:15" ht="27.5" hidden="1" customHeight="1" x14ac:dyDescent="0.2">
      <c r="A167">
        <v>2025</v>
      </c>
      <c r="B167" t="s">
        <v>598</v>
      </c>
      <c r="C167" t="s">
        <v>595</v>
      </c>
      <c r="D167" s="19" t="s">
        <v>335</v>
      </c>
      <c r="E167" s="18" t="s">
        <v>40</v>
      </c>
      <c r="F167" s="18">
        <v>1</v>
      </c>
      <c r="G167" s="20">
        <v>4900</v>
      </c>
      <c r="H167" s="18">
        <v>0</v>
      </c>
      <c r="I167" s="20">
        <v>1373</v>
      </c>
      <c r="J167" s="8">
        <f t="shared" si="6"/>
        <v>3527</v>
      </c>
      <c r="K167" s="10">
        <f t="shared" si="7"/>
        <v>0.71979591836734691</v>
      </c>
      <c r="L167" s="17">
        <f t="shared" si="8"/>
        <v>0</v>
      </c>
      <c r="M167" t="str">
        <f>VLOOKUP(D167,'Jer-Tip-Emp'!B:E,4,0)</f>
        <v>Bebidas</v>
      </c>
      <c r="N167" t="str">
        <f>VLOOKUP(D167,'Jer-Tip-Emp'!B:F,5,0)</f>
        <v>Bebidas</v>
      </c>
      <c r="O167" t="str">
        <f>VLOOKUP(D167,'Jer-Tip-Emp'!B:G,6,0)</f>
        <v>Bebidas</v>
      </c>
    </row>
    <row r="168" spans="1:15" ht="27.5" customHeight="1" x14ac:dyDescent="0.2">
      <c r="A168">
        <v>2025</v>
      </c>
      <c r="B168" t="s">
        <v>598</v>
      </c>
      <c r="C168" t="s">
        <v>595</v>
      </c>
      <c r="D168" s="19" t="s">
        <v>265</v>
      </c>
      <c r="E168" s="18" t="s">
        <v>140</v>
      </c>
      <c r="F168" s="18">
        <v>1</v>
      </c>
      <c r="G168" s="20">
        <v>63900</v>
      </c>
      <c r="H168" s="18">
        <v>0</v>
      </c>
      <c r="I168" s="20">
        <v>32179</v>
      </c>
      <c r="J168" s="8">
        <f t="shared" si="6"/>
        <v>31721</v>
      </c>
      <c r="K168" s="10">
        <f t="shared" si="7"/>
        <v>0.49641627543035993</v>
      </c>
      <c r="L168" s="17">
        <f t="shared" si="8"/>
        <v>0</v>
      </c>
      <c r="M168" t="str">
        <f>VLOOKUP(D168,'Jer-Tip-Emp'!B:E,4,0)</f>
        <v>Platos mong</v>
      </c>
      <c r="N168" t="str">
        <f>VLOOKUP(D168,'Jer-Tip-Emp'!B:F,5,0)</f>
        <v>No Personal</v>
      </c>
      <c r="O168" t="str">
        <f>VLOOKUP(D168,'Jer-Tip-Emp'!B:G,6,0)</f>
        <v>Caja</v>
      </c>
    </row>
    <row r="169" spans="1:15" ht="27.5" customHeight="1" x14ac:dyDescent="0.2">
      <c r="A169">
        <v>2025</v>
      </c>
      <c r="B169" t="s">
        <v>598</v>
      </c>
      <c r="C169" t="s">
        <v>595</v>
      </c>
      <c r="D169" s="19" t="s">
        <v>474</v>
      </c>
      <c r="E169" s="18" t="s">
        <v>553</v>
      </c>
      <c r="F169" s="18">
        <v>1</v>
      </c>
      <c r="G169" s="18">
        <v>0</v>
      </c>
      <c r="H169" s="18">
        <v>0</v>
      </c>
      <c r="I169" s="20">
        <v>2849</v>
      </c>
      <c r="J169" s="8">
        <f t="shared" si="6"/>
        <v>-2849</v>
      </c>
      <c r="K169" s="10">
        <f t="shared" si="7"/>
        <v>0</v>
      </c>
      <c r="L169" s="17">
        <f t="shared" si="8"/>
        <v>0</v>
      </c>
      <c r="M169" t="str">
        <f>VLOOKUP(D169,'Jer-Tip-Emp'!B:E,4,0)</f>
        <v>Arma tu plato</v>
      </c>
      <c r="N169" t="str">
        <f>VLOOKUP(D169,'Jer-Tip-Emp'!B:F,5,0)</f>
        <v>Personal</v>
      </c>
      <c r="O169" t="str">
        <f>VLOOKUP(D169,'Jer-Tip-Emp'!B:G,6,0)</f>
        <v>Caja</v>
      </c>
    </row>
    <row r="170" spans="1:15" ht="27.5" hidden="1" customHeight="1" x14ac:dyDescent="0.2">
      <c r="A170">
        <v>2025</v>
      </c>
      <c r="B170" t="s">
        <v>598</v>
      </c>
      <c r="C170" t="s">
        <v>595</v>
      </c>
      <c r="D170" s="19" t="s">
        <v>326</v>
      </c>
      <c r="E170" s="18" t="s">
        <v>69</v>
      </c>
      <c r="F170" s="18">
        <v>1</v>
      </c>
      <c r="G170" s="20">
        <v>4900</v>
      </c>
      <c r="H170" s="18">
        <v>0</v>
      </c>
      <c r="I170" s="20">
        <v>1330</v>
      </c>
      <c r="J170" s="8">
        <f t="shared" si="6"/>
        <v>3570</v>
      </c>
      <c r="K170" s="10">
        <f t="shared" si="7"/>
        <v>0.72857142857142854</v>
      </c>
      <c r="L170" s="17">
        <f t="shared" si="8"/>
        <v>0</v>
      </c>
      <c r="M170" t="str">
        <f>VLOOKUP(D170,'Jer-Tip-Emp'!B:E,4,0)</f>
        <v>Bebidas</v>
      </c>
      <c r="N170" t="str">
        <f>VLOOKUP(D170,'Jer-Tip-Emp'!B:F,5,0)</f>
        <v>Bebidas</v>
      </c>
      <c r="O170" t="str">
        <f>VLOOKUP(D170,'Jer-Tip-Emp'!B:G,6,0)</f>
        <v>Bebidas</v>
      </c>
    </row>
    <row r="171" spans="1:15" ht="27.5" customHeight="1" x14ac:dyDescent="0.2">
      <c r="A171">
        <v>2025</v>
      </c>
      <c r="B171" t="s">
        <v>598</v>
      </c>
      <c r="C171" t="s">
        <v>595</v>
      </c>
      <c r="D171" s="19" t="s">
        <v>221</v>
      </c>
      <c r="E171" s="18" t="s">
        <v>27</v>
      </c>
      <c r="F171" s="18">
        <v>1</v>
      </c>
      <c r="G171" s="20">
        <v>7900</v>
      </c>
      <c r="H171" s="18">
        <v>0</v>
      </c>
      <c r="I171" s="18">
        <v>0</v>
      </c>
      <c r="J171" s="8">
        <f t="shared" si="6"/>
        <v>7900</v>
      </c>
      <c r="K171" s="10">
        <f t="shared" si="7"/>
        <v>1</v>
      </c>
      <c r="L171" s="17">
        <f t="shared" si="8"/>
        <v>0</v>
      </c>
      <c r="M171" t="str">
        <f>VLOOKUP(D171,'Jer-Tip-Emp'!B:E,4,0)</f>
        <v>Armalo en combo</v>
      </c>
      <c r="N171" t="str">
        <f>VLOOKUP(D171,'Jer-Tip-Emp'!B:F,5,0)</f>
        <v>Personal</v>
      </c>
      <c r="O171" t="str">
        <f>VLOOKUP(D171,'Jer-Tip-Emp'!B:G,6,0)</f>
        <v>Combo</v>
      </c>
    </row>
    <row r="172" spans="1:15" ht="27.5" customHeight="1" x14ac:dyDescent="0.2">
      <c r="A172">
        <v>2025</v>
      </c>
      <c r="B172" t="s">
        <v>598</v>
      </c>
      <c r="C172" t="s">
        <v>595</v>
      </c>
      <c r="D172" s="19" t="s">
        <v>303</v>
      </c>
      <c r="E172" s="18" t="s">
        <v>120</v>
      </c>
      <c r="F172" s="18">
        <v>1</v>
      </c>
      <c r="G172" s="20">
        <v>22900</v>
      </c>
      <c r="H172" s="18">
        <v>0</v>
      </c>
      <c r="I172" s="20">
        <v>7514</v>
      </c>
      <c r="J172" s="8">
        <f t="shared" si="6"/>
        <v>15386</v>
      </c>
      <c r="K172" s="10">
        <f t="shared" si="7"/>
        <v>0.67187772925764189</v>
      </c>
      <c r="L172" s="17">
        <f t="shared" si="8"/>
        <v>0</v>
      </c>
      <c r="M172" t="str">
        <f>VLOOKUP(D172,'Jer-Tip-Emp'!B:E,4,0)</f>
        <v>Platos mong</v>
      </c>
      <c r="N172" t="str">
        <f>VLOOKUP(D172,'Jer-Tip-Emp'!B:F,5,0)</f>
        <v>Personal</v>
      </c>
      <c r="O172" t="str">
        <f>VLOOKUP(D172,'Jer-Tip-Emp'!B:G,6,0)</f>
        <v>Caja</v>
      </c>
    </row>
    <row r="173" spans="1:15" ht="27.5" hidden="1" customHeight="1" x14ac:dyDescent="0.2">
      <c r="A173">
        <v>2025</v>
      </c>
      <c r="B173" t="s">
        <v>598</v>
      </c>
      <c r="C173" t="s">
        <v>595</v>
      </c>
      <c r="D173" s="19" t="s">
        <v>431</v>
      </c>
      <c r="E173" s="18" t="s">
        <v>560</v>
      </c>
      <c r="F173" s="18">
        <v>1</v>
      </c>
      <c r="G173" s="20">
        <v>1600</v>
      </c>
      <c r="H173" s="18">
        <v>0</v>
      </c>
      <c r="I173" s="20">
        <v>1330</v>
      </c>
      <c r="J173" s="8">
        <f t="shared" si="6"/>
        <v>270</v>
      </c>
      <c r="K173" s="10">
        <f t="shared" si="7"/>
        <v>0.16875000000000001</v>
      </c>
      <c r="L173" s="17">
        <f t="shared" si="8"/>
        <v>0</v>
      </c>
      <c r="M173" t="str">
        <f>VLOOKUP(D173,'Jer-Tip-Emp'!B:E,4,0)</f>
        <v>Bebidas</v>
      </c>
      <c r="N173" t="str">
        <f>VLOOKUP(D173,'Jer-Tip-Emp'!B:F,5,0)</f>
        <v>Bebidas Cambio de bebida</v>
      </c>
      <c r="O173" t="str">
        <f>VLOOKUP(D173,'Jer-Tip-Emp'!B:G,6,0)</f>
        <v>Bebidas</v>
      </c>
    </row>
    <row r="174" spans="1:15" ht="27.5" customHeight="1" x14ac:dyDescent="0.2">
      <c r="A174">
        <v>2025</v>
      </c>
      <c r="B174" t="s">
        <v>604</v>
      </c>
      <c r="C174" t="s">
        <v>595</v>
      </c>
      <c r="D174" s="19" t="s">
        <v>207</v>
      </c>
      <c r="E174" s="18" t="s">
        <v>92</v>
      </c>
      <c r="F174" s="18">
        <v>65</v>
      </c>
      <c r="G174" s="20">
        <v>1547600</v>
      </c>
      <c r="H174" s="20">
        <v>-5900</v>
      </c>
      <c r="I174" s="20">
        <v>625755</v>
      </c>
      <c r="J174" s="8">
        <f t="shared" si="6"/>
        <v>921845</v>
      </c>
      <c r="K174" s="10">
        <f t="shared" si="7"/>
        <v>0.59566102352028949</v>
      </c>
      <c r="L174" s="17">
        <f t="shared" si="8"/>
        <v>3.8123546135952441E-3</v>
      </c>
      <c r="M174" t="str">
        <f>VLOOKUP(D174,'Jer-Tip-Emp'!B:E,4,0)</f>
        <v>Combos personales</v>
      </c>
      <c r="N174" t="str">
        <f>VLOOKUP(D174,'Jer-Tip-Emp'!B:F,5,0)</f>
        <v>Personal</v>
      </c>
      <c r="O174" t="str">
        <f>VLOOKUP(D174,'Jer-Tip-Emp'!B:G,6,0)</f>
        <v>Combo</v>
      </c>
    </row>
    <row r="175" spans="1:15" ht="27.5" hidden="1" customHeight="1" x14ac:dyDescent="0.2">
      <c r="A175">
        <v>2025</v>
      </c>
      <c r="B175" t="s">
        <v>604</v>
      </c>
      <c r="C175" t="s">
        <v>595</v>
      </c>
      <c r="D175" s="19" t="s">
        <v>284</v>
      </c>
      <c r="E175" s="18" t="s">
        <v>106</v>
      </c>
      <c r="F175" s="18">
        <v>52</v>
      </c>
      <c r="G175" s="20">
        <v>458058</v>
      </c>
      <c r="H175" s="20">
        <v>-4742</v>
      </c>
      <c r="I175" s="20">
        <v>163228</v>
      </c>
      <c r="J175" s="8">
        <f t="shared" si="6"/>
        <v>294830</v>
      </c>
      <c r="K175" s="10">
        <f t="shared" si="7"/>
        <v>0.64365211392443755</v>
      </c>
      <c r="L175" s="17">
        <f t="shared" si="8"/>
        <v>1.0352400787673176E-2</v>
      </c>
      <c r="M175" t="str">
        <f>VLOOKUP(D175,'Jer-Tip-Emp'!B:E,4,0)</f>
        <v>Entradas</v>
      </c>
      <c r="N175" t="str">
        <f>VLOOKUP(D175,'Jer-Tip-Emp'!B:F,5,0)</f>
        <v>Otro</v>
      </c>
      <c r="O175" t="str">
        <f>VLOOKUP(D175,'Jer-Tip-Emp'!B:G,6,0)</f>
        <v>Otro</v>
      </c>
    </row>
    <row r="176" spans="1:15" ht="27.5" customHeight="1" x14ac:dyDescent="0.2">
      <c r="A176">
        <v>2025</v>
      </c>
      <c r="B176" t="s">
        <v>604</v>
      </c>
      <c r="C176" t="s">
        <v>595</v>
      </c>
      <c r="D176" s="19" t="s">
        <v>273</v>
      </c>
      <c r="E176" s="18" t="s">
        <v>23</v>
      </c>
      <c r="F176" s="18">
        <v>46</v>
      </c>
      <c r="G176" s="20">
        <v>1141497</v>
      </c>
      <c r="H176" s="20">
        <v>-3903</v>
      </c>
      <c r="I176" s="18">
        <v>0</v>
      </c>
      <c r="J176" s="8">
        <f t="shared" si="6"/>
        <v>1141497</v>
      </c>
      <c r="K176" s="10">
        <f t="shared" si="7"/>
        <v>1</v>
      </c>
      <c r="L176" s="17">
        <f t="shared" si="8"/>
        <v>3.4191942685788926E-3</v>
      </c>
      <c r="M176" t="str">
        <f>VLOOKUP(D176,'Jer-Tip-Emp'!B:E,4,0)</f>
        <v>Arma tu plato</v>
      </c>
      <c r="N176" t="str">
        <f>VLOOKUP(D176,'Jer-Tip-Emp'!B:F,5,0)</f>
        <v>Personal</v>
      </c>
      <c r="O176" t="str">
        <f>VLOOKUP(D176,'Jer-Tip-Emp'!B:G,6,0)</f>
        <v>Caja</v>
      </c>
    </row>
    <row r="177" spans="1:15" ht="27.5" customHeight="1" x14ac:dyDescent="0.2">
      <c r="A177">
        <v>2025</v>
      </c>
      <c r="B177" t="s">
        <v>604</v>
      </c>
      <c r="C177" t="s">
        <v>595</v>
      </c>
      <c r="D177" s="19" t="s">
        <v>313</v>
      </c>
      <c r="E177" s="18" t="s">
        <v>540</v>
      </c>
      <c r="F177" s="18">
        <v>36</v>
      </c>
      <c r="G177" s="18">
        <v>0</v>
      </c>
      <c r="H177" s="18">
        <v>0</v>
      </c>
      <c r="I177" s="20">
        <v>197676</v>
      </c>
      <c r="J177" s="8">
        <f t="shared" si="6"/>
        <v>-197676</v>
      </c>
      <c r="K177" s="10">
        <f t="shared" si="7"/>
        <v>0</v>
      </c>
      <c r="L177" s="17">
        <f t="shared" si="8"/>
        <v>0</v>
      </c>
      <c r="M177" t="str">
        <f>VLOOKUP(D177,'Jer-Tip-Emp'!B:E,4,0)</f>
        <v>Arma tu plato</v>
      </c>
      <c r="N177" t="str">
        <f>VLOOKUP(D177,'Jer-Tip-Emp'!B:F,5,0)</f>
        <v>Personal</v>
      </c>
      <c r="O177" t="str">
        <f>VLOOKUP(D177,'Jer-Tip-Emp'!B:G,6,0)</f>
        <v>Caja</v>
      </c>
    </row>
    <row r="178" spans="1:15" ht="27.5" customHeight="1" x14ac:dyDescent="0.2">
      <c r="A178">
        <v>2025</v>
      </c>
      <c r="B178" t="s">
        <v>604</v>
      </c>
      <c r="C178" t="s">
        <v>595</v>
      </c>
      <c r="D178" s="19" t="s">
        <v>299</v>
      </c>
      <c r="E178" s="18" t="s">
        <v>129</v>
      </c>
      <c r="F178" s="18">
        <v>35</v>
      </c>
      <c r="G178" s="20">
        <v>1341630</v>
      </c>
      <c r="H178" s="20">
        <v>-159870</v>
      </c>
      <c r="I178" s="20">
        <v>396620</v>
      </c>
      <c r="J178" s="8">
        <f t="shared" si="6"/>
        <v>945010</v>
      </c>
      <c r="K178" s="10">
        <f t="shared" si="7"/>
        <v>0.70437452949024693</v>
      </c>
      <c r="L178" s="17">
        <f t="shared" si="8"/>
        <v>0.11916102054962993</v>
      </c>
      <c r="M178" t="str">
        <f>VLOOKUP(D178,'Jer-Tip-Emp'!B:E,4,0)</f>
        <v>Platos mong</v>
      </c>
      <c r="N178" t="str">
        <f>VLOOKUP(D178,'Jer-Tip-Emp'!B:F,5,0)</f>
        <v>No Personal</v>
      </c>
      <c r="O178" t="str">
        <f>VLOOKUP(D178,'Jer-Tip-Emp'!B:G,6,0)</f>
        <v>Caja</v>
      </c>
    </row>
    <row r="179" spans="1:15" ht="27.5" customHeight="1" x14ac:dyDescent="0.2">
      <c r="A179">
        <v>2025</v>
      </c>
      <c r="B179" t="s">
        <v>604</v>
      </c>
      <c r="C179" t="s">
        <v>595</v>
      </c>
      <c r="D179" s="19" t="s">
        <v>286</v>
      </c>
      <c r="E179" s="18" t="s">
        <v>144</v>
      </c>
      <c r="F179" s="18">
        <v>28</v>
      </c>
      <c r="G179" s="20">
        <v>1726878</v>
      </c>
      <c r="H179" s="20">
        <v>-146322</v>
      </c>
      <c r="I179" s="20">
        <v>970340</v>
      </c>
      <c r="J179" s="8">
        <f t="shared" si="6"/>
        <v>756538</v>
      </c>
      <c r="K179" s="10">
        <f t="shared" si="7"/>
        <v>0.43809580062980708</v>
      </c>
      <c r="L179" s="17">
        <f t="shared" si="8"/>
        <v>8.4732100356828918E-2</v>
      </c>
      <c r="M179" t="str">
        <f>VLOOKUP(D179,'Jer-Tip-Emp'!B:E,4,0)</f>
        <v>Platos mong</v>
      </c>
      <c r="N179" t="str">
        <f>VLOOKUP(D179,'Jer-Tip-Emp'!B:F,5,0)</f>
        <v>No Personal</v>
      </c>
      <c r="O179" t="str">
        <f>VLOOKUP(D179,'Jer-Tip-Emp'!B:G,6,0)</f>
        <v>Caja</v>
      </c>
    </row>
    <row r="180" spans="1:15" ht="27.5" customHeight="1" x14ac:dyDescent="0.2">
      <c r="A180">
        <v>2025</v>
      </c>
      <c r="B180" t="s">
        <v>604</v>
      </c>
      <c r="C180" t="s">
        <v>595</v>
      </c>
      <c r="D180" s="19" t="s">
        <v>389</v>
      </c>
      <c r="E180" s="18" t="s">
        <v>541</v>
      </c>
      <c r="F180" s="18">
        <v>25</v>
      </c>
      <c r="G180" s="18">
        <v>0</v>
      </c>
      <c r="H180" s="18">
        <v>0</v>
      </c>
      <c r="I180" s="20">
        <v>136675</v>
      </c>
      <c r="J180" s="8">
        <f t="shared" si="6"/>
        <v>-136675</v>
      </c>
      <c r="K180" s="10">
        <f t="shared" si="7"/>
        <v>0</v>
      </c>
      <c r="L180" s="17">
        <f t="shared" si="8"/>
        <v>0</v>
      </c>
      <c r="M180" t="str">
        <f>VLOOKUP(D180,'Jer-Tip-Emp'!B:E,4,0)</f>
        <v>Arma tu plato</v>
      </c>
      <c r="N180" t="str">
        <f>VLOOKUP(D180,'Jer-Tip-Emp'!B:F,5,0)</f>
        <v>Personal</v>
      </c>
      <c r="O180" t="str">
        <f>VLOOKUP(D180,'Jer-Tip-Emp'!B:G,6,0)</f>
        <v>Caja</v>
      </c>
    </row>
    <row r="181" spans="1:15" ht="27.5" customHeight="1" x14ac:dyDescent="0.2">
      <c r="A181">
        <v>2025</v>
      </c>
      <c r="B181" t="s">
        <v>604</v>
      </c>
      <c r="C181" t="s">
        <v>595</v>
      </c>
      <c r="D181" s="19" t="s">
        <v>252</v>
      </c>
      <c r="E181" s="18" t="s">
        <v>100</v>
      </c>
      <c r="F181" s="18">
        <v>22</v>
      </c>
      <c r="G181" s="20">
        <v>1097800</v>
      </c>
      <c r="H181" s="18">
        <v>0</v>
      </c>
      <c r="I181" s="20">
        <v>711722</v>
      </c>
      <c r="J181" s="8">
        <f t="shared" si="6"/>
        <v>386078</v>
      </c>
      <c r="K181" s="10">
        <f t="shared" si="7"/>
        <v>0.35168336673346695</v>
      </c>
      <c r="L181" s="17">
        <f t="shared" si="8"/>
        <v>0</v>
      </c>
      <c r="M181" t="str">
        <f>VLOOKUP(D181,'Jer-Tip-Emp'!B:E,4,0)</f>
        <v>Platos mong</v>
      </c>
      <c r="N181" t="str">
        <f>VLOOKUP(D181,'Jer-Tip-Emp'!B:F,5,0)</f>
        <v>No Personal</v>
      </c>
      <c r="O181" t="str">
        <f>VLOOKUP(D181,'Jer-Tip-Emp'!B:G,6,0)</f>
        <v>Caja</v>
      </c>
    </row>
    <row r="182" spans="1:15" ht="27.5" customHeight="1" x14ac:dyDescent="0.2">
      <c r="A182">
        <v>2025</v>
      </c>
      <c r="B182" t="s">
        <v>604</v>
      </c>
      <c r="C182" t="s">
        <v>595</v>
      </c>
      <c r="D182" s="19" t="s">
        <v>196</v>
      </c>
      <c r="E182" s="18" t="s">
        <v>159</v>
      </c>
      <c r="F182" s="18">
        <v>21</v>
      </c>
      <c r="G182" s="20">
        <v>536305</v>
      </c>
      <c r="H182" s="20">
        <v>-7595</v>
      </c>
      <c r="I182" s="20">
        <v>199521</v>
      </c>
      <c r="J182" s="8">
        <f t="shared" si="6"/>
        <v>336784</v>
      </c>
      <c r="K182" s="10">
        <f t="shared" si="7"/>
        <v>0.62797102395092341</v>
      </c>
      <c r="L182" s="17">
        <f t="shared" si="8"/>
        <v>1.4161717679305619E-2</v>
      </c>
      <c r="M182" t="str">
        <f>VLOOKUP(D182,'Jer-Tip-Emp'!B:E,4,0)</f>
        <v>Combos personales</v>
      </c>
      <c r="N182" t="str">
        <f>VLOOKUP(D182,'Jer-Tip-Emp'!B:F,5,0)</f>
        <v>Personal</v>
      </c>
      <c r="O182" t="str">
        <f>VLOOKUP(D182,'Jer-Tip-Emp'!B:G,6,0)</f>
        <v>Combo</v>
      </c>
    </row>
    <row r="183" spans="1:15" ht="27.5" customHeight="1" x14ac:dyDescent="0.2">
      <c r="A183">
        <v>2025</v>
      </c>
      <c r="B183" t="s">
        <v>604</v>
      </c>
      <c r="C183" t="s">
        <v>595</v>
      </c>
      <c r="D183" s="19" t="s">
        <v>185</v>
      </c>
      <c r="E183" s="18" t="s">
        <v>137</v>
      </c>
      <c r="F183" s="18">
        <v>21</v>
      </c>
      <c r="G183" s="20">
        <v>836029</v>
      </c>
      <c r="H183" s="20">
        <v>-1871</v>
      </c>
      <c r="I183" s="20">
        <v>421113</v>
      </c>
      <c r="J183" s="8">
        <f t="shared" si="6"/>
        <v>414916</v>
      </c>
      <c r="K183" s="10">
        <f t="shared" si="7"/>
        <v>0.49629378885182213</v>
      </c>
      <c r="L183" s="17">
        <f t="shared" si="8"/>
        <v>2.2379606449058585E-3</v>
      </c>
      <c r="M183" t="str">
        <f>VLOOKUP(D183,'Jer-Tip-Emp'!B:E,4,0)</f>
        <v>Platos mong</v>
      </c>
      <c r="N183" t="str">
        <f>VLOOKUP(D183,'Jer-Tip-Emp'!B:F,5,0)</f>
        <v>No Personal</v>
      </c>
      <c r="O183" t="str">
        <f>VLOOKUP(D183,'Jer-Tip-Emp'!B:G,6,0)</f>
        <v>Platos Especiales</v>
      </c>
    </row>
    <row r="184" spans="1:15" ht="27.5" customHeight="1" x14ac:dyDescent="0.2">
      <c r="A184">
        <v>2025</v>
      </c>
      <c r="B184" t="s">
        <v>604</v>
      </c>
      <c r="C184" t="s">
        <v>595</v>
      </c>
      <c r="D184" s="19" t="s">
        <v>186</v>
      </c>
      <c r="E184" s="18" t="s">
        <v>95</v>
      </c>
      <c r="F184" s="18">
        <v>20</v>
      </c>
      <c r="G184" s="20">
        <v>576000</v>
      </c>
      <c r="H184" s="20">
        <v>-2000</v>
      </c>
      <c r="I184" s="20">
        <v>191400</v>
      </c>
      <c r="J184" s="8">
        <f t="shared" si="6"/>
        <v>384600</v>
      </c>
      <c r="K184" s="10">
        <f t="shared" si="7"/>
        <v>0.66770833333333335</v>
      </c>
      <c r="L184" s="17">
        <f t="shared" si="8"/>
        <v>3.472222222222222E-3</v>
      </c>
      <c r="M184" t="str">
        <f>VLOOKUP(D184,'Jer-Tip-Emp'!B:E,4,0)</f>
        <v>Combos personales</v>
      </c>
      <c r="N184" t="str">
        <f>VLOOKUP(D184,'Jer-Tip-Emp'!B:F,5,0)</f>
        <v>Personal</v>
      </c>
      <c r="O184" t="str">
        <f>VLOOKUP(D184,'Jer-Tip-Emp'!B:G,6,0)</f>
        <v>Combo</v>
      </c>
    </row>
    <row r="185" spans="1:15" ht="27.5" customHeight="1" x14ac:dyDescent="0.2">
      <c r="A185">
        <v>2025</v>
      </c>
      <c r="B185" t="s">
        <v>604</v>
      </c>
      <c r="C185" t="s">
        <v>595</v>
      </c>
      <c r="D185" s="19" t="s">
        <v>235</v>
      </c>
      <c r="E185" s="18" t="s">
        <v>147</v>
      </c>
      <c r="F185" s="18">
        <v>19</v>
      </c>
      <c r="G185" s="20">
        <v>948100</v>
      </c>
      <c r="H185" s="18">
        <v>0</v>
      </c>
      <c r="I185" s="20">
        <v>357542</v>
      </c>
      <c r="J185" s="8">
        <f t="shared" si="6"/>
        <v>590558</v>
      </c>
      <c r="K185" s="10">
        <f t="shared" si="7"/>
        <v>0.62288577154308622</v>
      </c>
      <c r="L185" s="17">
        <f t="shared" si="8"/>
        <v>0</v>
      </c>
      <c r="M185" t="str">
        <f>VLOOKUP(D185,'Jer-Tip-Emp'!B:E,4,0)</f>
        <v>Platos mong</v>
      </c>
      <c r="N185" t="str">
        <f>VLOOKUP(D185,'Jer-Tip-Emp'!B:F,5,0)</f>
        <v>No Personal</v>
      </c>
      <c r="O185" t="str">
        <f>VLOOKUP(D185,'Jer-Tip-Emp'!B:G,6,0)</f>
        <v>Caja</v>
      </c>
    </row>
    <row r="186" spans="1:15" ht="27.5" customHeight="1" x14ac:dyDescent="0.2">
      <c r="A186">
        <v>2025</v>
      </c>
      <c r="B186" t="s">
        <v>604</v>
      </c>
      <c r="C186" t="s">
        <v>595</v>
      </c>
      <c r="D186" s="19" t="s">
        <v>393</v>
      </c>
      <c r="E186" s="18" t="s">
        <v>549</v>
      </c>
      <c r="F186" s="18">
        <v>16</v>
      </c>
      <c r="G186" s="20">
        <v>31687</v>
      </c>
      <c r="H186" s="18">
        <v>-313</v>
      </c>
      <c r="I186" s="20">
        <v>32560</v>
      </c>
      <c r="J186" s="8">
        <f t="shared" si="6"/>
        <v>-873</v>
      </c>
      <c r="K186" s="10">
        <f t="shared" si="7"/>
        <v>-2.7550730583520054E-2</v>
      </c>
      <c r="L186" s="17">
        <f t="shared" si="8"/>
        <v>9.8778678953514061E-3</v>
      </c>
      <c r="M186" t="str">
        <f>VLOOKUP(D186,'Jer-Tip-Emp'!B:E,4,0)</f>
        <v>Arma tu plato</v>
      </c>
      <c r="N186" t="str">
        <f>VLOOKUP(D186,'Jer-Tip-Emp'!B:F,5,0)</f>
        <v>Personal</v>
      </c>
      <c r="O186" t="str">
        <f>VLOOKUP(D186,'Jer-Tip-Emp'!B:G,6,0)</f>
        <v>Caja</v>
      </c>
    </row>
    <row r="187" spans="1:15" ht="27.5" customHeight="1" x14ac:dyDescent="0.2">
      <c r="A187">
        <v>2025</v>
      </c>
      <c r="B187" t="s">
        <v>604</v>
      </c>
      <c r="C187" t="s">
        <v>595</v>
      </c>
      <c r="D187" s="19" t="s">
        <v>376</v>
      </c>
      <c r="E187" s="18" t="s">
        <v>543</v>
      </c>
      <c r="F187" s="18">
        <v>15</v>
      </c>
      <c r="G187" s="18">
        <v>0</v>
      </c>
      <c r="H187" s="18">
        <v>0</v>
      </c>
      <c r="I187" s="20">
        <v>19230</v>
      </c>
      <c r="J187" s="8">
        <f t="shared" si="6"/>
        <v>-19230</v>
      </c>
      <c r="K187" s="10">
        <f t="shared" si="7"/>
        <v>0</v>
      </c>
      <c r="L187" s="17">
        <f t="shared" si="8"/>
        <v>0</v>
      </c>
      <c r="M187" t="str">
        <f>VLOOKUP(D187,'Jer-Tip-Emp'!B:E,4,0)</f>
        <v>Arma tu plato</v>
      </c>
      <c r="N187" t="str">
        <f>VLOOKUP(D187,'Jer-Tip-Emp'!B:F,5,0)</f>
        <v>Personal</v>
      </c>
      <c r="O187" t="str">
        <f>VLOOKUP(D187,'Jer-Tip-Emp'!B:G,6,0)</f>
        <v>Caja</v>
      </c>
    </row>
    <row r="188" spans="1:15" ht="27.5" hidden="1" customHeight="1" x14ac:dyDescent="0.2">
      <c r="A188">
        <v>2025</v>
      </c>
      <c r="B188" t="s">
        <v>604</v>
      </c>
      <c r="C188" t="s">
        <v>595</v>
      </c>
      <c r="D188" s="19" t="s">
        <v>403</v>
      </c>
      <c r="E188" s="18" t="s">
        <v>45</v>
      </c>
      <c r="F188" s="18">
        <v>14</v>
      </c>
      <c r="G188" s="20">
        <v>135406</v>
      </c>
      <c r="H188" s="20">
        <v>-3194</v>
      </c>
      <c r="I188" s="20">
        <v>63014</v>
      </c>
      <c r="J188" s="8">
        <f t="shared" si="6"/>
        <v>72392</v>
      </c>
      <c r="K188" s="10">
        <f t="shared" si="7"/>
        <v>0.53462918925306113</v>
      </c>
      <c r="L188" s="17">
        <f t="shared" si="8"/>
        <v>2.3588319572249383E-2</v>
      </c>
      <c r="M188" t="str">
        <f>VLOOKUP(D188,'Jer-Tip-Emp'!B:E,4,0)</f>
        <v>Bebidas</v>
      </c>
      <c r="N188" t="str">
        <f>VLOOKUP(D188,'Jer-Tip-Emp'!B:F,5,0)</f>
        <v>Bebidas</v>
      </c>
      <c r="O188" t="str">
        <f>VLOOKUP(D188,'Jer-Tip-Emp'!B:G,6,0)</f>
        <v>Bebidas</v>
      </c>
    </row>
    <row r="189" spans="1:15" ht="27.5" customHeight="1" x14ac:dyDescent="0.2">
      <c r="A189">
        <v>2025</v>
      </c>
      <c r="B189" t="s">
        <v>604</v>
      </c>
      <c r="C189" t="s">
        <v>595</v>
      </c>
      <c r="D189" s="19" t="s">
        <v>214</v>
      </c>
      <c r="E189" s="18" t="s">
        <v>81</v>
      </c>
      <c r="F189" s="18">
        <v>14</v>
      </c>
      <c r="G189" s="20">
        <v>746600</v>
      </c>
      <c r="H189" s="20">
        <v>-8000</v>
      </c>
      <c r="I189" s="20">
        <v>330932</v>
      </c>
      <c r="J189" s="8">
        <f t="shared" si="6"/>
        <v>415668</v>
      </c>
      <c r="K189" s="10">
        <f t="shared" si="7"/>
        <v>0.55674792392177874</v>
      </c>
      <c r="L189" s="17">
        <f t="shared" si="8"/>
        <v>1.0715242432360031E-2</v>
      </c>
      <c r="M189" t="str">
        <f>VLOOKUP(D189,'Jer-Tip-Emp'!B:E,4,0)</f>
        <v>Combos para compartir</v>
      </c>
      <c r="N189" t="str">
        <f>VLOOKUP(D189,'Jer-Tip-Emp'!B:F,5,0)</f>
        <v>No Personal</v>
      </c>
      <c r="O189" t="str">
        <f>VLOOKUP(D189,'Jer-Tip-Emp'!B:G,6,0)</f>
        <v>Combo</v>
      </c>
    </row>
    <row r="190" spans="1:15" ht="27.5" customHeight="1" x14ac:dyDescent="0.2">
      <c r="A190">
        <v>2025</v>
      </c>
      <c r="B190" t="s">
        <v>604</v>
      </c>
      <c r="C190" t="s">
        <v>595</v>
      </c>
      <c r="D190" s="19" t="s">
        <v>295</v>
      </c>
      <c r="E190" s="18" t="s">
        <v>110</v>
      </c>
      <c r="F190" s="18">
        <v>13</v>
      </c>
      <c r="G190" s="20">
        <v>253800</v>
      </c>
      <c r="H190" s="20">
        <v>-4900</v>
      </c>
      <c r="I190" s="20">
        <v>87984</v>
      </c>
      <c r="J190" s="8">
        <f t="shared" si="6"/>
        <v>165816</v>
      </c>
      <c r="K190" s="10">
        <f t="shared" si="7"/>
        <v>0.65333333333333332</v>
      </c>
      <c r="L190" s="17">
        <f t="shared" si="8"/>
        <v>1.9306540583136328E-2</v>
      </c>
      <c r="M190" t="str">
        <f>VLOOKUP(D190,'Jer-Tip-Emp'!B:E,4,0)</f>
        <v>Platos mong</v>
      </c>
      <c r="N190" t="str">
        <f>VLOOKUP(D190,'Jer-Tip-Emp'!B:F,5,0)</f>
        <v>Personal</v>
      </c>
      <c r="O190" t="str">
        <f>VLOOKUP(D190,'Jer-Tip-Emp'!B:G,6,0)</f>
        <v>Caja</v>
      </c>
    </row>
    <row r="191" spans="1:15" ht="27.5" customHeight="1" x14ac:dyDescent="0.2">
      <c r="A191">
        <v>2025</v>
      </c>
      <c r="B191" t="s">
        <v>604</v>
      </c>
      <c r="C191" t="s">
        <v>595</v>
      </c>
      <c r="D191" s="19" t="s">
        <v>223</v>
      </c>
      <c r="E191" s="18" t="s">
        <v>116</v>
      </c>
      <c r="F191" s="18">
        <v>13</v>
      </c>
      <c r="G191" s="20">
        <v>348464</v>
      </c>
      <c r="H191" s="20">
        <v>-1236</v>
      </c>
      <c r="I191" s="20">
        <v>177294</v>
      </c>
      <c r="J191" s="8">
        <f t="shared" si="6"/>
        <v>171170</v>
      </c>
      <c r="K191" s="10">
        <f t="shared" si="7"/>
        <v>0.49121286560448141</v>
      </c>
      <c r="L191" s="17">
        <f t="shared" si="8"/>
        <v>3.5469948115156801E-3</v>
      </c>
      <c r="M191" t="str">
        <f>VLOOKUP(D191,'Jer-Tip-Emp'!B:E,4,0)</f>
        <v>Platos especiales</v>
      </c>
      <c r="N191" t="str">
        <f>VLOOKUP(D191,'Jer-Tip-Emp'!B:F,5,0)</f>
        <v>Personal</v>
      </c>
      <c r="O191" t="str">
        <f>VLOOKUP(D191,'Jer-Tip-Emp'!B:G,6,0)</f>
        <v>Platos especiales</v>
      </c>
    </row>
    <row r="192" spans="1:15" ht="27.5" hidden="1" customHeight="1" x14ac:dyDescent="0.2">
      <c r="A192">
        <v>2025</v>
      </c>
      <c r="B192" t="s">
        <v>604</v>
      </c>
      <c r="C192" t="s">
        <v>595</v>
      </c>
      <c r="D192" s="19" t="s">
        <v>310</v>
      </c>
      <c r="E192" s="18" t="s">
        <v>53</v>
      </c>
      <c r="F192" s="18">
        <v>13</v>
      </c>
      <c r="G192" s="20">
        <v>75700</v>
      </c>
      <c r="H192" s="20">
        <v>-1000</v>
      </c>
      <c r="I192" s="20">
        <v>22035</v>
      </c>
      <c r="J192" s="8">
        <f t="shared" si="6"/>
        <v>53665</v>
      </c>
      <c r="K192" s="10">
        <f t="shared" si="7"/>
        <v>0.70891677675033027</v>
      </c>
      <c r="L192" s="17">
        <f t="shared" si="8"/>
        <v>1.3210039630118891E-2</v>
      </c>
      <c r="M192" t="str">
        <f>VLOOKUP(D192,'Jer-Tip-Emp'!B:E,4,0)</f>
        <v>Bebidas</v>
      </c>
      <c r="N192" t="str">
        <f>VLOOKUP(D192,'Jer-Tip-Emp'!B:F,5,0)</f>
        <v>Bebidas</v>
      </c>
      <c r="O192" t="str">
        <f>VLOOKUP(D192,'Jer-Tip-Emp'!B:G,6,0)</f>
        <v>Bebidas</v>
      </c>
    </row>
    <row r="193" spans="1:15" ht="27.5" hidden="1" customHeight="1" x14ac:dyDescent="0.2">
      <c r="A193">
        <v>2025</v>
      </c>
      <c r="B193" t="s">
        <v>604</v>
      </c>
      <c r="C193" t="s">
        <v>595</v>
      </c>
      <c r="D193" s="19" t="s">
        <v>253</v>
      </c>
      <c r="E193" s="18" t="s">
        <v>105</v>
      </c>
      <c r="F193" s="18">
        <v>13</v>
      </c>
      <c r="G193" s="20">
        <v>63981</v>
      </c>
      <c r="H193" s="20">
        <v>-1019</v>
      </c>
      <c r="I193" s="20">
        <v>20397</v>
      </c>
      <c r="J193" s="8">
        <f t="shared" si="6"/>
        <v>43584</v>
      </c>
      <c r="K193" s="10">
        <f t="shared" si="7"/>
        <v>0.6812022319125991</v>
      </c>
      <c r="L193" s="17">
        <f t="shared" si="8"/>
        <v>1.5926603210328065E-2</v>
      </c>
      <c r="M193" t="str">
        <f>VLOOKUP(D193,'Jer-Tip-Emp'!B:E,4,0)</f>
        <v>Entradas</v>
      </c>
      <c r="N193" t="str">
        <f>VLOOKUP(D193,'Jer-Tip-Emp'!B:F,5,0)</f>
        <v>Otro</v>
      </c>
      <c r="O193" t="str">
        <f>VLOOKUP(D193,'Jer-Tip-Emp'!B:G,6,0)</f>
        <v>Otro</v>
      </c>
    </row>
    <row r="194" spans="1:15" ht="27.5" customHeight="1" x14ac:dyDescent="0.2">
      <c r="A194">
        <v>2025</v>
      </c>
      <c r="B194" t="s">
        <v>604</v>
      </c>
      <c r="C194" t="s">
        <v>595</v>
      </c>
      <c r="D194" s="19" t="s">
        <v>322</v>
      </c>
      <c r="E194" s="18" t="s">
        <v>545</v>
      </c>
      <c r="F194" s="18">
        <v>12</v>
      </c>
      <c r="G194" s="20">
        <v>24000</v>
      </c>
      <c r="H194" s="18">
        <v>0</v>
      </c>
      <c r="I194" s="20">
        <v>37296</v>
      </c>
      <c r="J194" s="8">
        <f t="shared" ref="J194:J257" si="9">G194-I194</f>
        <v>-13296</v>
      </c>
      <c r="K194" s="10">
        <f t="shared" ref="K194:K257" si="10">IFERROR(J194/G194,0)</f>
        <v>-0.55400000000000005</v>
      </c>
      <c r="L194" s="17">
        <f t="shared" ref="L194:L257" si="11">IFERROR((H194/G194)*-1,0)</f>
        <v>0</v>
      </c>
      <c r="M194" t="str">
        <f>VLOOKUP(D194,'Jer-Tip-Emp'!B:E,4,0)</f>
        <v>Arma tu plato</v>
      </c>
      <c r="N194" t="str">
        <f>VLOOKUP(D194,'Jer-Tip-Emp'!B:F,5,0)</f>
        <v>Personal</v>
      </c>
      <c r="O194" t="str">
        <f>VLOOKUP(D194,'Jer-Tip-Emp'!B:G,6,0)</f>
        <v>Caja</v>
      </c>
    </row>
    <row r="195" spans="1:15" ht="27.5" hidden="1" customHeight="1" x14ac:dyDescent="0.2">
      <c r="A195">
        <v>2025</v>
      </c>
      <c r="B195" t="s">
        <v>604</v>
      </c>
      <c r="C195" t="s">
        <v>595</v>
      </c>
      <c r="D195" s="19" t="s">
        <v>262</v>
      </c>
      <c r="E195" s="18" t="s">
        <v>102</v>
      </c>
      <c r="F195" s="18">
        <v>10</v>
      </c>
      <c r="G195" s="20">
        <v>169000</v>
      </c>
      <c r="H195" s="18">
        <v>0</v>
      </c>
      <c r="I195" s="20">
        <v>62150</v>
      </c>
      <c r="J195" s="8">
        <f t="shared" si="9"/>
        <v>106850</v>
      </c>
      <c r="K195" s="10">
        <f t="shared" si="10"/>
        <v>0.63224852071005921</v>
      </c>
      <c r="L195" s="17">
        <f t="shared" si="11"/>
        <v>0</v>
      </c>
      <c r="M195" t="str">
        <f>VLOOKUP(D195,'Jer-Tip-Emp'!B:E,4,0)</f>
        <v>Entradas</v>
      </c>
      <c r="N195" t="str">
        <f>VLOOKUP(D195,'Jer-Tip-Emp'!B:F,5,0)</f>
        <v>Otro</v>
      </c>
      <c r="O195" t="str">
        <f>VLOOKUP(D195,'Jer-Tip-Emp'!B:G,6,0)</f>
        <v>Otro</v>
      </c>
    </row>
    <row r="196" spans="1:15" ht="27.5" customHeight="1" x14ac:dyDescent="0.2">
      <c r="A196">
        <v>2025</v>
      </c>
      <c r="B196" t="s">
        <v>604</v>
      </c>
      <c r="C196" t="s">
        <v>595</v>
      </c>
      <c r="D196" s="19" t="s">
        <v>354</v>
      </c>
      <c r="E196" s="18" t="s">
        <v>548</v>
      </c>
      <c r="F196" s="18">
        <v>10</v>
      </c>
      <c r="G196" s="18">
        <v>0</v>
      </c>
      <c r="H196" s="18">
        <v>0</v>
      </c>
      <c r="I196" s="20">
        <v>26340</v>
      </c>
      <c r="J196" s="8">
        <f t="shared" si="9"/>
        <v>-26340</v>
      </c>
      <c r="K196" s="10">
        <f t="shared" si="10"/>
        <v>0</v>
      </c>
      <c r="L196" s="17">
        <f t="shared" si="11"/>
        <v>0</v>
      </c>
      <c r="M196" t="str">
        <f>VLOOKUP(D196,'Jer-Tip-Emp'!B:E,4,0)</f>
        <v>Arma tu plato</v>
      </c>
      <c r="N196" t="str">
        <f>VLOOKUP(D196,'Jer-Tip-Emp'!B:F,5,0)</f>
        <v>Personal</v>
      </c>
      <c r="O196" t="str">
        <f>VLOOKUP(D196,'Jer-Tip-Emp'!B:G,6,0)</f>
        <v>Caja</v>
      </c>
    </row>
    <row r="197" spans="1:15" ht="27.5" customHeight="1" x14ac:dyDescent="0.2">
      <c r="A197">
        <v>2025</v>
      </c>
      <c r="B197" t="s">
        <v>604</v>
      </c>
      <c r="C197" t="s">
        <v>595</v>
      </c>
      <c r="D197" s="19" t="s">
        <v>333</v>
      </c>
      <c r="E197" s="18" t="s">
        <v>547</v>
      </c>
      <c r="F197" s="18">
        <v>9</v>
      </c>
      <c r="G197" s="18">
        <v>0</v>
      </c>
      <c r="H197" s="18">
        <v>0</v>
      </c>
      <c r="I197" s="20">
        <v>29898</v>
      </c>
      <c r="J197" s="8">
        <f t="shared" si="9"/>
        <v>-29898</v>
      </c>
      <c r="K197" s="10">
        <f t="shared" si="10"/>
        <v>0</v>
      </c>
      <c r="L197" s="17">
        <f t="shared" si="11"/>
        <v>0</v>
      </c>
      <c r="M197" t="str">
        <f>VLOOKUP(D197,'Jer-Tip-Emp'!B:E,4,0)</f>
        <v>Arma tu plato</v>
      </c>
      <c r="N197" t="str">
        <f>VLOOKUP(D197,'Jer-Tip-Emp'!B:F,5,0)</f>
        <v>Personal</v>
      </c>
      <c r="O197" t="str">
        <f>VLOOKUP(D197,'Jer-Tip-Emp'!B:G,6,0)</f>
        <v>Caja</v>
      </c>
    </row>
    <row r="198" spans="1:15" ht="27.5" customHeight="1" x14ac:dyDescent="0.2">
      <c r="A198">
        <v>2025</v>
      </c>
      <c r="B198" t="s">
        <v>604</v>
      </c>
      <c r="C198" t="s">
        <v>595</v>
      </c>
      <c r="D198" s="19" t="s">
        <v>212</v>
      </c>
      <c r="E198" s="18" t="s">
        <v>160</v>
      </c>
      <c r="F198" s="18">
        <v>9</v>
      </c>
      <c r="G198" s="20">
        <v>260100</v>
      </c>
      <c r="H198" s="18">
        <v>0</v>
      </c>
      <c r="I198" s="20">
        <v>101277</v>
      </c>
      <c r="J198" s="8">
        <f t="shared" si="9"/>
        <v>158823</v>
      </c>
      <c r="K198" s="10">
        <f t="shared" si="10"/>
        <v>0.61062283737024226</v>
      </c>
      <c r="L198" s="17">
        <f t="shared" si="11"/>
        <v>0</v>
      </c>
      <c r="M198" t="str">
        <f>VLOOKUP(D198,'Jer-Tip-Emp'!B:E,4,0)</f>
        <v>Combos personales</v>
      </c>
      <c r="N198" t="str">
        <f>VLOOKUP(D198,'Jer-Tip-Emp'!B:F,5,0)</f>
        <v>Personal</v>
      </c>
      <c r="O198" t="str">
        <f>VLOOKUP(D198,'Jer-Tip-Emp'!B:G,6,0)</f>
        <v>Combo</v>
      </c>
    </row>
    <row r="199" spans="1:15" ht="27.5" hidden="1" customHeight="1" x14ac:dyDescent="0.2">
      <c r="A199">
        <v>2025</v>
      </c>
      <c r="B199" t="s">
        <v>604</v>
      </c>
      <c r="C199" t="s">
        <v>595</v>
      </c>
      <c r="D199" s="19" t="s">
        <v>189</v>
      </c>
      <c r="E199" s="18" t="s">
        <v>21</v>
      </c>
      <c r="F199" s="18">
        <v>8</v>
      </c>
      <c r="G199" s="20">
        <v>55200</v>
      </c>
      <c r="H199" s="18">
        <v>0</v>
      </c>
      <c r="I199" s="20">
        <v>19712</v>
      </c>
      <c r="J199" s="8">
        <f t="shared" si="9"/>
        <v>35488</v>
      </c>
      <c r="K199" s="10">
        <f t="shared" si="10"/>
        <v>0.64289855072463764</v>
      </c>
      <c r="L199" s="17">
        <f t="shared" si="11"/>
        <v>0</v>
      </c>
      <c r="M199" t="str">
        <f>VLOOKUP(D199,'Jer-Tip-Emp'!B:E,4,0)</f>
        <v>Adición</v>
      </c>
      <c r="N199" t="str">
        <f>VLOOKUP(D199,'Jer-Tip-Emp'!B:F,5,0)</f>
        <v>Adición</v>
      </c>
      <c r="O199" t="str">
        <f>VLOOKUP(D199,'Jer-Tip-Emp'!B:G,6,0)</f>
        <v>Adición</v>
      </c>
    </row>
    <row r="200" spans="1:15" ht="27.5" customHeight="1" x14ac:dyDescent="0.2">
      <c r="A200">
        <v>2025</v>
      </c>
      <c r="B200" t="s">
        <v>604</v>
      </c>
      <c r="C200" t="s">
        <v>595</v>
      </c>
      <c r="D200" s="19" t="s">
        <v>285</v>
      </c>
      <c r="E200" s="18" t="s">
        <v>146</v>
      </c>
      <c r="F200" s="18">
        <v>8</v>
      </c>
      <c r="G200" s="20">
        <v>175200</v>
      </c>
      <c r="H200" s="18">
        <v>0</v>
      </c>
      <c r="I200" s="20">
        <v>67712</v>
      </c>
      <c r="J200" s="8">
        <f t="shared" si="9"/>
        <v>107488</v>
      </c>
      <c r="K200" s="10">
        <f t="shared" si="10"/>
        <v>0.61351598173515987</v>
      </c>
      <c r="L200" s="17">
        <f t="shared" si="11"/>
        <v>0</v>
      </c>
      <c r="M200" t="str">
        <f>VLOOKUP(D200,'Jer-Tip-Emp'!B:E,4,0)</f>
        <v>Platos mong</v>
      </c>
      <c r="N200" t="str">
        <f>VLOOKUP(D200,'Jer-Tip-Emp'!B:F,5,0)</f>
        <v>Personal</v>
      </c>
      <c r="O200" t="str">
        <f>VLOOKUP(D200,'Jer-Tip-Emp'!B:G,6,0)</f>
        <v>Caja</v>
      </c>
    </row>
    <row r="201" spans="1:15" ht="27.5" customHeight="1" x14ac:dyDescent="0.2">
      <c r="A201">
        <v>2025</v>
      </c>
      <c r="B201" t="s">
        <v>604</v>
      </c>
      <c r="C201" t="s">
        <v>595</v>
      </c>
      <c r="D201" s="19" t="s">
        <v>180</v>
      </c>
      <c r="E201" s="18" t="s">
        <v>128</v>
      </c>
      <c r="F201" s="18">
        <v>8</v>
      </c>
      <c r="G201" s="20">
        <v>165980</v>
      </c>
      <c r="H201" s="20">
        <v>-1220</v>
      </c>
      <c r="I201" s="20">
        <v>54704</v>
      </c>
      <c r="J201" s="8">
        <f t="shared" si="9"/>
        <v>111276</v>
      </c>
      <c r="K201" s="10">
        <f t="shared" si="10"/>
        <v>0.67041812266538137</v>
      </c>
      <c r="L201" s="17">
        <f t="shared" si="11"/>
        <v>7.3502831666465837E-3</v>
      </c>
      <c r="M201" t="str">
        <f>VLOOKUP(D201,'Jer-Tip-Emp'!B:E,4,0)</f>
        <v>Platos mong</v>
      </c>
      <c r="N201" t="str">
        <f>VLOOKUP(D201,'Jer-Tip-Emp'!B:F,5,0)</f>
        <v>Personal</v>
      </c>
      <c r="O201" t="str">
        <f>VLOOKUP(D201,'Jer-Tip-Emp'!B:G,6,0)</f>
        <v>Caja</v>
      </c>
    </row>
    <row r="202" spans="1:15" ht="27.5" hidden="1" customHeight="1" x14ac:dyDescent="0.2">
      <c r="A202">
        <v>2025</v>
      </c>
      <c r="B202" t="s">
        <v>604</v>
      </c>
      <c r="C202" t="s">
        <v>595</v>
      </c>
      <c r="D202" s="19" t="s">
        <v>282</v>
      </c>
      <c r="E202" s="18" t="s">
        <v>19</v>
      </c>
      <c r="F202" s="18">
        <v>8</v>
      </c>
      <c r="G202" s="20">
        <v>47200</v>
      </c>
      <c r="H202" s="18">
        <v>0</v>
      </c>
      <c r="I202" s="20">
        <v>32784</v>
      </c>
      <c r="J202" s="8">
        <f t="shared" si="9"/>
        <v>14416</v>
      </c>
      <c r="K202" s="10">
        <f t="shared" si="10"/>
        <v>0.30542372881355934</v>
      </c>
      <c r="L202" s="17">
        <f t="shared" si="11"/>
        <v>0</v>
      </c>
      <c r="M202" t="str">
        <f>VLOOKUP(D202,'Jer-Tip-Emp'!B:E,4,0)</f>
        <v>Adición</v>
      </c>
      <c r="N202" t="str">
        <f>VLOOKUP(D202,'Jer-Tip-Emp'!B:F,5,0)</f>
        <v>Adición</v>
      </c>
      <c r="O202" t="str">
        <f>VLOOKUP(D202,'Jer-Tip-Emp'!B:G,6,0)</f>
        <v>Adición</v>
      </c>
    </row>
    <row r="203" spans="1:15" ht="27.5" customHeight="1" x14ac:dyDescent="0.2">
      <c r="A203">
        <v>2025</v>
      </c>
      <c r="B203" t="s">
        <v>604</v>
      </c>
      <c r="C203" t="s">
        <v>595</v>
      </c>
      <c r="D203" s="19" t="s">
        <v>448</v>
      </c>
      <c r="E203" s="18" t="s">
        <v>552</v>
      </c>
      <c r="F203" s="18">
        <v>8</v>
      </c>
      <c r="G203" s="18">
        <v>0</v>
      </c>
      <c r="H203" s="18">
        <v>0</v>
      </c>
      <c r="I203" s="20">
        <v>42104</v>
      </c>
      <c r="J203" s="8">
        <f t="shared" si="9"/>
        <v>-42104</v>
      </c>
      <c r="K203" s="10">
        <f t="shared" si="10"/>
        <v>0</v>
      </c>
      <c r="L203" s="17">
        <f t="shared" si="11"/>
        <v>0</v>
      </c>
      <c r="M203" t="str">
        <f>VLOOKUP(D203,'Jer-Tip-Emp'!B:E,4,0)</f>
        <v>Arma tu plato</v>
      </c>
      <c r="N203" t="str">
        <f>VLOOKUP(D203,'Jer-Tip-Emp'!B:F,5,0)</f>
        <v>Personal</v>
      </c>
      <c r="O203" t="str">
        <f>VLOOKUP(D203,'Jer-Tip-Emp'!B:G,6,0)</f>
        <v>Caja</v>
      </c>
    </row>
    <row r="204" spans="1:15" ht="27.5" hidden="1" customHeight="1" x14ac:dyDescent="0.2">
      <c r="A204">
        <v>2025</v>
      </c>
      <c r="B204" t="s">
        <v>604</v>
      </c>
      <c r="C204" t="s">
        <v>595</v>
      </c>
      <c r="D204" s="19" t="s">
        <v>268</v>
      </c>
      <c r="E204" s="18" t="s">
        <v>17</v>
      </c>
      <c r="F204" s="18">
        <v>7</v>
      </c>
      <c r="G204" s="20">
        <v>40400</v>
      </c>
      <c r="H204" s="18">
        <v>-900</v>
      </c>
      <c r="I204" s="20">
        <v>8974</v>
      </c>
      <c r="J204" s="8">
        <f t="shared" si="9"/>
        <v>31426</v>
      </c>
      <c r="K204" s="10">
        <f t="shared" si="10"/>
        <v>0.7778712871287129</v>
      </c>
      <c r="L204" s="17">
        <f t="shared" si="11"/>
        <v>2.2277227722772276E-2</v>
      </c>
      <c r="M204" t="str">
        <f>VLOOKUP(D204,'Jer-Tip-Emp'!B:E,4,0)</f>
        <v>Adición</v>
      </c>
      <c r="N204" t="str">
        <f>VLOOKUP(D204,'Jer-Tip-Emp'!B:F,5,0)</f>
        <v>Adición</v>
      </c>
      <c r="O204" t="str">
        <f>VLOOKUP(D204,'Jer-Tip-Emp'!B:G,6,0)</f>
        <v>Adición</v>
      </c>
    </row>
    <row r="205" spans="1:15" ht="27.5" hidden="1" customHeight="1" x14ac:dyDescent="0.2">
      <c r="A205">
        <v>2025</v>
      </c>
      <c r="B205" t="s">
        <v>604</v>
      </c>
      <c r="C205" t="s">
        <v>595</v>
      </c>
      <c r="D205" s="19" t="s">
        <v>176</v>
      </c>
      <c r="E205" s="18" t="s">
        <v>544</v>
      </c>
      <c r="F205" s="18">
        <v>7</v>
      </c>
      <c r="G205" s="20">
        <v>7000</v>
      </c>
      <c r="H205" s="18">
        <v>0</v>
      </c>
      <c r="I205" s="20">
        <v>13615</v>
      </c>
      <c r="J205" s="8">
        <f t="shared" si="9"/>
        <v>-6615</v>
      </c>
      <c r="K205" s="10">
        <f t="shared" si="10"/>
        <v>-0.94499999999999995</v>
      </c>
      <c r="L205" s="17">
        <f t="shared" si="11"/>
        <v>0</v>
      </c>
      <c r="M205" t="str">
        <f>VLOOKUP(D205,'Jer-Tip-Emp'!B:E,4,0)</f>
        <v>Bebidas</v>
      </c>
      <c r="N205" t="str">
        <f>VLOOKUP(D205,'Jer-Tip-Emp'!B:F,5,0)</f>
        <v>Bebidas Cambio de bebida</v>
      </c>
      <c r="O205" t="str">
        <f>VLOOKUP(D205,'Jer-Tip-Emp'!B:G,6,0)</f>
        <v>Bebidas</v>
      </c>
    </row>
    <row r="206" spans="1:15" ht="27.5" customHeight="1" x14ac:dyDescent="0.2">
      <c r="A206">
        <v>2025</v>
      </c>
      <c r="B206" t="s">
        <v>604</v>
      </c>
      <c r="C206" t="s">
        <v>595</v>
      </c>
      <c r="D206" s="19" t="s">
        <v>244</v>
      </c>
      <c r="E206" s="18" t="s">
        <v>113</v>
      </c>
      <c r="F206" s="18">
        <v>6</v>
      </c>
      <c r="G206" s="20">
        <v>173400</v>
      </c>
      <c r="H206" s="18">
        <v>0</v>
      </c>
      <c r="I206" s="20">
        <v>45630</v>
      </c>
      <c r="J206" s="8">
        <f t="shared" si="9"/>
        <v>127770</v>
      </c>
      <c r="K206" s="10">
        <f t="shared" si="10"/>
        <v>0.73685121107266438</v>
      </c>
      <c r="L206" s="17">
        <f t="shared" si="11"/>
        <v>0</v>
      </c>
      <c r="M206" t="str">
        <f>VLOOKUP(D206,'Jer-Tip-Emp'!B:E,4,0)</f>
        <v>Platos especiales</v>
      </c>
      <c r="N206" t="str">
        <f>VLOOKUP(D206,'Jer-Tip-Emp'!B:F,5,0)</f>
        <v>Personal</v>
      </c>
      <c r="O206" t="str">
        <f>VLOOKUP(D206,'Jer-Tip-Emp'!B:G,6,0)</f>
        <v>Platos especiales</v>
      </c>
    </row>
    <row r="207" spans="1:15" ht="27.5" customHeight="1" x14ac:dyDescent="0.2">
      <c r="A207">
        <v>2025</v>
      </c>
      <c r="B207" t="s">
        <v>604</v>
      </c>
      <c r="C207" t="s">
        <v>595</v>
      </c>
      <c r="D207" s="19" t="s">
        <v>206</v>
      </c>
      <c r="E207" s="18" t="s">
        <v>117</v>
      </c>
      <c r="F207" s="18">
        <v>6</v>
      </c>
      <c r="G207" s="20">
        <v>84500</v>
      </c>
      <c r="H207" s="20">
        <v>-16900</v>
      </c>
      <c r="I207" s="20">
        <v>42750</v>
      </c>
      <c r="J207" s="8">
        <f t="shared" si="9"/>
        <v>41750</v>
      </c>
      <c r="K207" s="10">
        <f t="shared" si="10"/>
        <v>0.49408284023668642</v>
      </c>
      <c r="L207" s="17">
        <f t="shared" si="11"/>
        <v>0.2</v>
      </c>
      <c r="M207" t="str">
        <f>VLOOKUP(D207,'Jer-Tip-Emp'!B:E,4,0)</f>
        <v>Platos especiales</v>
      </c>
      <c r="N207" t="str">
        <f>VLOOKUP(D207,'Jer-Tip-Emp'!B:F,5,0)</f>
        <v>Personal</v>
      </c>
      <c r="O207" t="str">
        <f>VLOOKUP(D207,'Jer-Tip-Emp'!B:G,6,0)</f>
        <v>Platos especiales</v>
      </c>
    </row>
    <row r="208" spans="1:15" ht="27.5" customHeight="1" x14ac:dyDescent="0.2">
      <c r="A208">
        <v>2025</v>
      </c>
      <c r="B208" t="s">
        <v>604</v>
      </c>
      <c r="C208" t="s">
        <v>595</v>
      </c>
      <c r="D208" s="19" t="s">
        <v>293</v>
      </c>
      <c r="E208" s="18" t="s">
        <v>127</v>
      </c>
      <c r="F208" s="18">
        <v>6</v>
      </c>
      <c r="G208" s="20">
        <v>347400</v>
      </c>
      <c r="H208" s="18">
        <v>0</v>
      </c>
      <c r="I208" s="20">
        <v>168342</v>
      </c>
      <c r="J208" s="8">
        <f t="shared" si="9"/>
        <v>179058</v>
      </c>
      <c r="K208" s="10">
        <f t="shared" si="10"/>
        <v>0.51542314335060446</v>
      </c>
      <c r="L208" s="17">
        <f t="shared" si="11"/>
        <v>0</v>
      </c>
      <c r="M208" t="str">
        <f>VLOOKUP(D208,'Jer-Tip-Emp'!B:E,4,0)</f>
        <v>Platos mong</v>
      </c>
      <c r="N208" t="str">
        <f>VLOOKUP(D208,'Jer-Tip-Emp'!B:F,5,0)</f>
        <v>No Personal</v>
      </c>
      <c r="O208" t="str">
        <f>VLOOKUP(D208,'Jer-Tip-Emp'!B:G,6,0)</f>
        <v>Caja</v>
      </c>
    </row>
    <row r="209" spans="1:15" ht="27.5" customHeight="1" x14ac:dyDescent="0.2">
      <c r="A209">
        <v>2025</v>
      </c>
      <c r="B209" t="s">
        <v>604</v>
      </c>
      <c r="C209" t="s">
        <v>595</v>
      </c>
      <c r="D209" s="19" t="s">
        <v>205</v>
      </c>
      <c r="E209" s="18" t="s">
        <v>141</v>
      </c>
      <c r="F209" s="18">
        <v>6</v>
      </c>
      <c r="G209" s="20">
        <v>95400</v>
      </c>
      <c r="H209" s="18">
        <v>0</v>
      </c>
      <c r="I209" s="20">
        <v>36384</v>
      </c>
      <c r="J209" s="8">
        <f t="shared" si="9"/>
        <v>59016</v>
      </c>
      <c r="K209" s="10">
        <f t="shared" si="10"/>
        <v>0.61861635220125788</v>
      </c>
      <c r="L209" s="17">
        <f t="shared" si="11"/>
        <v>0</v>
      </c>
      <c r="M209" t="str">
        <f>VLOOKUP(D209,'Jer-Tip-Emp'!B:E,4,0)</f>
        <v>Platos mong</v>
      </c>
      <c r="N209" t="str">
        <f>VLOOKUP(D209,'Jer-Tip-Emp'!B:F,5,0)</f>
        <v>Personal</v>
      </c>
      <c r="O209" t="str">
        <f>VLOOKUP(D209,'Jer-Tip-Emp'!B:G,6,0)</f>
        <v>Caja</v>
      </c>
    </row>
    <row r="210" spans="1:15" ht="27.5" customHeight="1" x14ac:dyDescent="0.2">
      <c r="A210">
        <v>2025</v>
      </c>
      <c r="B210" t="s">
        <v>604</v>
      </c>
      <c r="C210" t="s">
        <v>595</v>
      </c>
      <c r="D210" s="19" t="s">
        <v>294</v>
      </c>
      <c r="E210" s="18" t="s">
        <v>108</v>
      </c>
      <c r="F210" s="18">
        <v>6</v>
      </c>
      <c r="G210" s="20">
        <v>119400</v>
      </c>
      <c r="H210" s="18">
        <v>0</v>
      </c>
      <c r="I210" s="20">
        <v>49098</v>
      </c>
      <c r="J210" s="8">
        <f t="shared" si="9"/>
        <v>70302</v>
      </c>
      <c r="K210" s="10">
        <f t="shared" si="10"/>
        <v>0.58879396984924626</v>
      </c>
      <c r="L210" s="17">
        <f t="shared" si="11"/>
        <v>0</v>
      </c>
      <c r="M210" t="str">
        <f>VLOOKUP(D210,'Jer-Tip-Emp'!B:E,4,0)</f>
        <v>Mong Express</v>
      </c>
      <c r="N210" t="str">
        <f>VLOOKUP(D210,'Jer-Tip-Emp'!B:F,5,0)</f>
        <v>Personal</v>
      </c>
      <c r="O210" t="str">
        <f>VLOOKUP(D210,'Jer-Tip-Emp'!B:G,6,0)</f>
        <v>Caja</v>
      </c>
    </row>
    <row r="211" spans="1:15" ht="27.5" customHeight="1" x14ac:dyDescent="0.2">
      <c r="A211">
        <v>2025</v>
      </c>
      <c r="B211" t="s">
        <v>604</v>
      </c>
      <c r="C211" t="s">
        <v>595</v>
      </c>
      <c r="D211" s="19" t="s">
        <v>303</v>
      </c>
      <c r="E211" s="18" t="s">
        <v>120</v>
      </c>
      <c r="F211" s="18">
        <v>6</v>
      </c>
      <c r="G211" s="20">
        <v>137400</v>
      </c>
      <c r="H211" s="18">
        <v>0</v>
      </c>
      <c r="I211" s="20">
        <v>45084</v>
      </c>
      <c r="J211" s="8">
        <f t="shared" si="9"/>
        <v>92316</v>
      </c>
      <c r="K211" s="10">
        <f t="shared" si="10"/>
        <v>0.67187772925764189</v>
      </c>
      <c r="L211" s="17">
        <f t="shared" si="11"/>
        <v>0</v>
      </c>
      <c r="M211" t="str">
        <f>VLOOKUP(D211,'Jer-Tip-Emp'!B:E,4,0)</f>
        <v>Platos mong</v>
      </c>
      <c r="N211" t="str">
        <f>VLOOKUP(D211,'Jer-Tip-Emp'!B:F,5,0)</f>
        <v>Personal</v>
      </c>
      <c r="O211" t="str">
        <f>VLOOKUP(D211,'Jer-Tip-Emp'!B:G,6,0)</f>
        <v>Caja</v>
      </c>
    </row>
    <row r="212" spans="1:15" ht="27.5" hidden="1" customHeight="1" x14ac:dyDescent="0.2">
      <c r="A212">
        <v>2025</v>
      </c>
      <c r="B212" t="s">
        <v>604</v>
      </c>
      <c r="C212" t="s">
        <v>595</v>
      </c>
      <c r="D212" s="19" t="s">
        <v>500</v>
      </c>
      <c r="E212" s="18" t="s">
        <v>546</v>
      </c>
      <c r="F212" s="18">
        <v>5</v>
      </c>
      <c r="G212" s="18">
        <v>0</v>
      </c>
      <c r="H212" s="18">
        <v>0</v>
      </c>
      <c r="I212" s="20">
        <v>4340</v>
      </c>
      <c r="J212" s="8">
        <f t="shared" si="9"/>
        <v>-4340</v>
      </c>
      <c r="K212" s="10">
        <f t="shared" si="10"/>
        <v>0</v>
      </c>
      <c r="L212" s="17">
        <f t="shared" si="11"/>
        <v>0</v>
      </c>
      <c r="M212" t="str">
        <f>VLOOKUP(D212,'Jer-Tip-Emp'!B:E,4,0)</f>
        <v>Bebidas</v>
      </c>
      <c r="N212" t="str">
        <f>VLOOKUP(D212,'Jer-Tip-Emp'!B:F,5,0)</f>
        <v>Bebidas Cambio de bebida</v>
      </c>
      <c r="O212" t="str">
        <f>VLOOKUP(D212,'Jer-Tip-Emp'!B:G,6,0)</f>
        <v>Bebidas</v>
      </c>
    </row>
    <row r="213" spans="1:15" ht="27.5" customHeight="1" x14ac:dyDescent="0.2">
      <c r="A213">
        <v>2025</v>
      </c>
      <c r="B213" t="s">
        <v>604</v>
      </c>
      <c r="C213" t="s">
        <v>595</v>
      </c>
      <c r="D213" s="19" t="s">
        <v>232</v>
      </c>
      <c r="E213" s="18" t="s">
        <v>94</v>
      </c>
      <c r="F213" s="18">
        <v>5</v>
      </c>
      <c r="G213" s="20">
        <v>114500</v>
      </c>
      <c r="H213" s="18">
        <v>0</v>
      </c>
      <c r="I213" s="20">
        <v>47020</v>
      </c>
      <c r="J213" s="8">
        <f t="shared" si="9"/>
        <v>67480</v>
      </c>
      <c r="K213" s="10">
        <f t="shared" si="10"/>
        <v>0.58934497816593889</v>
      </c>
      <c r="L213" s="17">
        <f t="shared" si="11"/>
        <v>0</v>
      </c>
      <c r="M213" t="str">
        <f>VLOOKUP(D213,'Jer-Tip-Emp'!B:E,4,0)</f>
        <v>Platos mong</v>
      </c>
      <c r="N213" t="str">
        <f>VLOOKUP(D213,'Jer-Tip-Emp'!B:F,5,0)</f>
        <v>Personal</v>
      </c>
      <c r="O213" t="str">
        <f>VLOOKUP(D213,'Jer-Tip-Emp'!B:G,6,0)</f>
        <v>Caja</v>
      </c>
    </row>
    <row r="214" spans="1:15" ht="27.5" customHeight="1" x14ac:dyDescent="0.2">
      <c r="A214">
        <v>2025</v>
      </c>
      <c r="B214" t="s">
        <v>604</v>
      </c>
      <c r="C214" t="s">
        <v>595</v>
      </c>
      <c r="D214" s="19" t="s">
        <v>279</v>
      </c>
      <c r="E214" s="18" t="s">
        <v>132</v>
      </c>
      <c r="F214" s="18">
        <v>5</v>
      </c>
      <c r="G214" s="20">
        <v>174500</v>
      </c>
      <c r="H214" s="18">
        <v>0</v>
      </c>
      <c r="I214" s="20">
        <v>56085</v>
      </c>
      <c r="J214" s="8">
        <f t="shared" si="9"/>
        <v>118415</v>
      </c>
      <c r="K214" s="10">
        <f t="shared" si="10"/>
        <v>0.67859598853868197</v>
      </c>
      <c r="L214" s="17">
        <f t="shared" si="11"/>
        <v>0</v>
      </c>
      <c r="M214" t="str">
        <f>VLOOKUP(D214,'Jer-Tip-Emp'!B:E,4,0)</f>
        <v>Platos mong</v>
      </c>
      <c r="N214" t="str">
        <f>VLOOKUP(D214,'Jer-Tip-Emp'!B:F,5,0)</f>
        <v>No Personal</v>
      </c>
      <c r="O214" t="str">
        <f>VLOOKUP(D214,'Jer-Tip-Emp'!B:G,6,0)</f>
        <v>Caja</v>
      </c>
    </row>
    <row r="215" spans="1:15" ht="27.5" hidden="1" customHeight="1" x14ac:dyDescent="0.2">
      <c r="A215">
        <v>2025</v>
      </c>
      <c r="B215" t="s">
        <v>604</v>
      </c>
      <c r="C215" t="s">
        <v>595</v>
      </c>
      <c r="D215" s="19" t="s">
        <v>336</v>
      </c>
      <c r="E215" s="18" t="s">
        <v>60</v>
      </c>
      <c r="F215" s="18">
        <v>5</v>
      </c>
      <c r="G215" s="20">
        <v>24500</v>
      </c>
      <c r="H215" s="18">
        <v>0</v>
      </c>
      <c r="I215" s="20">
        <v>7800</v>
      </c>
      <c r="J215" s="8">
        <f t="shared" si="9"/>
        <v>16700</v>
      </c>
      <c r="K215" s="10">
        <f t="shared" si="10"/>
        <v>0.68163265306122445</v>
      </c>
      <c r="L215" s="17">
        <f t="shared" si="11"/>
        <v>0</v>
      </c>
      <c r="M215" t="str">
        <f>VLOOKUP(D215,'Jer-Tip-Emp'!B:E,4,0)</f>
        <v>Bebidas</v>
      </c>
      <c r="N215" t="str">
        <f>VLOOKUP(D215,'Jer-Tip-Emp'!B:F,5,0)</f>
        <v>Bebidas</v>
      </c>
      <c r="O215" t="str">
        <f>VLOOKUP(D215,'Jer-Tip-Emp'!B:G,6,0)</f>
        <v>Bebidas</v>
      </c>
    </row>
    <row r="216" spans="1:15" ht="27.5" hidden="1" customHeight="1" x14ac:dyDescent="0.2">
      <c r="A216">
        <v>2025</v>
      </c>
      <c r="B216" t="s">
        <v>604</v>
      </c>
      <c r="C216" t="s">
        <v>595</v>
      </c>
      <c r="D216" s="19" t="s">
        <v>183</v>
      </c>
      <c r="E216" s="18" t="s">
        <v>104</v>
      </c>
      <c r="F216" s="18">
        <v>5</v>
      </c>
      <c r="G216" s="20">
        <v>79262</v>
      </c>
      <c r="H216" s="18">
        <v>-238</v>
      </c>
      <c r="I216" s="20">
        <v>50140</v>
      </c>
      <c r="J216" s="8">
        <f t="shared" si="9"/>
        <v>29122</v>
      </c>
      <c r="K216" s="10">
        <f t="shared" si="10"/>
        <v>0.36741439781988849</v>
      </c>
      <c r="L216" s="17">
        <f t="shared" si="11"/>
        <v>3.0026999066387425E-3</v>
      </c>
      <c r="M216" t="str">
        <f>VLOOKUP(D216,'Jer-Tip-Emp'!B:E,4,0)</f>
        <v>Entradas</v>
      </c>
      <c r="N216" t="str">
        <f>VLOOKUP(D216,'Jer-Tip-Emp'!B:F,5,0)</f>
        <v>Otro</v>
      </c>
      <c r="O216" t="str">
        <f>VLOOKUP(D216,'Jer-Tip-Emp'!B:G,6,0)</f>
        <v>Otro</v>
      </c>
    </row>
    <row r="217" spans="1:15" ht="27.5" customHeight="1" x14ac:dyDescent="0.2">
      <c r="A217">
        <v>2025</v>
      </c>
      <c r="B217" t="s">
        <v>604</v>
      </c>
      <c r="C217" t="s">
        <v>595</v>
      </c>
      <c r="D217" s="19" t="s">
        <v>470</v>
      </c>
      <c r="E217" s="18" t="s">
        <v>550</v>
      </c>
      <c r="F217" s="18">
        <v>5</v>
      </c>
      <c r="G217" s="18">
        <v>0</v>
      </c>
      <c r="H217" s="18">
        <v>0</v>
      </c>
      <c r="I217" s="20">
        <v>15485</v>
      </c>
      <c r="J217" s="8">
        <f t="shared" si="9"/>
        <v>-15485</v>
      </c>
      <c r="K217" s="10">
        <f t="shared" si="10"/>
        <v>0</v>
      </c>
      <c r="L217" s="17">
        <f t="shared" si="11"/>
        <v>0</v>
      </c>
      <c r="M217" t="str">
        <f>VLOOKUP(D217,'Jer-Tip-Emp'!B:E,4,0)</f>
        <v>Arma tu plato</v>
      </c>
      <c r="N217" t="str">
        <f>VLOOKUP(D217,'Jer-Tip-Emp'!B:F,5,0)</f>
        <v>Personal</v>
      </c>
      <c r="O217" t="str">
        <f>VLOOKUP(D217,'Jer-Tip-Emp'!B:G,6,0)</f>
        <v>Caja</v>
      </c>
    </row>
    <row r="218" spans="1:15" ht="27.5" customHeight="1" x14ac:dyDescent="0.2">
      <c r="A218">
        <v>2025</v>
      </c>
      <c r="B218" t="s">
        <v>604</v>
      </c>
      <c r="C218" t="s">
        <v>595</v>
      </c>
      <c r="D218" s="19" t="s">
        <v>266</v>
      </c>
      <c r="E218" s="18" t="s">
        <v>85</v>
      </c>
      <c r="F218" s="18">
        <v>5</v>
      </c>
      <c r="G218" s="20">
        <v>343500</v>
      </c>
      <c r="H218" s="20">
        <v>-6000</v>
      </c>
      <c r="I218" s="20">
        <v>196105</v>
      </c>
      <c r="J218" s="8">
        <f t="shared" si="9"/>
        <v>147395</v>
      </c>
      <c r="K218" s="10">
        <f t="shared" si="10"/>
        <v>0.42909752547307134</v>
      </c>
      <c r="L218" s="17">
        <f t="shared" si="11"/>
        <v>1.7467248908296942E-2</v>
      </c>
      <c r="M218" t="str">
        <f>VLOOKUP(D218,'Jer-Tip-Emp'!B:E,4,0)</f>
        <v>Combos para compartir</v>
      </c>
      <c r="N218" t="str">
        <f>VLOOKUP(D218,'Jer-Tip-Emp'!B:F,5,0)</f>
        <v>No Personal</v>
      </c>
      <c r="O218" t="str">
        <f>VLOOKUP(D218,'Jer-Tip-Emp'!B:G,6,0)</f>
        <v>Combo</v>
      </c>
    </row>
    <row r="219" spans="1:15" ht="27.5" customHeight="1" x14ac:dyDescent="0.2">
      <c r="A219">
        <v>2025</v>
      </c>
      <c r="B219" t="s">
        <v>604</v>
      </c>
      <c r="C219" t="s">
        <v>595</v>
      </c>
      <c r="D219" s="19" t="s">
        <v>202</v>
      </c>
      <c r="E219" s="18" t="s">
        <v>142</v>
      </c>
      <c r="F219" s="18">
        <v>5</v>
      </c>
      <c r="G219" s="20">
        <v>169500</v>
      </c>
      <c r="H219" s="18">
        <v>0</v>
      </c>
      <c r="I219" s="20">
        <v>71155</v>
      </c>
      <c r="J219" s="8">
        <f t="shared" si="9"/>
        <v>98345</v>
      </c>
      <c r="K219" s="10">
        <f t="shared" si="10"/>
        <v>0.58020648967551625</v>
      </c>
      <c r="L219" s="17">
        <f t="shared" si="11"/>
        <v>0</v>
      </c>
      <c r="M219" t="str">
        <f>VLOOKUP(D219,'Jer-Tip-Emp'!B:E,4,0)</f>
        <v>Platos mong</v>
      </c>
      <c r="N219" t="str">
        <f>VLOOKUP(D219,'Jer-Tip-Emp'!B:F,5,0)</f>
        <v>No Personal</v>
      </c>
      <c r="O219" t="str">
        <f>VLOOKUP(D219,'Jer-Tip-Emp'!B:G,6,0)</f>
        <v>Caja</v>
      </c>
    </row>
    <row r="220" spans="1:15" ht="27.5" hidden="1" customHeight="1" x14ac:dyDescent="0.2">
      <c r="A220">
        <v>2025</v>
      </c>
      <c r="B220" t="s">
        <v>604</v>
      </c>
      <c r="C220" t="s">
        <v>595</v>
      </c>
      <c r="D220" s="19" t="s">
        <v>218</v>
      </c>
      <c r="E220" s="18" t="s">
        <v>33</v>
      </c>
      <c r="F220" s="18">
        <v>5</v>
      </c>
      <c r="G220" s="20">
        <v>39005</v>
      </c>
      <c r="H220" s="18">
        <v>-495</v>
      </c>
      <c r="I220" s="18">
        <v>0</v>
      </c>
      <c r="J220" s="8">
        <f t="shared" si="9"/>
        <v>39005</v>
      </c>
      <c r="K220" s="10">
        <f t="shared" si="10"/>
        <v>1</v>
      </c>
      <c r="L220" s="17">
        <f t="shared" si="11"/>
        <v>1.2690680681963851E-2</v>
      </c>
      <c r="M220" t="str">
        <f>VLOOKUP(D220,'Jer-Tip-Emp'!B:E,4,0)</f>
        <v>Adición</v>
      </c>
      <c r="N220" t="str">
        <f>VLOOKUP(D220,'Jer-Tip-Emp'!B:F,5,0)</f>
        <v>Adición</v>
      </c>
      <c r="O220" t="str">
        <f>VLOOKUP(D220,'Jer-Tip-Emp'!B:G,6,0)</f>
        <v>Adición</v>
      </c>
    </row>
    <row r="221" spans="1:15" ht="27.5" hidden="1" customHeight="1" x14ac:dyDescent="0.2">
      <c r="A221">
        <v>2025</v>
      </c>
      <c r="B221" t="s">
        <v>604</v>
      </c>
      <c r="C221" t="s">
        <v>595</v>
      </c>
      <c r="D221" s="19" t="s">
        <v>309</v>
      </c>
      <c r="E221" s="18" t="s">
        <v>48</v>
      </c>
      <c r="F221" s="18">
        <v>5</v>
      </c>
      <c r="G221" s="20">
        <v>19500</v>
      </c>
      <c r="H221" s="18">
        <v>0</v>
      </c>
      <c r="I221" s="20">
        <v>5815</v>
      </c>
      <c r="J221" s="8">
        <f t="shared" si="9"/>
        <v>13685</v>
      </c>
      <c r="K221" s="10">
        <f t="shared" si="10"/>
        <v>0.70179487179487177</v>
      </c>
      <c r="L221" s="17">
        <f t="shared" si="11"/>
        <v>0</v>
      </c>
      <c r="M221" t="str">
        <f>VLOOKUP(D221,'Jer-Tip-Emp'!B:E,4,0)</f>
        <v>Bebidas</v>
      </c>
      <c r="N221" t="str">
        <f>VLOOKUP(D221,'Jer-Tip-Emp'!B:F,5,0)</f>
        <v>Bebidas</v>
      </c>
      <c r="O221" t="str">
        <f>VLOOKUP(D221,'Jer-Tip-Emp'!B:G,6,0)</f>
        <v>Bebidas</v>
      </c>
    </row>
    <row r="222" spans="1:15" ht="27.5" customHeight="1" x14ac:dyDescent="0.2">
      <c r="A222">
        <v>2025</v>
      </c>
      <c r="B222" t="s">
        <v>604</v>
      </c>
      <c r="C222" t="s">
        <v>595</v>
      </c>
      <c r="D222" s="19" t="s">
        <v>241</v>
      </c>
      <c r="E222" s="18" t="s">
        <v>107</v>
      </c>
      <c r="F222" s="18">
        <v>5</v>
      </c>
      <c r="G222" s="20">
        <v>387956</v>
      </c>
      <c r="H222" s="20">
        <v>-21544</v>
      </c>
      <c r="I222" s="20">
        <v>213520</v>
      </c>
      <c r="J222" s="8">
        <f t="shared" si="9"/>
        <v>174436</v>
      </c>
      <c r="K222" s="10">
        <f t="shared" si="10"/>
        <v>0.44962830836486611</v>
      </c>
      <c r="L222" s="17">
        <f t="shared" si="11"/>
        <v>5.5532070647186793E-2</v>
      </c>
      <c r="M222" t="str">
        <f>VLOOKUP(D222,'Jer-Tip-Emp'!B:E,4,0)</f>
        <v>Platos mong</v>
      </c>
      <c r="N222" t="str">
        <f>VLOOKUP(D222,'Jer-Tip-Emp'!B:F,5,0)</f>
        <v>No Personal</v>
      </c>
      <c r="O222" t="str">
        <f>VLOOKUP(D222,'Jer-Tip-Emp'!B:G,6,0)</f>
        <v>Caja</v>
      </c>
    </row>
    <row r="223" spans="1:15" ht="27.5" hidden="1" customHeight="1" x14ac:dyDescent="0.2">
      <c r="A223">
        <v>2025</v>
      </c>
      <c r="B223" t="s">
        <v>604</v>
      </c>
      <c r="C223" t="s">
        <v>595</v>
      </c>
      <c r="D223" s="19" t="s">
        <v>337</v>
      </c>
      <c r="E223" s="18" t="s">
        <v>58</v>
      </c>
      <c r="F223" s="18">
        <v>5</v>
      </c>
      <c r="G223" s="20">
        <v>24500</v>
      </c>
      <c r="H223" s="18">
        <v>0</v>
      </c>
      <c r="I223" s="20">
        <v>7800</v>
      </c>
      <c r="J223" s="8">
        <f t="shared" si="9"/>
        <v>16700</v>
      </c>
      <c r="K223" s="10">
        <f t="shared" si="10"/>
        <v>0.68163265306122445</v>
      </c>
      <c r="L223" s="17">
        <f t="shared" si="11"/>
        <v>0</v>
      </c>
      <c r="M223" t="str">
        <f>VLOOKUP(D223,'Jer-Tip-Emp'!B:E,4,0)</f>
        <v>Bebidas</v>
      </c>
      <c r="N223" t="str">
        <f>VLOOKUP(D223,'Jer-Tip-Emp'!B:F,5,0)</f>
        <v>Bebidas</v>
      </c>
      <c r="O223" t="str">
        <f>VLOOKUP(D223,'Jer-Tip-Emp'!B:G,6,0)</f>
        <v>Bebidas</v>
      </c>
    </row>
    <row r="224" spans="1:15" ht="27.5" hidden="1" customHeight="1" x14ac:dyDescent="0.2">
      <c r="A224">
        <v>2025</v>
      </c>
      <c r="B224" t="s">
        <v>604</v>
      </c>
      <c r="C224" t="s">
        <v>595</v>
      </c>
      <c r="D224" s="19" t="s">
        <v>330</v>
      </c>
      <c r="E224" s="18" t="s">
        <v>38</v>
      </c>
      <c r="F224" s="18">
        <v>4</v>
      </c>
      <c r="G224" s="20">
        <v>19600</v>
      </c>
      <c r="H224" s="18">
        <v>0</v>
      </c>
      <c r="I224" s="20">
        <v>5152</v>
      </c>
      <c r="J224" s="8">
        <f t="shared" si="9"/>
        <v>14448</v>
      </c>
      <c r="K224" s="10">
        <f t="shared" si="10"/>
        <v>0.7371428571428571</v>
      </c>
      <c r="L224" s="17">
        <f t="shared" si="11"/>
        <v>0</v>
      </c>
      <c r="M224" t="str">
        <f>VLOOKUP(D224,'Jer-Tip-Emp'!B:E,4,0)</f>
        <v>Bebidas</v>
      </c>
      <c r="N224" t="str">
        <f>VLOOKUP(D224,'Jer-Tip-Emp'!B:F,5,0)</f>
        <v>Bebidas</v>
      </c>
      <c r="O224" t="str">
        <f>VLOOKUP(D224,'Jer-Tip-Emp'!B:G,6,0)</f>
        <v>Bebidas</v>
      </c>
    </row>
    <row r="225" spans="1:15" ht="27.5" hidden="1" customHeight="1" x14ac:dyDescent="0.2">
      <c r="A225">
        <v>2025</v>
      </c>
      <c r="B225" t="s">
        <v>604</v>
      </c>
      <c r="C225" t="s">
        <v>595</v>
      </c>
      <c r="D225" s="19" t="s">
        <v>364</v>
      </c>
      <c r="E225" s="18" t="s">
        <v>51</v>
      </c>
      <c r="F225" s="18">
        <v>4</v>
      </c>
      <c r="G225" s="20">
        <v>15600</v>
      </c>
      <c r="H225" s="18">
        <v>0</v>
      </c>
      <c r="I225" s="20">
        <v>5164</v>
      </c>
      <c r="J225" s="8">
        <f t="shared" si="9"/>
        <v>10436</v>
      </c>
      <c r="K225" s="10">
        <f t="shared" si="10"/>
        <v>0.66897435897435897</v>
      </c>
      <c r="L225" s="17">
        <f t="shared" si="11"/>
        <v>0</v>
      </c>
      <c r="M225" t="str">
        <f>VLOOKUP(D225,'Jer-Tip-Emp'!B:E,4,0)</f>
        <v>Bebidas</v>
      </c>
      <c r="N225" t="str">
        <f>VLOOKUP(D225,'Jer-Tip-Emp'!B:F,5,0)</f>
        <v>Bebidas</v>
      </c>
      <c r="O225" t="str">
        <f>VLOOKUP(D225,'Jer-Tip-Emp'!B:G,6,0)</f>
        <v>Bebidas</v>
      </c>
    </row>
    <row r="226" spans="1:15" ht="27.5" customHeight="1" x14ac:dyDescent="0.2">
      <c r="A226">
        <v>2025</v>
      </c>
      <c r="B226" t="s">
        <v>604</v>
      </c>
      <c r="C226" t="s">
        <v>595</v>
      </c>
      <c r="D226" s="19" t="s">
        <v>228</v>
      </c>
      <c r="E226" s="18" t="s">
        <v>96</v>
      </c>
      <c r="F226" s="18">
        <v>4</v>
      </c>
      <c r="G226" s="20">
        <v>117600</v>
      </c>
      <c r="H226" s="18">
        <v>0</v>
      </c>
      <c r="I226" s="20">
        <v>40988</v>
      </c>
      <c r="J226" s="8">
        <f t="shared" si="9"/>
        <v>76612</v>
      </c>
      <c r="K226" s="10">
        <f t="shared" si="10"/>
        <v>0.65146258503401355</v>
      </c>
      <c r="L226" s="17">
        <f t="shared" si="11"/>
        <v>0</v>
      </c>
      <c r="M226" t="str">
        <f>VLOOKUP(D226,'Jer-Tip-Emp'!B:E,4,0)</f>
        <v>Combos personales</v>
      </c>
      <c r="N226" t="str">
        <f>VLOOKUP(D226,'Jer-Tip-Emp'!B:F,5,0)</f>
        <v>Personal</v>
      </c>
      <c r="O226" t="str">
        <f>VLOOKUP(D226,'Jer-Tip-Emp'!B:G,6,0)</f>
        <v>Combo</v>
      </c>
    </row>
    <row r="227" spans="1:15" ht="27.5" hidden="1" customHeight="1" x14ac:dyDescent="0.2">
      <c r="A227">
        <v>2025</v>
      </c>
      <c r="B227" t="s">
        <v>604</v>
      </c>
      <c r="C227" t="s">
        <v>595</v>
      </c>
      <c r="D227" s="19" t="s">
        <v>296</v>
      </c>
      <c r="E227" s="18" t="s">
        <v>22</v>
      </c>
      <c r="F227" s="18">
        <v>4</v>
      </c>
      <c r="G227" s="20">
        <v>27600</v>
      </c>
      <c r="H227" s="18">
        <v>0</v>
      </c>
      <c r="I227" s="20">
        <v>2756</v>
      </c>
      <c r="J227" s="8">
        <f t="shared" si="9"/>
        <v>24844</v>
      </c>
      <c r="K227" s="10">
        <f t="shared" si="10"/>
        <v>0.90014492753623188</v>
      </c>
      <c r="L227" s="17">
        <f t="shared" si="11"/>
        <v>0</v>
      </c>
      <c r="M227" t="str">
        <f>VLOOKUP(D227,'Jer-Tip-Emp'!B:E,4,0)</f>
        <v>Adición</v>
      </c>
      <c r="N227" t="str">
        <f>VLOOKUP(D227,'Jer-Tip-Emp'!B:F,5,0)</f>
        <v>Adición</v>
      </c>
      <c r="O227" t="str">
        <f>VLOOKUP(D227,'Jer-Tip-Emp'!B:G,6,0)</f>
        <v>Adición</v>
      </c>
    </row>
    <row r="228" spans="1:15" ht="27.5" hidden="1" customHeight="1" x14ac:dyDescent="0.2">
      <c r="A228">
        <v>2025</v>
      </c>
      <c r="B228" t="s">
        <v>604</v>
      </c>
      <c r="C228" t="s">
        <v>595</v>
      </c>
      <c r="D228" s="19" t="s">
        <v>408</v>
      </c>
      <c r="E228" s="18" t="s">
        <v>35</v>
      </c>
      <c r="F228" s="18">
        <v>4</v>
      </c>
      <c r="G228" s="20">
        <v>14000</v>
      </c>
      <c r="H228" s="18">
        <v>0</v>
      </c>
      <c r="I228" s="20">
        <v>3472</v>
      </c>
      <c r="J228" s="8">
        <f t="shared" si="9"/>
        <v>10528</v>
      </c>
      <c r="K228" s="10">
        <f t="shared" si="10"/>
        <v>0.752</v>
      </c>
      <c r="L228" s="17">
        <f t="shared" si="11"/>
        <v>0</v>
      </c>
      <c r="M228" t="str">
        <f>VLOOKUP(D228,'Jer-Tip-Emp'!B:E,4,0)</f>
        <v>Bebidas</v>
      </c>
      <c r="N228" t="str">
        <f>VLOOKUP(D228,'Jer-Tip-Emp'!B:F,5,0)</f>
        <v>Bebidas</v>
      </c>
      <c r="O228" t="str">
        <f>VLOOKUP(D228,'Jer-Tip-Emp'!B:G,6,0)</f>
        <v>Bebidas</v>
      </c>
    </row>
    <row r="229" spans="1:15" ht="27.5" customHeight="1" x14ac:dyDescent="0.2">
      <c r="A229">
        <v>2025</v>
      </c>
      <c r="B229" t="s">
        <v>604</v>
      </c>
      <c r="C229" t="s">
        <v>595</v>
      </c>
      <c r="D229" s="19" t="s">
        <v>221</v>
      </c>
      <c r="E229" s="18" t="s">
        <v>27</v>
      </c>
      <c r="F229" s="18">
        <v>4</v>
      </c>
      <c r="G229" s="20">
        <v>31600</v>
      </c>
      <c r="H229" s="18">
        <v>0</v>
      </c>
      <c r="I229" s="18">
        <v>0</v>
      </c>
      <c r="J229" s="8">
        <f t="shared" si="9"/>
        <v>31600</v>
      </c>
      <c r="K229" s="10">
        <f t="shared" si="10"/>
        <v>1</v>
      </c>
      <c r="L229" s="17">
        <f t="shared" si="11"/>
        <v>0</v>
      </c>
      <c r="M229" t="str">
        <f>VLOOKUP(D229,'Jer-Tip-Emp'!B:E,4,0)</f>
        <v>Armalo en combo</v>
      </c>
      <c r="N229" t="str">
        <f>VLOOKUP(D229,'Jer-Tip-Emp'!B:F,5,0)</f>
        <v>Personal</v>
      </c>
      <c r="O229" t="str">
        <f>VLOOKUP(D229,'Jer-Tip-Emp'!B:G,6,0)</f>
        <v>Combo</v>
      </c>
    </row>
    <row r="230" spans="1:15" ht="27.5" hidden="1" customHeight="1" x14ac:dyDescent="0.2">
      <c r="A230">
        <v>2025</v>
      </c>
      <c r="B230" t="s">
        <v>604</v>
      </c>
      <c r="C230" t="s">
        <v>595</v>
      </c>
      <c r="D230" s="19" t="s">
        <v>193</v>
      </c>
      <c r="E230" s="18" t="s">
        <v>18</v>
      </c>
      <c r="F230" s="18">
        <v>4</v>
      </c>
      <c r="G230" s="20">
        <v>27600</v>
      </c>
      <c r="H230" s="18">
        <v>0</v>
      </c>
      <c r="I230" s="20">
        <v>12432</v>
      </c>
      <c r="J230" s="8">
        <f t="shared" si="9"/>
        <v>15168</v>
      </c>
      <c r="K230" s="10">
        <f t="shared" si="10"/>
        <v>0.54956521739130437</v>
      </c>
      <c r="L230" s="17">
        <f t="shared" si="11"/>
        <v>0</v>
      </c>
      <c r="M230" t="str">
        <f>VLOOKUP(D230,'Jer-Tip-Emp'!B:E,4,0)</f>
        <v>Adición</v>
      </c>
      <c r="N230" t="str">
        <f>VLOOKUP(D230,'Jer-Tip-Emp'!B:F,5,0)</f>
        <v>Adición</v>
      </c>
      <c r="O230" t="str">
        <f>VLOOKUP(D230,'Jer-Tip-Emp'!B:G,6,0)</f>
        <v>Adición</v>
      </c>
    </row>
    <row r="231" spans="1:15" ht="27.5" hidden="1" customHeight="1" x14ac:dyDescent="0.2">
      <c r="A231">
        <v>2025</v>
      </c>
      <c r="B231" t="s">
        <v>604</v>
      </c>
      <c r="C231" t="s">
        <v>595</v>
      </c>
      <c r="D231" s="19" t="s">
        <v>351</v>
      </c>
      <c r="E231" s="18" t="s">
        <v>55</v>
      </c>
      <c r="F231" s="18">
        <v>4</v>
      </c>
      <c r="G231" s="20">
        <v>23600</v>
      </c>
      <c r="H231" s="18">
        <v>0</v>
      </c>
      <c r="I231" s="20">
        <v>5792</v>
      </c>
      <c r="J231" s="8">
        <f t="shared" si="9"/>
        <v>17808</v>
      </c>
      <c r="K231" s="10">
        <f t="shared" si="10"/>
        <v>0.75457627118644066</v>
      </c>
      <c r="L231" s="17">
        <f t="shared" si="11"/>
        <v>0</v>
      </c>
      <c r="M231" t="str">
        <f>VLOOKUP(D231,'Jer-Tip-Emp'!B:E,4,0)</f>
        <v>Bebidas</v>
      </c>
      <c r="N231" t="str">
        <f>VLOOKUP(D231,'Jer-Tip-Emp'!B:F,5,0)</f>
        <v>Bebidas</v>
      </c>
      <c r="O231" t="str">
        <f>VLOOKUP(D231,'Jer-Tip-Emp'!B:G,6,0)</f>
        <v>Bebidas</v>
      </c>
    </row>
    <row r="232" spans="1:15" ht="27.5" customHeight="1" x14ac:dyDescent="0.2">
      <c r="A232">
        <v>2025</v>
      </c>
      <c r="B232" t="s">
        <v>604</v>
      </c>
      <c r="C232" t="s">
        <v>595</v>
      </c>
      <c r="D232" s="19" t="s">
        <v>257</v>
      </c>
      <c r="E232" s="18" t="s">
        <v>78</v>
      </c>
      <c r="F232" s="18">
        <v>3</v>
      </c>
      <c r="G232" s="20">
        <v>35800</v>
      </c>
      <c r="H232" s="20">
        <v>-17900</v>
      </c>
      <c r="I232" s="18">
        <v>0</v>
      </c>
      <c r="J232" s="8">
        <f t="shared" si="9"/>
        <v>35800</v>
      </c>
      <c r="K232" s="10">
        <f t="shared" si="10"/>
        <v>1</v>
      </c>
      <c r="L232" s="17">
        <f t="shared" si="11"/>
        <v>0.5</v>
      </c>
      <c r="M232" t="str">
        <f>VLOOKUP(D232,'Jer-Tip-Emp'!B:E,4,0)</f>
        <v>Bowl</v>
      </c>
      <c r="N232" t="str">
        <f>VLOOKUP(D232,'Jer-Tip-Emp'!B:F,5,0)</f>
        <v>Personal</v>
      </c>
      <c r="O232" t="str">
        <f>VLOOKUP(D232,'Jer-Tip-Emp'!B:G,6,0)</f>
        <v>Bowl</v>
      </c>
    </row>
    <row r="233" spans="1:15" ht="27.5" customHeight="1" x14ac:dyDescent="0.2">
      <c r="A233">
        <v>2025</v>
      </c>
      <c r="B233" t="s">
        <v>604</v>
      </c>
      <c r="C233" t="s">
        <v>595</v>
      </c>
      <c r="D233" s="19" t="s">
        <v>245</v>
      </c>
      <c r="E233" s="18" t="s">
        <v>167</v>
      </c>
      <c r="F233" s="18">
        <v>3</v>
      </c>
      <c r="G233" s="20">
        <v>54700</v>
      </c>
      <c r="H233" s="20">
        <v>-5000</v>
      </c>
      <c r="I233" s="18">
        <v>0</v>
      </c>
      <c r="J233" s="8">
        <f t="shared" si="9"/>
        <v>54700</v>
      </c>
      <c r="K233" s="10">
        <f t="shared" si="10"/>
        <v>1</v>
      </c>
      <c r="L233" s="17">
        <f t="shared" si="11"/>
        <v>9.1407678244972576E-2</v>
      </c>
      <c r="M233" t="str">
        <f>VLOOKUP(D233,'Jer-Tip-Emp'!B:E,4,0)</f>
        <v>Mong Express</v>
      </c>
      <c r="N233" t="str">
        <f>VLOOKUP(D233,'Jer-Tip-Emp'!B:F,5,0)</f>
        <v>Personal</v>
      </c>
      <c r="O233" t="str">
        <f>VLOOKUP(D233,'Jer-Tip-Emp'!B:G,6,0)</f>
        <v>Caja</v>
      </c>
    </row>
    <row r="234" spans="1:15" ht="27.5" customHeight="1" x14ac:dyDescent="0.2">
      <c r="A234">
        <v>2025</v>
      </c>
      <c r="B234" t="s">
        <v>604</v>
      </c>
      <c r="C234" t="s">
        <v>595</v>
      </c>
      <c r="D234" s="19" t="s">
        <v>219</v>
      </c>
      <c r="E234" s="18" t="s">
        <v>111</v>
      </c>
      <c r="F234" s="18">
        <v>3</v>
      </c>
      <c r="G234" s="20">
        <v>80700</v>
      </c>
      <c r="H234" s="18">
        <v>0</v>
      </c>
      <c r="I234" s="20">
        <v>40701</v>
      </c>
      <c r="J234" s="8">
        <f t="shared" si="9"/>
        <v>39999</v>
      </c>
      <c r="K234" s="10">
        <f t="shared" si="10"/>
        <v>0.49565055762081783</v>
      </c>
      <c r="L234" s="17">
        <f t="shared" si="11"/>
        <v>0</v>
      </c>
      <c r="M234" t="str">
        <f>VLOOKUP(D234,'Jer-Tip-Emp'!B:E,4,0)</f>
        <v>Platos especiales</v>
      </c>
      <c r="N234" t="str">
        <f>VLOOKUP(D234,'Jer-Tip-Emp'!B:F,5,0)</f>
        <v>Personal</v>
      </c>
      <c r="O234" t="str">
        <f>VLOOKUP(D234,'Jer-Tip-Emp'!B:G,6,0)</f>
        <v>Platos especiales</v>
      </c>
    </row>
    <row r="235" spans="1:15" ht="27.5" customHeight="1" x14ac:dyDescent="0.2">
      <c r="A235">
        <v>2025</v>
      </c>
      <c r="B235" t="s">
        <v>604</v>
      </c>
      <c r="C235" t="s">
        <v>595</v>
      </c>
      <c r="D235" s="19" t="s">
        <v>178</v>
      </c>
      <c r="E235" s="18" t="s">
        <v>145</v>
      </c>
      <c r="F235" s="18">
        <v>3</v>
      </c>
      <c r="G235" s="20">
        <v>230700</v>
      </c>
      <c r="H235" s="20">
        <v>-27000</v>
      </c>
      <c r="I235" s="20">
        <v>145824</v>
      </c>
      <c r="J235" s="8">
        <f t="shared" si="9"/>
        <v>84876</v>
      </c>
      <c r="K235" s="10">
        <f t="shared" si="10"/>
        <v>0.36790637191157349</v>
      </c>
      <c r="L235" s="17">
        <f t="shared" si="11"/>
        <v>0.11703511053315994</v>
      </c>
      <c r="M235" t="str">
        <f>VLOOKUP(D235,'Jer-Tip-Emp'!B:E,4,0)</f>
        <v>Platos mong</v>
      </c>
      <c r="N235" t="str">
        <f>VLOOKUP(D235,'Jer-Tip-Emp'!B:F,5,0)</f>
        <v>No Personal</v>
      </c>
      <c r="O235" t="str">
        <f>VLOOKUP(D235,'Jer-Tip-Emp'!B:G,6,0)</f>
        <v>Caja</v>
      </c>
    </row>
    <row r="236" spans="1:15" ht="27.5" customHeight="1" x14ac:dyDescent="0.2">
      <c r="A236">
        <v>2025</v>
      </c>
      <c r="B236" t="s">
        <v>604</v>
      </c>
      <c r="C236" t="s">
        <v>595</v>
      </c>
      <c r="D236" s="19" t="s">
        <v>240</v>
      </c>
      <c r="E236" s="18" t="s">
        <v>139</v>
      </c>
      <c r="F236" s="18">
        <v>3</v>
      </c>
      <c r="G236" s="20">
        <v>120700</v>
      </c>
      <c r="H236" s="20">
        <v>-5000</v>
      </c>
      <c r="I236" s="20">
        <v>72765</v>
      </c>
      <c r="J236" s="8">
        <f t="shared" si="9"/>
        <v>47935</v>
      </c>
      <c r="K236" s="10">
        <f t="shared" si="10"/>
        <v>0.3971416735708368</v>
      </c>
      <c r="L236" s="17">
        <f t="shared" si="11"/>
        <v>4.1425020712510356E-2</v>
      </c>
      <c r="M236" t="str">
        <f>VLOOKUP(D236,'Jer-Tip-Emp'!B:E,4,0)</f>
        <v>Platos mong</v>
      </c>
      <c r="N236" t="str">
        <f>VLOOKUP(D236,'Jer-Tip-Emp'!B:F,5,0)</f>
        <v>No Personal</v>
      </c>
      <c r="O236" t="str">
        <f>VLOOKUP(D236,'Jer-Tip-Emp'!B:G,6,0)</f>
        <v>Caja</v>
      </c>
    </row>
    <row r="237" spans="1:15" ht="27.5" customHeight="1" x14ac:dyDescent="0.2">
      <c r="A237">
        <v>2025</v>
      </c>
      <c r="B237" t="s">
        <v>604</v>
      </c>
      <c r="C237" t="s">
        <v>595</v>
      </c>
      <c r="D237" s="19" t="s">
        <v>265</v>
      </c>
      <c r="E237" s="18" t="s">
        <v>140</v>
      </c>
      <c r="F237" s="18">
        <v>3</v>
      </c>
      <c r="G237" s="20">
        <v>191700</v>
      </c>
      <c r="H237" s="18">
        <v>0</v>
      </c>
      <c r="I237" s="20">
        <v>96537</v>
      </c>
      <c r="J237" s="8">
        <f t="shared" si="9"/>
        <v>95163</v>
      </c>
      <c r="K237" s="10">
        <f t="shared" si="10"/>
        <v>0.49641627543035993</v>
      </c>
      <c r="L237" s="17">
        <f t="shared" si="11"/>
        <v>0</v>
      </c>
      <c r="M237" t="str">
        <f>VLOOKUP(D237,'Jer-Tip-Emp'!B:E,4,0)</f>
        <v>Platos mong</v>
      </c>
      <c r="N237" t="str">
        <f>VLOOKUP(D237,'Jer-Tip-Emp'!B:F,5,0)</f>
        <v>No Personal</v>
      </c>
      <c r="O237" t="str">
        <f>VLOOKUP(D237,'Jer-Tip-Emp'!B:G,6,0)</f>
        <v>Caja</v>
      </c>
    </row>
    <row r="238" spans="1:15" ht="27.5" customHeight="1" x14ac:dyDescent="0.2">
      <c r="A238">
        <v>2025</v>
      </c>
      <c r="B238" t="s">
        <v>604</v>
      </c>
      <c r="C238" t="s">
        <v>595</v>
      </c>
      <c r="D238" s="19" t="s">
        <v>290</v>
      </c>
      <c r="E238" s="18" t="s">
        <v>86</v>
      </c>
      <c r="F238" s="18">
        <v>3</v>
      </c>
      <c r="G238" s="20">
        <v>286077</v>
      </c>
      <c r="H238" s="20">
        <v>-4623</v>
      </c>
      <c r="I238" s="20">
        <v>140340</v>
      </c>
      <c r="J238" s="8">
        <f t="shared" si="9"/>
        <v>145737</v>
      </c>
      <c r="K238" s="10">
        <f t="shared" si="10"/>
        <v>0.50943277509202067</v>
      </c>
      <c r="L238" s="17">
        <f t="shared" si="11"/>
        <v>1.6159984899170504E-2</v>
      </c>
      <c r="M238" t="str">
        <f>VLOOKUP(D238,'Jer-Tip-Emp'!B:E,4,0)</f>
        <v>Combos para compartir</v>
      </c>
      <c r="N238" t="str">
        <f>VLOOKUP(D238,'Jer-Tip-Emp'!B:F,5,0)</f>
        <v>No Personal</v>
      </c>
      <c r="O238" t="str">
        <f>VLOOKUP(D238,'Jer-Tip-Emp'!B:G,6,0)</f>
        <v>Combo</v>
      </c>
    </row>
    <row r="239" spans="1:15" ht="27.5" customHeight="1" x14ac:dyDescent="0.2">
      <c r="A239">
        <v>2025</v>
      </c>
      <c r="B239" t="s">
        <v>604</v>
      </c>
      <c r="C239" t="s">
        <v>595</v>
      </c>
      <c r="D239" s="19" t="s">
        <v>274</v>
      </c>
      <c r="E239" s="18" t="s">
        <v>91</v>
      </c>
      <c r="F239" s="18">
        <v>2</v>
      </c>
      <c r="G239" s="20">
        <v>103800</v>
      </c>
      <c r="H239" s="18">
        <v>0</v>
      </c>
      <c r="I239" s="20">
        <v>57630</v>
      </c>
      <c r="J239" s="8">
        <f t="shared" si="9"/>
        <v>46170</v>
      </c>
      <c r="K239" s="10">
        <f t="shared" si="10"/>
        <v>0.44479768786127166</v>
      </c>
      <c r="L239" s="17">
        <f t="shared" si="11"/>
        <v>0</v>
      </c>
      <c r="M239" t="str">
        <f>VLOOKUP(D239,'Jer-Tip-Emp'!B:E,4,0)</f>
        <v>Platos mong</v>
      </c>
      <c r="N239" t="str">
        <f>VLOOKUP(D239,'Jer-Tip-Emp'!B:F,5,0)</f>
        <v>No Personal</v>
      </c>
      <c r="O239" t="str">
        <f>VLOOKUP(D239,'Jer-Tip-Emp'!B:G,6,0)</f>
        <v>Caja</v>
      </c>
    </row>
    <row r="240" spans="1:15" ht="27.5" customHeight="1" x14ac:dyDescent="0.2">
      <c r="A240">
        <v>2025</v>
      </c>
      <c r="B240" t="s">
        <v>604</v>
      </c>
      <c r="C240" t="s">
        <v>595</v>
      </c>
      <c r="D240" s="19" t="s">
        <v>204</v>
      </c>
      <c r="E240" s="18" t="s">
        <v>154</v>
      </c>
      <c r="F240" s="18">
        <v>2</v>
      </c>
      <c r="G240" s="20">
        <v>85800</v>
      </c>
      <c r="H240" s="18">
        <v>0</v>
      </c>
      <c r="I240" s="20">
        <v>38882</v>
      </c>
      <c r="J240" s="8">
        <f t="shared" si="9"/>
        <v>46918</v>
      </c>
      <c r="K240" s="10">
        <f t="shared" si="10"/>
        <v>0.54682983682983688</v>
      </c>
      <c r="L240" s="17">
        <f t="shared" si="11"/>
        <v>0</v>
      </c>
      <c r="M240" t="str">
        <f>VLOOKUP(D240,'Jer-Tip-Emp'!B:E,4,0)</f>
        <v>Platos mong</v>
      </c>
      <c r="N240" t="str">
        <f>VLOOKUP(D240,'Jer-Tip-Emp'!B:F,5,0)</f>
        <v>No Personal</v>
      </c>
      <c r="O240" t="str">
        <f>VLOOKUP(D240,'Jer-Tip-Emp'!B:G,6,0)</f>
        <v>Caja</v>
      </c>
    </row>
    <row r="241" spans="1:15" ht="27.5" hidden="1" customHeight="1" x14ac:dyDescent="0.2">
      <c r="A241">
        <v>2025</v>
      </c>
      <c r="B241" t="s">
        <v>604</v>
      </c>
      <c r="C241" t="s">
        <v>595</v>
      </c>
      <c r="D241" s="19" t="s">
        <v>369</v>
      </c>
      <c r="E241" s="18" t="s">
        <v>68</v>
      </c>
      <c r="F241" s="18">
        <v>2</v>
      </c>
      <c r="G241" s="20">
        <v>9185</v>
      </c>
      <c r="H241" s="18">
        <v>-615</v>
      </c>
      <c r="I241" s="20">
        <v>2660</v>
      </c>
      <c r="J241" s="8">
        <f t="shared" si="9"/>
        <v>6525</v>
      </c>
      <c r="K241" s="10">
        <f t="shared" si="10"/>
        <v>0.71039738704409361</v>
      </c>
      <c r="L241" s="17">
        <f t="shared" si="11"/>
        <v>6.695699510070767E-2</v>
      </c>
      <c r="M241" t="str">
        <f>VLOOKUP(D241,'Jer-Tip-Emp'!B:E,4,0)</f>
        <v>Bebidas</v>
      </c>
      <c r="N241" t="str">
        <f>VLOOKUP(D241,'Jer-Tip-Emp'!B:F,5,0)</f>
        <v>Bebidas</v>
      </c>
      <c r="O241" t="str">
        <f>VLOOKUP(D241,'Jer-Tip-Emp'!B:G,6,0)</f>
        <v>Bebidas</v>
      </c>
    </row>
    <row r="242" spans="1:15" ht="27.5" hidden="1" customHeight="1" x14ac:dyDescent="0.2">
      <c r="A242">
        <v>2025</v>
      </c>
      <c r="B242" t="s">
        <v>604</v>
      </c>
      <c r="C242" t="s">
        <v>595</v>
      </c>
      <c r="D242" s="19" t="s">
        <v>382</v>
      </c>
      <c r="E242" s="18" t="s">
        <v>42</v>
      </c>
      <c r="F242" s="18">
        <v>2</v>
      </c>
      <c r="G242" s="20">
        <v>9800</v>
      </c>
      <c r="H242" s="18">
        <v>0</v>
      </c>
      <c r="I242" s="20">
        <v>2746</v>
      </c>
      <c r="J242" s="8">
        <f t="shared" si="9"/>
        <v>7054</v>
      </c>
      <c r="K242" s="10">
        <f t="shared" si="10"/>
        <v>0.71979591836734691</v>
      </c>
      <c r="L242" s="17">
        <f t="shared" si="11"/>
        <v>0</v>
      </c>
      <c r="M242" t="str">
        <f>VLOOKUP(D242,'Jer-Tip-Emp'!B:E,4,0)</f>
        <v>Bebidas</v>
      </c>
      <c r="N242" t="str">
        <f>VLOOKUP(D242,'Jer-Tip-Emp'!B:F,5,0)</f>
        <v>Bebidas</v>
      </c>
      <c r="O242" t="str">
        <f>VLOOKUP(D242,'Jer-Tip-Emp'!B:G,6,0)</f>
        <v>Bebidas</v>
      </c>
    </row>
    <row r="243" spans="1:15" ht="27.5" customHeight="1" x14ac:dyDescent="0.2">
      <c r="A243">
        <v>2025</v>
      </c>
      <c r="B243" t="s">
        <v>604</v>
      </c>
      <c r="C243" t="s">
        <v>595</v>
      </c>
      <c r="D243" s="19" t="s">
        <v>278</v>
      </c>
      <c r="E243" s="18" t="s">
        <v>84</v>
      </c>
      <c r="F243" s="18">
        <v>2</v>
      </c>
      <c r="G243" s="20">
        <v>41800</v>
      </c>
      <c r="H243" s="18">
        <v>0</v>
      </c>
      <c r="I243" s="20">
        <v>15946</v>
      </c>
      <c r="J243" s="8">
        <f t="shared" si="9"/>
        <v>25854</v>
      </c>
      <c r="K243" s="10">
        <f t="shared" si="10"/>
        <v>0.61851674641148324</v>
      </c>
      <c r="L243" s="17">
        <f t="shared" si="11"/>
        <v>0</v>
      </c>
      <c r="M243" t="str">
        <f>VLOOKUP(D243,'Jer-Tip-Emp'!B:E,4,0)</f>
        <v>Combos para compartir</v>
      </c>
      <c r="N243" t="str">
        <f>VLOOKUP(D243,'Jer-Tip-Emp'!B:F,5,0)</f>
        <v>No Personal</v>
      </c>
      <c r="O243" t="str">
        <f>VLOOKUP(D243,'Jer-Tip-Emp'!B:G,6,0)</f>
        <v>Combo</v>
      </c>
    </row>
    <row r="244" spans="1:15" ht="27.5" hidden="1" customHeight="1" x14ac:dyDescent="0.2">
      <c r="A244">
        <v>2025</v>
      </c>
      <c r="B244" t="s">
        <v>604</v>
      </c>
      <c r="C244" t="s">
        <v>595</v>
      </c>
      <c r="D244" s="19" t="s">
        <v>397</v>
      </c>
      <c r="E244" s="18" t="s">
        <v>61</v>
      </c>
      <c r="F244" s="18">
        <v>2</v>
      </c>
      <c r="G244" s="20">
        <v>9800</v>
      </c>
      <c r="H244" s="18">
        <v>0</v>
      </c>
      <c r="I244" s="20">
        <v>3792</v>
      </c>
      <c r="J244" s="8">
        <f t="shared" si="9"/>
        <v>6008</v>
      </c>
      <c r="K244" s="10">
        <f t="shared" si="10"/>
        <v>0.61306122448979594</v>
      </c>
      <c r="L244" s="17">
        <f t="shared" si="11"/>
        <v>0</v>
      </c>
      <c r="M244" t="str">
        <f>VLOOKUP(D244,'Jer-Tip-Emp'!B:E,4,0)</f>
        <v>Bebidas</v>
      </c>
      <c r="N244" t="str">
        <f>VLOOKUP(D244,'Jer-Tip-Emp'!B:F,5,0)</f>
        <v>Bebidas</v>
      </c>
      <c r="O244" t="str">
        <f>VLOOKUP(D244,'Jer-Tip-Emp'!B:G,6,0)</f>
        <v>Bebidas</v>
      </c>
    </row>
    <row r="245" spans="1:15" ht="27.5" customHeight="1" x14ac:dyDescent="0.2">
      <c r="A245">
        <v>2025</v>
      </c>
      <c r="B245" t="s">
        <v>604</v>
      </c>
      <c r="C245" t="s">
        <v>595</v>
      </c>
      <c r="D245" s="19" t="s">
        <v>181</v>
      </c>
      <c r="E245" s="18" t="s">
        <v>121</v>
      </c>
      <c r="F245" s="18">
        <v>2</v>
      </c>
      <c r="G245" s="20">
        <v>39800</v>
      </c>
      <c r="H245" s="18">
        <v>0</v>
      </c>
      <c r="I245" s="20">
        <v>12276</v>
      </c>
      <c r="J245" s="8">
        <f t="shared" si="9"/>
        <v>27524</v>
      </c>
      <c r="K245" s="10">
        <f t="shared" si="10"/>
        <v>0.69155778894472364</v>
      </c>
      <c r="L245" s="17">
        <f t="shared" si="11"/>
        <v>0</v>
      </c>
      <c r="M245" t="str">
        <f>VLOOKUP(D245,'Jer-Tip-Emp'!B:E,4,0)</f>
        <v>Platos mong</v>
      </c>
      <c r="N245" t="str">
        <f>VLOOKUP(D245,'Jer-Tip-Emp'!B:F,5,0)</f>
        <v>Personal</v>
      </c>
      <c r="O245" t="str">
        <f>VLOOKUP(D245,'Jer-Tip-Emp'!B:G,6,0)</f>
        <v>Caja</v>
      </c>
    </row>
    <row r="246" spans="1:15" ht="27.5" hidden="1" customHeight="1" x14ac:dyDescent="0.2">
      <c r="A246">
        <v>2025</v>
      </c>
      <c r="B246" t="s">
        <v>604</v>
      </c>
      <c r="C246" t="s">
        <v>595</v>
      </c>
      <c r="D246" s="19" t="s">
        <v>411</v>
      </c>
      <c r="E246" s="18" t="s">
        <v>569</v>
      </c>
      <c r="F246" s="18">
        <v>2</v>
      </c>
      <c r="G246" s="20">
        <v>3200</v>
      </c>
      <c r="H246" s="18">
        <v>0</v>
      </c>
      <c r="I246" s="20">
        <v>4470</v>
      </c>
      <c r="J246" s="8">
        <f t="shared" si="9"/>
        <v>-1270</v>
      </c>
      <c r="K246" s="10">
        <f t="shared" si="10"/>
        <v>-0.39687499999999998</v>
      </c>
      <c r="L246" s="17">
        <f t="shared" si="11"/>
        <v>0</v>
      </c>
      <c r="M246" t="str">
        <f>VLOOKUP(D246,'Jer-Tip-Emp'!B:E,4,0)</f>
        <v>Bebidas</v>
      </c>
      <c r="N246" t="str">
        <f>VLOOKUP(D246,'Jer-Tip-Emp'!B:F,5,0)</f>
        <v>Bebidas Cambio de bebida</v>
      </c>
      <c r="O246" t="str">
        <f>VLOOKUP(D246,'Jer-Tip-Emp'!B:G,6,0)</f>
        <v>Bebidas</v>
      </c>
    </row>
    <row r="247" spans="1:15" ht="27.5" customHeight="1" x14ac:dyDescent="0.2">
      <c r="A247">
        <v>2025</v>
      </c>
      <c r="B247" t="s">
        <v>604</v>
      </c>
      <c r="C247" t="s">
        <v>595</v>
      </c>
      <c r="D247" s="19" t="s">
        <v>225</v>
      </c>
      <c r="E247" s="18" t="s">
        <v>157</v>
      </c>
      <c r="F247" s="18">
        <v>2</v>
      </c>
      <c r="G247" s="20">
        <v>35800</v>
      </c>
      <c r="H247" s="18">
        <v>0</v>
      </c>
      <c r="I247" s="20">
        <v>14282</v>
      </c>
      <c r="J247" s="8">
        <f t="shared" si="9"/>
        <v>21518</v>
      </c>
      <c r="K247" s="10">
        <f t="shared" si="10"/>
        <v>0.60106145251396648</v>
      </c>
      <c r="L247" s="17">
        <f t="shared" si="11"/>
        <v>0</v>
      </c>
      <c r="M247" t="str">
        <f>VLOOKUP(D247,'Jer-Tip-Emp'!B:E,4,0)</f>
        <v>Platos mong</v>
      </c>
      <c r="N247" t="str">
        <f>VLOOKUP(D247,'Jer-Tip-Emp'!B:F,5,0)</f>
        <v>Personal</v>
      </c>
      <c r="O247" t="str">
        <f>VLOOKUP(D247,'Jer-Tip-Emp'!B:G,6,0)</f>
        <v>Caja</v>
      </c>
    </row>
    <row r="248" spans="1:15" ht="27.5" customHeight="1" x14ac:dyDescent="0.2">
      <c r="A248">
        <v>2025</v>
      </c>
      <c r="B248" t="s">
        <v>604</v>
      </c>
      <c r="C248" t="s">
        <v>595</v>
      </c>
      <c r="D248" s="19" t="s">
        <v>224</v>
      </c>
      <c r="E248" s="18" t="s">
        <v>114</v>
      </c>
      <c r="F248" s="18">
        <v>2</v>
      </c>
      <c r="G248" s="20">
        <v>49800</v>
      </c>
      <c r="H248" s="18">
        <v>0</v>
      </c>
      <c r="I248" s="20">
        <v>25436</v>
      </c>
      <c r="J248" s="8">
        <f t="shared" si="9"/>
        <v>24364</v>
      </c>
      <c r="K248" s="10">
        <f t="shared" si="10"/>
        <v>0.48923694779116467</v>
      </c>
      <c r="L248" s="17">
        <f t="shared" si="11"/>
        <v>0</v>
      </c>
      <c r="M248" t="str">
        <f>VLOOKUP(D248,'Jer-Tip-Emp'!B:E,4,0)</f>
        <v>Platos especiales</v>
      </c>
      <c r="N248" t="str">
        <f>VLOOKUP(D248,'Jer-Tip-Emp'!B:F,5,0)</f>
        <v>Personal</v>
      </c>
      <c r="O248" t="str">
        <f>VLOOKUP(D248,'Jer-Tip-Emp'!B:G,6,0)</f>
        <v>Platos especiales</v>
      </c>
    </row>
    <row r="249" spans="1:15" ht="27.5" hidden="1" customHeight="1" x14ac:dyDescent="0.2">
      <c r="A249">
        <v>2025</v>
      </c>
      <c r="B249" t="s">
        <v>604</v>
      </c>
      <c r="C249" t="s">
        <v>595</v>
      </c>
      <c r="D249" s="19" t="s">
        <v>409</v>
      </c>
      <c r="E249" s="18" t="s">
        <v>64</v>
      </c>
      <c r="F249" s="18">
        <v>2</v>
      </c>
      <c r="G249" s="20">
        <v>14900</v>
      </c>
      <c r="H249" s="20">
        <v>-1100</v>
      </c>
      <c r="I249" s="18">
        <v>0</v>
      </c>
      <c r="J249" s="8">
        <f t="shared" si="9"/>
        <v>14900</v>
      </c>
      <c r="K249" s="10">
        <f t="shared" si="10"/>
        <v>1</v>
      </c>
      <c r="L249" s="17">
        <f t="shared" si="11"/>
        <v>7.3825503355704702E-2</v>
      </c>
      <c r="M249" t="str">
        <f>VLOOKUP(D249,'Jer-Tip-Emp'!B:E,4,0)</f>
        <v>Bebidas</v>
      </c>
      <c r="N249" t="str">
        <f>VLOOKUP(D249,'Jer-Tip-Emp'!B:F,5,0)</f>
        <v>Bebidas</v>
      </c>
      <c r="O249" t="str">
        <f>VLOOKUP(D249,'Jer-Tip-Emp'!B:G,6,0)</f>
        <v>Bebidas</v>
      </c>
    </row>
    <row r="250" spans="1:15" ht="27.5" customHeight="1" x14ac:dyDescent="0.2">
      <c r="A250">
        <v>2025</v>
      </c>
      <c r="B250" t="s">
        <v>604</v>
      </c>
      <c r="C250" t="s">
        <v>595</v>
      </c>
      <c r="D250" s="19" t="s">
        <v>474</v>
      </c>
      <c r="E250" s="18" t="s">
        <v>553</v>
      </c>
      <c r="F250" s="18">
        <v>2</v>
      </c>
      <c r="G250" s="18">
        <v>0</v>
      </c>
      <c r="H250" s="18">
        <v>0</v>
      </c>
      <c r="I250" s="20">
        <v>5698</v>
      </c>
      <c r="J250" s="8">
        <f t="shared" si="9"/>
        <v>-5698</v>
      </c>
      <c r="K250" s="10">
        <f t="shared" si="10"/>
        <v>0</v>
      </c>
      <c r="L250" s="17">
        <f t="shared" si="11"/>
        <v>0</v>
      </c>
      <c r="M250" t="str">
        <f>VLOOKUP(D250,'Jer-Tip-Emp'!B:E,4,0)</f>
        <v>Arma tu plato</v>
      </c>
      <c r="N250" t="str">
        <f>VLOOKUP(D250,'Jer-Tip-Emp'!B:F,5,0)</f>
        <v>Personal</v>
      </c>
      <c r="O250" t="str">
        <f>VLOOKUP(D250,'Jer-Tip-Emp'!B:G,6,0)</f>
        <v>Caja</v>
      </c>
    </row>
    <row r="251" spans="1:15" ht="27.5" hidden="1" customHeight="1" x14ac:dyDescent="0.2">
      <c r="A251">
        <v>2025</v>
      </c>
      <c r="B251" t="s">
        <v>604</v>
      </c>
      <c r="C251" t="s">
        <v>595</v>
      </c>
      <c r="D251" s="19" t="s">
        <v>335</v>
      </c>
      <c r="E251" s="18" t="s">
        <v>40</v>
      </c>
      <c r="F251" s="18">
        <v>2</v>
      </c>
      <c r="G251" s="20">
        <v>9800</v>
      </c>
      <c r="H251" s="18">
        <v>0</v>
      </c>
      <c r="I251" s="20">
        <v>2746</v>
      </c>
      <c r="J251" s="8">
        <f t="shared" si="9"/>
        <v>7054</v>
      </c>
      <c r="K251" s="10">
        <f t="shared" si="10"/>
        <v>0.71979591836734691</v>
      </c>
      <c r="L251" s="17">
        <f t="shared" si="11"/>
        <v>0</v>
      </c>
      <c r="M251" t="str">
        <f>VLOOKUP(D251,'Jer-Tip-Emp'!B:E,4,0)</f>
        <v>Bebidas</v>
      </c>
      <c r="N251" t="str">
        <f>VLOOKUP(D251,'Jer-Tip-Emp'!B:F,5,0)</f>
        <v>Bebidas</v>
      </c>
      <c r="O251" t="str">
        <f>VLOOKUP(D251,'Jer-Tip-Emp'!B:G,6,0)</f>
        <v>Bebidas</v>
      </c>
    </row>
    <row r="252" spans="1:15" ht="27.5" customHeight="1" x14ac:dyDescent="0.2">
      <c r="A252">
        <v>2025</v>
      </c>
      <c r="B252" t="s">
        <v>604</v>
      </c>
      <c r="C252" t="s">
        <v>595</v>
      </c>
      <c r="D252" s="19" t="s">
        <v>298</v>
      </c>
      <c r="E252" s="18" t="s">
        <v>153</v>
      </c>
      <c r="F252" s="18">
        <v>2</v>
      </c>
      <c r="G252" s="20">
        <v>41800</v>
      </c>
      <c r="H252" s="18">
        <v>0</v>
      </c>
      <c r="I252" s="20">
        <v>17042</v>
      </c>
      <c r="J252" s="8">
        <f t="shared" si="9"/>
        <v>24758</v>
      </c>
      <c r="K252" s="10">
        <f t="shared" si="10"/>
        <v>0.59229665071770332</v>
      </c>
      <c r="L252" s="17">
        <f t="shared" si="11"/>
        <v>0</v>
      </c>
      <c r="M252" t="str">
        <f>VLOOKUP(D252,'Jer-Tip-Emp'!B:E,4,0)</f>
        <v>Platos mong</v>
      </c>
      <c r="N252" t="str">
        <f>VLOOKUP(D252,'Jer-Tip-Emp'!B:F,5,0)</f>
        <v>Personal</v>
      </c>
      <c r="O252" t="str">
        <f>VLOOKUP(D252,'Jer-Tip-Emp'!B:G,6,0)</f>
        <v>Caja</v>
      </c>
    </row>
    <row r="253" spans="1:15" ht="27.5" hidden="1" customHeight="1" x14ac:dyDescent="0.2">
      <c r="A253">
        <v>2025</v>
      </c>
      <c r="B253" t="s">
        <v>604</v>
      </c>
      <c r="C253" t="s">
        <v>595</v>
      </c>
      <c r="D253" s="19" t="s">
        <v>231</v>
      </c>
      <c r="E253" s="18" t="s">
        <v>34</v>
      </c>
      <c r="F253" s="18">
        <v>2</v>
      </c>
      <c r="G253" s="20">
        <v>17800</v>
      </c>
      <c r="H253" s="18">
        <v>0</v>
      </c>
      <c r="I253" s="18">
        <v>0</v>
      </c>
      <c r="J253" s="8">
        <f t="shared" si="9"/>
        <v>17800</v>
      </c>
      <c r="K253" s="10">
        <f t="shared" si="10"/>
        <v>1</v>
      </c>
      <c r="L253" s="17">
        <f t="shared" si="11"/>
        <v>0</v>
      </c>
      <c r="M253" t="str">
        <f>VLOOKUP(D253,'Jer-Tip-Emp'!B:E,4,0)</f>
        <v>Adición</v>
      </c>
      <c r="N253" t="str">
        <f>VLOOKUP(D253,'Jer-Tip-Emp'!B:F,5,0)</f>
        <v>Adición</v>
      </c>
      <c r="O253" t="str">
        <f>VLOOKUP(D253,'Jer-Tip-Emp'!B:G,6,0)</f>
        <v>Adición</v>
      </c>
    </row>
    <row r="254" spans="1:15" ht="27.5" hidden="1" customHeight="1" x14ac:dyDescent="0.2">
      <c r="A254">
        <v>2025</v>
      </c>
      <c r="B254" t="s">
        <v>604</v>
      </c>
      <c r="C254" t="s">
        <v>595</v>
      </c>
      <c r="D254" s="19" t="s">
        <v>300</v>
      </c>
      <c r="E254" s="18" t="s">
        <v>26</v>
      </c>
      <c r="F254" s="18">
        <v>1</v>
      </c>
      <c r="G254" s="20">
        <v>7900</v>
      </c>
      <c r="H254" s="18">
        <v>0</v>
      </c>
      <c r="I254" s="18">
        <v>0</v>
      </c>
      <c r="J254" s="8">
        <f t="shared" si="9"/>
        <v>7900</v>
      </c>
      <c r="K254" s="10">
        <f t="shared" si="10"/>
        <v>1</v>
      </c>
      <c r="L254" s="17">
        <f t="shared" si="11"/>
        <v>0</v>
      </c>
      <c r="M254" t="str">
        <f>VLOOKUP(D254,'Jer-Tip-Emp'!B:E,4,0)</f>
        <v>Adición</v>
      </c>
      <c r="N254" t="str">
        <f>VLOOKUP(D254,'Jer-Tip-Emp'!B:F,5,0)</f>
        <v>Adición</v>
      </c>
      <c r="O254" t="str">
        <f>VLOOKUP(D254,'Jer-Tip-Emp'!B:G,6,0)</f>
        <v>Adición</v>
      </c>
    </row>
    <row r="255" spans="1:15" ht="27.5" customHeight="1" x14ac:dyDescent="0.2">
      <c r="A255">
        <v>2025</v>
      </c>
      <c r="B255" t="s">
        <v>604</v>
      </c>
      <c r="C255" t="s">
        <v>595</v>
      </c>
      <c r="D255" s="19" t="s">
        <v>179</v>
      </c>
      <c r="E255" s="18" t="s">
        <v>76</v>
      </c>
      <c r="F255" s="18">
        <v>1</v>
      </c>
      <c r="G255" s="20">
        <v>18900</v>
      </c>
      <c r="H255" s="18">
        <v>0</v>
      </c>
      <c r="I255" s="18">
        <v>0</v>
      </c>
      <c r="J255" s="8">
        <f t="shared" si="9"/>
        <v>18900</v>
      </c>
      <c r="K255" s="10">
        <f t="shared" si="10"/>
        <v>1</v>
      </c>
      <c r="L255" s="17">
        <f t="shared" si="11"/>
        <v>0</v>
      </c>
      <c r="M255" t="str">
        <f>VLOOKUP(D255,'Jer-Tip-Emp'!B:E,4,0)</f>
        <v>Bowl</v>
      </c>
      <c r="N255" t="str">
        <f>VLOOKUP(D255,'Jer-Tip-Emp'!B:F,5,0)</f>
        <v>Personal</v>
      </c>
      <c r="O255" t="str">
        <f>VLOOKUP(D255,'Jer-Tip-Emp'!B:G,6,0)</f>
        <v>Bowl</v>
      </c>
    </row>
    <row r="256" spans="1:15" ht="27.5" customHeight="1" x14ac:dyDescent="0.2">
      <c r="A256">
        <v>2025</v>
      </c>
      <c r="B256" t="s">
        <v>604</v>
      </c>
      <c r="C256" t="s">
        <v>595</v>
      </c>
      <c r="D256" s="19" t="s">
        <v>267</v>
      </c>
      <c r="E256" s="18" t="s">
        <v>77</v>
      </c>
      <c r="F256" s="18">
        <v>1</v>
      </c>
      <c r="G256" s="20">
        <v>17900</v>
      </c>
      <c r="H256" s="18">
        <v>0</v>
      </c>
      <c r="I256" s="18">
        <v>0</v>
      </c>
      <c r="J256" s="8">
        <f t="shared" si="9"/>
        <v>17900</v>
      </c>
      <c r="K256" s="10">
        <f t="shared" si="10"/>
        <v>1</v>
      </c>
      <c r="L256" s="17">
        <f t="shared" si="11"/>
        <v>0</v>
      </c>
      <c r="M256" t="str">
        <f>VLOOKUP(D256,'Jer-Tip-Emp'!B:E,4,0)</f>
        <v>Bowl</v>
      </c>
      <c r="N256" t="str">
        <f>VLOOKUP(D256,'Jer-Tip-Emp'!B:F,5,0)</f>
        <v>Personal</v>
      </c>
      <c r="O256" t="str">
        <f>VLOOKUP(D256,'Jer-Tip-Emp'!B:G,6,0)</f>
        <v>Bowl</v>
      </c>
    </row>
    <row r="257" spans="1:15" ht="27.5" hidden="1" customHeight="1" x14ac:dyDescent="0.2">
      <c r="A257">
        <v>2025</v>
      </c>
      <c r="B257" t="s">
        <v>604</v>
      </c>
      <c r="C257" t="s">
        <v>595</v>
      </c>
      <c r="D257" s="19" t="s">
        <v>431</v>
      </c>
      <c r="E257" s="18" t="s">
        <v>560</v>
      </c>
      <c r="F257" s="18">
        <v>1</v>
      </c>
      <c r="G257" s="20">
        <v>1600</v>
      </c>
      <c r="H257" s="18">
        <v>0</v>
      </c>
      <c r="I257" s="20">
        <v>1330</v>
      </c>
      <c r="J257" s="8">
        <f t="shared" si="9"/>
        <v>270</v>
      </c>
      <c r="K257" s="10">
        <f t="shared" si="10"/>
        <v>0.16875000000000001</v>
      </c>
      <c r="L257" s="17">
        <f t="shared" si="11"/>
        <v>0</v>
      </c>
      <c r="M257" t="str">
        <f>VLOOKUP(D257,'Jer-Tip-Emp'!B:E,4,0)</f>
        <v>Bebidas</v>
      </c>
      <c r="N257" t="str">
        <f>VLOOKUP(D257,'Jer-Tip-Emp'!B:F,5,0)</f>
        <v>Bebidas Cambio de bebida</v>
      </c>
      <c r="O257" t="str">
        <f>VLOOKUP(D257,'Jer-Tip-Emp'!B:G,6,0)</f>
        <v>Bebidas</v>
      </c>
    </row>
    <row r="258" spans="1:15" ht="27.5" customHeight="1" x14ac:dyDescent="0.2">
      <c r="A258">
        <v>2025</v>
      </c>
      <c r="B258" t="s">
        <v>604</v>
      </c>
      <c r="C258" t="s">
        <v>595</v>
      </c>
      <c r="D258" s="19" t="s">
        <v>200</v>
      </c>
      <c r="E258" s="18" t="s">
        <v>149</v>
      </c>
      <c r="F258" s="18">
        <v>1</v>
      </c>
      <c r="G258" s="20">
        <v>24900</v>
      </c>
      <c r="H258" s="18">
        <v>0</v>
      </c>
      <c r="I258" s="20">
        <v>10481</v>
      </c>
      <c r="J258" s="8">
        <f t="shared" ref="J258:J321" si="12">G258-I258</f>
        <v>14419</v>
      </c>
      <c r="K258" s="10">
        <f t="shared" ref="K258:K321" si="13">IFERROR(J258/G258,0)</f>
        <v>0.57907630522088349</v>
      </c>
      <c r="L258" s="17">
        <f t="shared" ref="L258:L321" si="14">IFERROR((H258/G258)*-1,0)</f>
        <v>0</v>
      </c>
      <c r="M258" t="str">
        <f>VLOOKUP(D258,'Jer-Tip-Emp'!B:E,4,0)</f>
        <v>Platos mong</v>
      </c>
      <c r="N258" t="str">
        <f>VLOOKUP(D258,'Jer-Tip-Emp'!B:F,5,0)</f>
        <v>Personal</v>
      </c>
      <c r="O258" t="str">
        <f>VLOOKUP(D258,'Jer-Tip-Emp'!B:G,6,0)</f>
        <v>Caja</v>
      </c>
    </row>
    <row r="259" spans="1:15" ht="27.5" hidden="1" customHeight="1" x14ac:dyDescent="0.2">
      <c r="A259">
        <v>2025</v>
      </c>
      <c r="B259" t="s">
        <v>604</v>
      </c>
      <c r="C259" t="s">
        <v>595</v>
      </c>
      <c r="D259" s="19" t="s">
        <v>444</v>
      </c>
      <c r="E259" s="18" t="s">
        <v>562</v>
      </c>
      <c r="F259" s="18">
        <v>1</v>
      </c>
      <c r="G259" s="20">
        <v>1600</v>
      </c>
      <c r="H259" s="18">
        <v>0</v>
      </c>
      <c r="I259" s="20">
        <v>1610</v>
      </c>
      <c r="J259" s="8">
        <f t="shared" si="12"/>
        <v>-10</v>
      </c>
      <c r="K259" s="10">
        <f t="shared" si="13"/>
        <v>-6.2500000000000003E-3</v>
      </c>
      <c r="L259" s="17">
        <f t="shared" si="14"/>
        <v>0</v>
      </c>
      <c r="M259" t="str">
        <f>VLOOKUP(D259,'Jer-Tip-Emp'!B:E,4,0)</f>
        <v>Bebidas</v>
      </c>
      <c r="N259" t="str">
        <f>VLOOKUP(D259,'Jer-Tip-Emp'!B:F,5,0)</f>
        <v>Bebidas Cambio de bebida</v>
      </c>
      <c r="O259" t="str">
        <f>VLOOKUP(D259,'Jer-Tip-Emp'!B:G,6,0)</f>
        <v>Bebidas</v>
      </c>
    </row>
    <row r="260" spans="1:15" ht="27.5" hidden="1" customHeight="1" x14ac:dyDescent="0.2">
      <c r="A260">
        <v>2025</v>
      </c>
      <c r="B260" t="s">
        <v>604</v>
      </c>
      <c r="C260" t="s">
        <v>595</v>
      </c>
      <c r="D260" s="19" t="s">
        <v>326</v>
      </c>
      <c r="E260" s="18" t="s">
        <v>69</v>
      </c>
      <c r="F260" s="18">
        <v>1</v>
      </c>
      <c r="G260" s="20">
        <v>4900</v>
      </c>
      <c r="H260" s="18">
        <v>0</v>
      </c>
      <c r="I260" s="20">
        <v>1330</v>
      </c>
      <c r="J260" s="8">
        <f t="shared" si="12"/>
        <v>3570</v>
      </c>
      <c r="K260" s="10">
        <f t="shared" si="13"/>
        <v>0.72857142857142854</v>
      </c>
      <c r="L260" s="17">
        <f t="shared" si="14"/>
        <v>0</v>
      </c>
      <c r="M260" t="str">
        <f>VLOOKUP(D260,'Jer-Tip-Emp'!B:E,4,0)</f>
        <v>Bebidas</v>
      </c>
      <c r="N260" t="str">
        <f>VLOOKUP(D260,'Jer-Tip-Emp'!B:F,5,0)</f>
        <v>Bebidas</v>
      </c>
      <c r="O260" t="str">
        <f>VLOOKUP(D260,'Jer-Tip-Emp'!B:G,6,0)</f>
        <v>Bebidas</v>
      </c>
    </row>
    <row r="261" spans="1:15" ht="27.5" customHeight="1" x14ac:dyDescent="0.2">
      <c r="A261">
        <v>2025</v>
      </c>
      <c r="B261" t="s">
        <v>604</v>
      </c>
      <c r="C261" t="s">
        <v>595</v>
      </c>
      <c r="D261" s="19" t="s">
        <v>246</v>
      </c>
      <c r="E261" s="18" t="s">
        <v>29</v>
      </c>
      <c r="F261" s="18">
        <v>1</v>
      </c>
      <c r="G261" s="20">
        <v>7900</v>
      </c>
      <c r="H261" s="18">
        <v>0</v>
      </c>
      <c r="I261" s="18">
        <v>0</v>
      </c>
      <c r="J261" s="8">
        <f t="shared" si="12"/>
        <v>7900</v>
      </c>
      <c r="K261" s="10">
        <f t="shared" si="13"/>
        <v>1</v>
      </c>
      <c r="L261" s="17">
        <f t="shared" si="14"/>
        <v>0</v>
      </c>
      <c r="M261" t="str">
        <f>VLOOKUP(D261,'Jer-Tip-Emp'!B:E,4,0)</f>
        <v>Armalo en combo</v>
      </c>
      <c r="N261" t="str">
        <f>VLOOKUP(D261,'Jer-Tip-Emp'!B:F,5,0)</f>
        <v>Personal</v>
      </c>
      <c r="O261" t="str">
        <f>VLOOKUP(D261,'Jer-Tip-Emp'!B:G,6,0)</f>
        <v>Combo</v>
      </c>
    </row>
    <row r="262" spans="1:15" ht="27.5" customHeight="1" x14ac:dyDescent="0.2">
      <c r="A262">
        <v>2025</v>
      </c>
      <c r="B262" t="s">
        <v>604</v>
      </c>
      <c r="C262" t="s">
        <v>595</v>
      </c>
      <c r="D262" s="19" t="s">
        <v>208</v>
      </c>
      <c r="E262" s="18" t="s">
        <v>30</v>
      </c>
      <c r="F262" s="18">
        <v>1</v>
      </c>
      <c r="G262" s="20">
        <v>7900</v>
      </c>
      <c r="H262" s="18">
        <v>0</v>
      </c>
      <c r="I262" s="20">
        <v>2917</v>
      </c>
      <c r="J262" s="8">
        <f t="shared" si="12"/>
        <v>4983</v>
      </c>
      <c r="K262" s="10">
        <f t="shared" si="13"/>
        <v>0.63075949367088613</v>
      </c>
      <c r="L262" s="17">
        <f t="shared" si="14"/>
        <v>0</v>
      </c>
      <c r="M262" t="str">
        <f>VLOOKUP(D262,'Jer-Tip-Emp'!B:E,4,0)</f>
        <v>Armalo en combo</v>
      </c>
      <c r="N262" t="str">
        <f>VLOOKUP(D262,'Jer-Tip-Emp'!B:F,5,0)</f>
        <v>Personal</v>
      </c>
      <c r="O262" t="str">
        <f>VLOOKUP(D262,'Jer-Tip-Emp'!B:G,6,0)</f>
        <v>Combo</v>
      </c>
    </row>
    <row r="263" spans="1:15" ht="27.5" hidden="1" customHeight="1" x14ac:dyDescent="0.2">
      <c r="A263">
        <v>2025</v>
      </c>
      <c r="B263" t="s">
        <v>604</v>
      </c>
      <c r="C263" t="s">
        <v>595</v>
      </c>
      <c r="D263" s="19" t="s">
        <v>173</v>
      </c>
      <c r="E263" s="18" t="s">
        <v>542</v>
      </c>
      <c r="F263" s="18">
        <v>1</v>
      </c>
      <c r="G263" s="18">
        <v>0</v>
      </c>
      <c r="H263" s="18">
        <v>0</v>
      </c>
      <c r="I263" s="18">
        <v>0</v>
      </c>
      <c r="J263" s="8">
        <f t="shared" si="12"/>
        <v>0</v>
      </c>
      <c r="K263" s="10">
        <f t="shared" si="13"/>
        <v>0</v>
      </c>
      <c r="L263" s="17">
        <f t="shared" si="14"/>
        <v>0</v>
      </c>
      <c r="M263" t="str">
        <f>VLOOKUP(D263,'Jer-Tip-Emp'!B:E,4,0)</f>
        <v>Bebidas</v>
      </c>
      <c r="N263" t="str">
        <f>VLOOKUP(D263,'Jer-Tip-Emp'!B:F,5,0)</f>
        <v>Bebidas Cambio de bebida</v>
      </c>
      <c r="O263" t="str">
        <f>VLOOKUP(D263,'Jer-Tip-Emp'!B:G,6,0)</f>
        <v>Bebidas</v>
      </c>
    </row>
    <row r="264" spans="1:15" ht="27.5" hidden="1" customHeight="1" x14ac:dyDescent="0.2">
      <c r="A264">
        <v>2025</v>
      </c>
      <c r="B264" t="s">
        <v>604</v>
      </c>
      <c r="C264" t="s">
        <v>595</v>
      </c>
      <c r="D264" s="19" t="s">
        <v>254</v>
      </c>
      <c r="E264" s="18" t="s">
        <v>20</v>
      </c>
      <c r="F264" s="18">
        <v>1</v>
      </c>
      <c r="G264" s="20">
        <v>4900</v>
      </c>
      <c r="H264" s="18">
        <v>0</v>
      </c>
      <c r="I264" s="20">
        <v>3010</v>
      </c>
      <c r="J264" s="8">
        <f t="shared" si="12"/>
        <v>1890</v>
      </c>
      <c r="K264" s="10">
        <f t="shared" si="13"/>
        <v>0.38571428571428573</v>
      </c>
      <c r="L264" s="17">
        <f t="shared" si="14"/>
        <v>0</v>
      </c>
      <c r="M264" t="str">
        <f>VLOOKUP(D264,'Jer-Tip-Emp'!B:E,4,0)</f>
        <v>Adición</v>
      </c>
      <c r="N264" t="str">
        <f>VLOOKUP(D264,'Jer-Tip-Emp'!B:F,5,0)</f>
        <v>Adición</v>
      </c>
      <c r="O264" t="str">
        <f>VLOOKUP(D264,'Jer-Tip-Emp'!B:G,6,0)</f>
        <v>Adición</v>
      </c>
    </row>
    <row r="265" spans="1:15" ht="27.5" customHeight="1" x14ac:dyDescent="0.2">
      <c r="A265">
        <v>2025</v>
      </c>
      <c r="B265" t="s">
        <v>604</v>
      </c>
      <c r="C265" t="s">
        <v>595</v>
      </c>
      <c r="D265" s="19" t="s">
        <v>259</v>
      </c>
      <c r="E265" s="18" t="s">
        <v>152</v>
      </c>
      <c r="F265" s="18">
        <v>1</v>
      </c>
      <c r="G265" s="20">
        <v>57900</v>
      </c>
      <c r="H265" s="18">
        <v>0</v>
      </c>
      <c r="I265" s="20">
        <v>37744</v>
      </c>
      <c r="J265" s="8">
        <f t="shared" si="12"/>
        <v>20156</v>
      </c>
      <c r="K265" s="10">
        <f t="shared" si="13"/>
        <v>0.34811744386873922</v>
      </c>
      <c r="L265" s="17">
        <f t="shared" si="14"/>
        <v>0</v>
      </c>
      <c r="M265" t="str">
        <f>VLOOKUP(D265,'Jer-Tip-Emp'!B:E,4,0)</f>
        <v>Platos mong</v>
      </c>
      <c r="N265" t="str">
        <f>VLOOKUP(D265,'Jer-Tip-Emp'!B:F,5,0)</f>
        <v>No Personal</v>
      </c>
      <c r="O265" t="str">
        <f>VLOOKUP(D265,'Jer-Tip-Emp'!B:G,6,0)</f>
        <v>Caja</v>
      </c>
    </row>
    <row r="266" spans="1:15" ht="27.5" customHeight="1" x14ac:dyDescent="0.2">
      <c r="A266">
        <v>2025</v>
      </c>
      <c r="B266" t="s">
        <v>604</v>
      </c>
      <c r="C266" t="s">
        <v>595</v>
      </c>
      <c r="D266" s="19" t="s">
        <v>182</v>
      </c>
      <c r="E266" s="18" t="s">
        <v>118</v>
      </c>
      <c r="F266" s="18">
        <v>1</v>
      </c>
      <c r="G266" s="20">
        <v>25900</v>
      </c>
      <c r="H266" s="20">
        <v>-2000</v>
      </c>
      <c r="I266" s="20">
        <v>9478</v>
      </c>
      <c r="J266" s="8">
        <f t="shared" si="12"/>
        <v>16422</v>
      </c>
      <c r="K266" s="10">
        <f t="shared" si="13"/>
        <v>0.63405405405405402</v>
      </c>
      <c r="L266" s="17">
        <f t="shared" si="14"/>
        <v>7.7220077220077218E-2</v>
      </c>
      <c r="M266" t="str">
        <f>VLOOKUP(D266,'Jer-Tip-Emp'!B:E,4,0)</f>
        <v>Platos mong</v>
      </c>
      <c r="N266" t="str">
        <f>VLOOKUP(D266,'Jer-Tip-Emp'!B:F,5,0)</f>
        <v>Personal</v>
      </c>
      <c r="O266" t="str">
        <f>VLOOKUP(D266,'Jer-Tip-Emp'!B:G,6,0)</f>
        <v>Caja</v>
      </c>
    </row>
    <row r="267" spans="1:15" ht="27.5" hidden="1" customHeight="1" x14ac:dyDescent="0.2">
      <c r="A267">
        <v>2025</v>
      </c>
      <c r="B267" t="s">
        <v>604</v>
      </c>
      <c r="C267" t="s">
        <v>595</v>
      </c>
      <c r="D267" s="19" t="s">
        <v>461</v>
      </c>
      <c r="E267" s="18" t="s">
        <v>571</v>
      </c>
      <c r="F267" s="18">
        <v>1</v>
      </c>
      <c r="G267" s="20">
        <v>1600</v>
      </c>
      <c r="H267" s="18">
        <v>0</v>
      </c>
      <c r="I267" s="18">
        <v>950</v>
      </c>
      <c r="J267" s="8">
        <f t="shared" si="12"/>
        <v>650</v>
      </c>
      <c r="K267" s="10">
        <f t="shared" si="13"/>
        <v>0.40625</v>
      </c>
      <c r="L267" s="17">
        <f t="shared" si="14"/>
        <v>0</v>
      </c>
      <c r="M267" t="str">
        <f>VLOOKUP(D267,'Jer-Tip-Emp'!B:E,4,0)</f>
        <v>Bebidas</v>
      </c>
      <c r="N267" t="str">
        <f>VLOOKUP(D267,'Jer-Tip-Emp'!B:F,5,0)</f>
        <v>Bebidas Cambio de bebida</v>
      </c>
      <c r="O267" t="str">
        <f>VLOOKUP(D267,'Jer-Tip-Emp'!B:G,6,0)</f>
        <v>Bebidas</v>
      </c>
    </row>
    <row r="268" spans="1:15" ht="27.5" hidden="1" customHeight="1" x14ac:dyDescent="0.2">
      <c r="A268">
        <v>2025</v>
      </c>
      <c r="B268" t="s">
        <v>604</v>
      </c>
      <c r="C268" t="s">
        <v>595</v>
      </c>
      <c r="D268" s="19" t="s">
        <v>327</v>
      </c>
      <c r="E268" s="18" t="s">
        <v>44</v>
      </c>
      <c r="F268" s="18">
        <v>1</v>
      </c>
      <c r="G268" s="20">
        <v>4900</v>
      </c>
      <c r="H268" s="18">
        <v>0</v>
      </c>
      <c r="I268" s="20">
        <v>1095</v>
      </c>
      <c r="J268" s="8">
        <f t="shared" si="12"/>
        <v>3805</v>
      </c>
      <c r="K268" s="10">
        <f t="shared" si="13"/>
        <v>0.77653061224489794</v>
      </c>
      <c r="L268" s="17">
        <f t="shared" si="14"/>
        <v>0</v>
      </c>
      <c r="M268" t="str">
        <f>VLOOKUP(D268,'Jer-Tip-Emp'!B:E,4,0)</f>
        <v>Bebidas</v>
      </c>
      <c r="N268" t="str">
        <f>VLOOKUP(D268,'Jer-Tip-Emp'!B:F,5,0)</f>
        <v>Bebidas</v>
      </c>
      <c r="O268" t="str">
        <f>VLOOKUP(D268,'Jer-Tip-Emp'!B:G,6,0)</f>
        <v>Bebidas</v>
      </c>
    </row>
    <row r="269" spans="1:15" ht="27.5" hidden="1" customHeight="1" x14ac:dyDescent="0.2">
      <c r="A269">
        <v>2025</v>
      </c>
      <c r="B269" t="s">
        <v>604</v>
      </c>
      <c r="C269" t="s">
        <v>595</v>
      </c>
      <c r="D269" s="19" t="s">
        <v>402</v>
      </c>
      <c r="E269" s="18" t="s">
        <v>63</v>
      </c>
      <c r="F269" s="18">
        <v>1</v>
      </c>
      <c r="G269" s="20">
        <v>4900</v>
      </c>
      <c r="H269" s="18">
        <v>0</v>
      </c>
      <c r="I269" s="20">
        <v>1560</v>
      </c>
      <c r="J269" s="8">
        <f t="shared" si="12"/>
        <v>3340</v>
      </c>
      <c r="K269" s="10">
        <f t="shared" si="13"/>
        <v>0.68163265306122445</v>
      </c>
      <c r="L269" s="17">
        <f t="shared" si="14"/>
        <v>0</v>
      </c>
      <c r="M269" t="str">
        <f>VLOOKUP(D269,'Jer-Tip-Emp'!B:E,4,0)</f>
        <v>Bebidas</v>
      </c>
      <c r="N269" t="str">
        <f>VLOOKUP(D269,'Jer-Tip-Emp'!B:F,5,0)</f>
        <v>Bebidas</v>
      </c>
      <c r="O269" t="str">
        <f>VLOOKUP(D269,'Jer-Tip-Emp'!B:G,6,0)</f>
        <v>Bebidas</v>
      </c>
    </row>
    <row r="270" spans="1:15" ht="27.5" customHeight="1" x14ac:dyDescent="0.2">
      <c r="A270">
        <v>2025</v>
      </c>
      <c r="B270" t="s">
        <v>604</v>
      </c>
      <c r="C270" t="s">
        <v>595</v>
      </c>
      <c r="D270" s="19" t="s">
        <v>197</v>
      </c>
      <c r="E270" s="18" t="s">
        <v>31</v>
      </c>
      <c r="F270" s="18">
        <v>1</v>
      </c>
      <c r="G270" s="20">
        <v>7900</v>
      </c>
      <c r="H270" s="18">
        <v>0</v>
      </c>
      <c r="I270" s="20">
        <v>3212</v>
      </c>
      <c r="J270" s="8">
        <f t="shared" si="12"/>
        <v>4688</v>
      </c>
      <c r="K270" s="10">
        <f t="shared" si="13"/>
        <v>0.59341772151898731</v>
      </c>
      <c r="L270" s="17">
        <f t="shared" si="14"/>
        <v>0</v>
      </c>
      <c r="M270" t="str">
        <f>VLOOKUP(D270,'Jer-Tip-Emp'!B:E,4,0)</f>
        <v>Armalo en combo</v>
      </c>
      <c r="N270" t="str">
        <f>VLOOKUP(D270,'Jer-Tip-Emp'!B:F,5,0)</f>
        <v>Personal</v>
      </c>
      <c r="O270" t="str">
        <f>VLOOKUP(D270,'Jer-Tip-Emp'!B:G,6,0)</f>
        <v>Combo</v>
      </c>
    </row>
    <row r="271" spans="1:15" ht="27.5" customHeight="1" x14ac:dyDescent="0.2">
      <c r="A271">
        <v>2025</v>
      </c>
      <c r="B271" t="s">
        <v>604</v>
      </c>
      <c r="C271" t="s">
        <v>595</v>
      </c>
      <c r="D271" s="19" t="s">
        <v>297</v>
      </c>
      <c r="E271" s="18" t="s">
        <v>131</v>
      </c>
      <c r="F271" s="18">
        <v>1</v>
      </c>
      <c r="G271" s="20">
        <v>18900</v>
      </c>
      <c r="H271" s="18">
        <v>0</v>
      </c>
      <c r="I271" s="20">
        <v>5461</v>
      </c>
      <c r="J271" s="8">
        <f t="shared" si="12"/>
        <v>13439</v>
      </c>
      <c r="K271" s="10">
        <f t="shared" si="13"/>
        <v>0.71105820105820106</v>
      </c>
      <c r="L271" s="17">
        <f t="shared" si="14"/>
        <v>0</v>
      </c>
      <c r="M271" t="str">
        <f>VLOOKUP(D271,'Jer-Tip-Emp'!B:E,4,0)</f>
        <v>Platos mong</v>
      </c>
      <c r="N271" t="str">
        <f>VLOOKUP(D271,'Jer-Tip-Emp'!B:F,5,0)</f>
        <v>Personal</v>
      </c>
      <c r="O271" t="str">
        <f>VLOOKUP(D271,'Jer-Tip-Emp'!B:G,6,0)</f>
        <v>Caja</v>
      </c>
    </row>
    <row r="272" spans="1:15" ht="27.5" customHeight="1" x14ac:dyDescent="0.2">
      <c r="A272">
        <v>2026</v>
      </c>
      <c r="B272" t="s">
        <v>599</v>
      </c>
      <c r="C272" t="s">
        <v>609</v>
      </c>
      <c r="D272" s="19" t="s">
        <v>207</v>
      </c>
      <c r="E272" s="18" t="s">
        <v>92</v>
      </c>
      <c r="F272" s="18">
        <v>321</v>
      </c>
      <c r="G272" s="20">
        <v>7661449</v>
      </c>
      <c r="H272" s="20">
        <v>-10451</v>
      </c>
      <c r="I272" s="20">
        <v>3090267</v>
      </c>
      <c r="J272" s="8">
        <f t="shared" si="12"/>
        <v>4571182</v>
      </c>
      <c r="K272" s="10">
        <f t="shared" si="13"/>
        <v>0.59664718775782488</v>
      </c>
      <c r="L272" s="17">
        <f t="shared" si="14"/>
        <v>1.3641022736038575E-3</v>
      </c>
      <c r="M272" t="str">
        <f>VLOOKUP(D272,'Jer-Tip-Emp'!B:E,4,0)</f>
        <v>Combos personales</v>
      </c>
      <c r="N272" t="str">
        <f>VLOOKUP(D272,'Jer-Tip-Emp'!B:F,5,0)</f>
        <v>Personal</v>
      </c>
      <c r="O272" t="str">
        <f>VLOOKUP(D272,'Jer-Tip-Emp'!B:G,6,0)</f>
        <v>Combo</v>
      </c>
    </row>
    <row r="273" spans="1:15" ht="27.5" customHeight="1" x14ac:dyDescent="0.2">
      <c r="A273">
        <v>2026</v>
      </c>
      <c r="B273" t="s">
        <v>599</v>
      </c>
      <c r="C273" t="s">
        <v>609</v>
      </c>
      <c r="D273" s="19" t="s">
        <v>273</v>
      </c>
      <c r="E273" s="18" t="s">
        <v>23</v>
      </c>
      <c r="F273" s="18">
        <v>253</v>
      </c>
      <c r="G273" s="20">
        <v>6297293</v>
      </c>
      <c r="H273" s="20">
        <v>-2407</v>
      </c>
      <c r="I273" s="18">
        <v>0</v>
      </c>
      <c r="J273" s="8">
        <f t="shared" si="12"/>
        <v>6297293</v>
      </c>
      <c r="K273" s="10">
        <f t="shared" si="13"/>
        <v>1</v>
      </c>
      <c r="L273" s="17">
        <f t="shared" si="14"/>
        <v>3.822277286446732E-4</v>
      </c>
      <c r="M273" t="str">
        <f>VLOOKUP(D273,'Jer-Tip-Emp'!B:E,4,0)</f>
        <v>Arma tu plato</v>
      </c>
      <c r="N273" t="str">
        <f>VLOOKUP(D273,'Jer-Tip-Emp'!B:F,5,0)</f>
        <v>Personal</v>
      </c>
      <c r="O273" t="str">
        <f>VLOOKUP(D273,'Jer-Tip-Emp'!B:G,6,0)</f>
        <v>Caja</v>
      </c>
    </row>
    <row r="274" spans="1:15" ht="27.5" customHeight="1" x14ac:dyDescent="0.2">
      <c r="A274">
        <v>2026</v>
      </c>
      <c r="B274" t="s">
        <v>599</v>
      </c>
      <c r="C274" t="s">
        <v>609</v>
      </c>
      <c r="D274" s="19" t="s">
        <v>313</v>
      </c>
      <c r="E274" s="18" t="s">
        <v>540</v>
      </c>
      <c r="F274" s="18">
        <v>169</v>
      </c>
      <c r="G274" s="18">
        <v>0</v>
      </c>
      <c r="H274" s="18">
        <v>0</v>
      </c>
      <c r="I274" s="20">
        <v>927979</v>
      </c>
      <c r="J274" s="8">
        <f t="shared" si="12"/>
        <v>-927979</v>
      </c>
      <c r="K274" s="10">
        <f t="shared" si="13"/>
        <v>0</v>
      </c>
      <c r="L274" s="17">
        <f t="shared" si="14"/>
        <v>0</v>
      </c>
      <c r="M274" t="str">
        <f>VLOOKUP(D274,'Jer-Tip-Emp'!B:E,4,0)</f>
        <v>Arma tu plato</v>
      </c>
      <c r="N274" t="str">
        <f>VLOOKUP(D274,'Jer-Tip-Emp'!B:F,5,0)</f>
        <v>Personal</v>
      </c>
      <c r="O274" t="str">
        <f>VLOOKUP(D274,'Jer-Tip-Emp'!B:G,6,0)</f>
        <v>Caja</v>
      </c>
    </row>
    <row r="275" spans="1:15" ht="27.5" hidden="1" customHeight="1" x14ac:dyDescent="0.2">
      <c r="A275">
        <v>2026</v>
      </c>
      <c r="B275" t="s">
        <v>599</v>
      </c>
      <c r="C275" t="s">
        <v>609</v>
      </c>
      <c r="D275" s="19" t="s">
        <v>284</v>
      </c>
      <c r="E275" s="18" t="s">
        <v>106</v>
      </c>
      <c r="F275" s="18">
        <v>144</v>
      </c>
      <c r="G275" s="20">
        <v>1281400</v>
      </c>
      <c r="H275" s="18">
        <v>-200</v>
      </c>
      <c r="I275" s="20">
        <v>452016</v>
      </c>
      <c r="J275" s="8">
        <f t="shared" si="12"/>
        <v>829384</v>
      </c>
      <c r="K275" s="10">
        <f t="shared" si="13"/>
        <v>0.64724832214765105</v>
      </c>
      <c r="L275" s="17">
        <f t="shared" si="14"/>
        <v>1.5607928827844546E-4</v>
      </c>
      <c r="M275" t="str">
        <f>VLOOKUP(D275,'Jer-Tip-Emp'!B:E,4,0)</f>
        <v>Entradas</v>
      </c>
      <c r="N275" t="str">
        <f>VLOOKUP(D275,'Jer-Tip-Emp'!B:F,5,0)</f>
        <v>Otro</v>
      </c>
      <c r="O275" t="str">
        <f>VLOOKUP(D275,'Jer-Tip-Emp'!B:G,6,0)</f>
        <v>Otro</v>
      </c>
    </row>
    <row r="276" spans="1:15" ht="27.5" customHeight="1" x14ac:dyDescent="0.2">
      <c r="A276">
        <v>2026</v>
      </c>
      <c r="B276" t="s">
        <v>599</v>
      </c>
      <c r="C276" t="s">
        <v>609</v>
      </c>
      <c r="D276" s="19" t="s">
        <v>389</v>
      </c>
      <c r="E276" s="18" t="s">
        <v>541</v>
      </c>
      <c r="F276" s="18">
        <v>98</v>
      </c>
      <c r="G276" s="18">
        <v>0</v>
      </c>
      <c r="H276" s="18">
        <v>0</v>
      </c>
      <c r="I276" s="20">
        <v>535766</v>
      </c>
      <c r="J276" s="8">
        <f t="shared" si="12"/>
        <v>-535766</v>
      </c>
      <c r="K276" s="10">
        <f t="shared" si="13"/>
        <v>0</v>
      </c>
      <c r="L276" s="17">
        <f t="shared" si="14"/>
        <v>0</v>
      </c>
      <c r="M276" t="str">
        <f>VLOOKUP(D276,'Jer-Tip-Emp'!B:E,4,0)</f>
        <v>Arma tu plato</v>
      </c>
      <c r="N276" t="str">
        <f>VLOOKUP(D276,'Jer-Tip-Emp'!B:F,5,0)</f>
        <v>Personal</v>
      </c>
      <c r="O276" t="str">
        <f>VLOOKUP(D276,'Jer-Tip-Emp'!B:G,6,0)</f>
        <v>Caja</v>
      </c>
    </row>
    <row r="277" spans="1:15" ht="27.5" customHeight="1" x14ac:dyDescent="0.2">
      <c r="A277">
        <v>2026</v>
      </c>
      <c r="B277" t="s">
        <v>599</v>
      </c>
      <c r="C277" t="s">
        <v>609</v>
      </c>
      <c r="D277" s="19" t="s">
        <v>376</v>
      </c>
      <c r="E277" s="18" t="s">
        <v>543</v>
      </c>
      <c r="F277" s="18">
        <v>95</v>
      </c>
      <c r="G277" s="18">
        <v>0</v>
      </c>
      <c r="H277" s="18">
        <v>0</v>
      </c>
      <c r="I277" s="20">
        <v>121790</v>
      </c>
      <c r="J277" s="8">
        <f t="shared" si="12"/>
        <v>-121790</v>
      </c>
      <c r="K277" s="10">
        <f t="shared" si="13"/>
        <v>0</v>
      </c>
      <c r="L277" s="17">
        <f t="shared" si="14"/>
        <v>0</v>
      </c>
      <c r="M277" t="str">
        <f>VLOOKUP(D277,'Jer-Tip-Emp'!B:E,4,0)</f>
        <v>Arma tu plato</v>
      </c>
      <c r="N277" t="str">
        <f>VLOOKUP(D277,'Jer-Tip-Emp'!B:F,5,0)</f>
        <v>Personal</v>
      </c>
      <c r="O277" t="str">
        <f>VLOOKUP(D277,'Jer-Tip-Emp'!B:G,6,0)</f>
        <v>Caja</v>
      </c>
    </row>
    <row r="278" spans="1:15" ht="27.5" customHeight="1" x14ac:dyDescent="0.2">
      <c r="A278">
        <v>2026</v>
      </c>
      <c r="B278" t="s">
        <v>599</v>
      </c>
      <c r="C278" t="s">
        <v>609</v>
      </c>
      <c r="D278" s="19" t="s">
        <v>322</v>
      </c>
      <c r="E278" s="18" t="s">
        <v>545</v>
      </c>
      <c r="F278" s="18">
        <v>87</v>
      </c>
      <c r="G278" s="20">
        <v>173807</v>
      </c>
      <c r="H278" s="18">
        <v>-193</v>
      </c>
      <c r="I278" s="20">
        <v>270396</v>
      </c>
      <c r="J278" s="8">
        <f t="shared" si="12"/>
        <v>-96589</v>
      </c>
      <c r="K278" s="10">
        <f t="shared" si="13"/>
        <v>-0.55572560368684809</v>
      </c>
      <c r="L278" s="17">
        <f t="shared" si="14"/>
        <v>1.1104270829138067E-3</v>
      </c>
      <c r="M278" t="str">
        <f>VLOOKUP(D278,'Jer-Tip-Emp'!B:E,4,0)</f>
        <v>Arma tu plato</v>
      </c>
      <c r="N278" t="str">
        <f>VLOOKUP(D278,'Jer-Tip-Emp'!B:F,5,0)</f>
        <v>Personal</v>
      </c>
      <c r="O278" t="str">
        <f>VLOOKUP(D278,'Jer-Tip-Emp'!B:G,6,0)</f>
        <v>Caja</v>
      </c>
    </row>
    <row r="279" spans="1:15" ht="27.5" customHeight="1" x14ac:dyDescent="0.2">
      <c r="A279">
        <v>2026</v>
      </c>
      <c r="B279" t="s">
        <v>599</v>
      </c>
      <c r="C279" t="s">
        <v>609</v>
      </c>
      <c r="D279" s="19" t="s">
        <v>186</v>
      </c>
      <c r="E279" s="18" t="s">
        <v>95</v>
      </c>
      <c r="F279" s="18">
        <v>84</v>
      </c>
      <c r="G279" s="20">
        <v>2427600</v>
      </c>
      <c r="H279" s="18">
        <v>0</v>
      </c>
      <c r="I279" s="20">
        <v>803880</v>
      </c>
      <c r="J279" s="8">
        <f t="shared" si="12"/>
        <v>1623720</v>
      </c>
      <c r="K279" s="10">
        <f t="shared" si="13"/>
        <v>0.66885813148788931</v>
      </c>
      <c r="L279" s="17">
        <f t="shared" si="14"/>
        <v>0</v>
      </c>
      <c r="M279" t="str">
        <f>VLOOKUP(D279,'Jer-Tip-Emp'!B:E,4,0)</f>
        <v>Combos personales</v>
      </c>
      <c r="N279" t="str">
        <f>VLOOKUP(D279,'Jer-Tip-Emp'!B:F,5,0)</f>
        <v>Personal</v>
      </c>
      <c r="O279" t="str">
        <f>VLOOKUP(D279,'Jer-Tip-Emp'!B:G,6,0)</f>
        <v>Combo</v>
      </c>
    </row>
    <row r="280" spans="1:15" ht="27.5" customHeight="1" x14ac:dyDescent="0.2">
      <c r="A280">
        <v>2026</v>
      </c>
      <c r="B280" t="s">
        <v>599</v>
      </c>
      <c r="C280" t="s">
        <v>609</v>
      </c>
      <c r="D280" s="19" t="s">
        <v>212</v>
      </c>
      <c r="E280" s="18" t="s">
        <v>160</v>
      </c>
      <c r="F280" s="18">
        <v>83</v>
      </c>
      <c r="G280" s="20">
        <v>2398700</v>
      </c>
      <c r="H280" s="18">
        <v>0</v>
      </c>
      <c r="I280" s="20">
        <v>933999</v>
      </c>
      <c r="J280" s="8">
        <f t="shared" si="12"/>
        <v>1464701</v>
      </c>
      <c r="K280" s="10">
        <f t="shared" si="13"/>
        <v>0.61062283737024226</v>
      </c>
      <c r="L280" s="17">
        <f t="shared" si="14"/>
        <v>0</v>
      </c>
      <c r="M280" t="str">
        <f>VLOOKUP(D280,'Jer-Tip-Emp'!B:E,4,0)</f>
        <v>Combos personales</v>
      </c>
      <c r="N280" t="str">
        <f>VLOOKUP(D280,'Jer-Tip-Emp'!B:F,5,0)</f>
        <v>Personal</v>
      </c>
      <c r="O280" t="str">
        <f>VLOOKUP(D280,'Jer-Tip-Emp'!B:G,6,0)</f>
        <v>Combo</v>
      </c>
    </row>
    <row r="281" spans="1:15" ht="27.5" hidden="1" customHeight="1" x14ac:dyDescent="0.2">
      <c r="A281">
        <v>2026</v>
      </c>
      <c r="B281" t="s">
        <v>599</v>
      </c>
      <c r="C281" t="s">
        <v>609</v>
      </c>
      <c r="D281" s="19" t="s">
        <v>310</v>
      </c>
      <c r="E281" s="18" t="s">
        <v>53</v>
      </c>
      <c r="F281" s="18">
        <v>82</v>
      </c>
      <c r="G281" s="20">
        <v>481389</v>
      </c>
      <c r="H281" s="20">
        <v>-2411</v>
      </c>
      <c r="I281" s="20">
        <v>138990</v>
      </c>
      <c r="J281" s="8">
        <f t="shared" si="12"/>
        <v>342399</v>
      </c>
      <c r="K281" s="10">
        <f t="shared" si="13"/>
        <v>0.71127300374541169</v>
      </c>
      <c r="L281" s="17">
        <f t="shared" si="14"/>
        <v>5.0084235410447686E-3</v>
      </c>
      <c r="M281" t="str">
        <f>VLOOKUP(D281,'Jer-Tip-Emp'!B:E,4,0)</f>
        <v>Bebidas</v>
      </c>
      <c r="N281" t="str">
        <f>VLOOKUP(D281,'Jer-Tip-Emp'!B:F,5,0)</f>
        <v>Bebidas</v>
      </c>
      <c r="O281" t="str">
        <f>VLOOKUP(D281,'Jer-Tip-Emp'!B:G,6,0)</f>
        <v>Bebidas</v>
      </c>
    </row>
    <row r="282" spans="1:15" ht="27.5" hidden="1" customHeight="1" x14ac:dyDescent="0.2">
      <c r="A282">
        <v>2026</v>
      </c>
      <c r="B282" t="s">
        <v>599</v>
      </c>
      <c r="C282" t="s">
        <v>609</v>
      </c>
      <c r="D282" s="19" t="s">
        <v>327</v>
      </c>
      <c r="E282" s="18" t="s">
        <v>44</v>
      </c>
      <c r="F282" s="18">
        <v>72</v>
      </c>
      <c r="G282" s="20">
        <v>347900</v>
      </c>
      <c r="H282" s="20">
        <v>-4900</v>
      </c>
      <c r="I282" s="20">
        <v>78840</v>
      </c>
      <c r="J282" s="8">
        <f t="shared" si="12"/>
        <v>269060</v>
      </c>
      <c r="K282" s="10">
        <f t="shared" si="13"/>
        <v>0.77338315607933317</v>
      </c>
      <c r="L282" s="17">
        <f t="shared" si="14"/>
        <v>1.4084507042253521E-2</v>
      </c>
      <c r="M282" t="str">
        <f>VLOOKUP(D282,'Jer-Tip-Emp'!B:E,4,0)</f>
        <v>Bebidas</v>
      </c>
      <c r="N282" t="str">
        <f>VLOOKUP(D282,'Jer-Tip-Emp'!B:F,5,0)</f>
        <v>Bebidas</v>
      </c>
      <c r="O282" t="str">
        <f>VLOOKUP(D282,'Jer-Tip-Emp'!B:G,6,0)</f>
        <v>Bebidas</v>
      </c>
    </row>
    <row r="283" spans="1:15" ht="27.5" customHeight="1" x14ac:dyDescent="0.2">
      <c r="A283">
        <v>2026</v>
      </c>
      <c r="B283" t="s">
        <v>599</v>
      </c>
      <c r="C283" t="s">
        <v>609</v>
      </c>
      <c r="D283" s="19" t="s">
        <v>333</v>
      </c>
      <c r="E283" s="18" t="s">
        <v>547</v>
      </c>
      <c r="F283" s="18">
        <v>70</v>
      </c>
      <c r="G283" s="18">
        <v>0</v>
      </c>
      <c r="H283" s="18">
        <v>0</v>
      </c>
      <c r="I283" s="20">
        <v>232540</v>
      </c>
      <c r="J283" s="8">
        <f t="shared" si="12"/>
        <v>-232540</v>
      </c>
      <c r="K283" s="10">
        <f t="shared" si="13"/>
        <v>0</v>
      </c>
      <c r="L283" s="17">
        <f t="shared" si="14"/>
        <v>0</v>
      </c>
      <c r="M283" t="str">
        <f>VLOOKUP(D283,'Jer-Tip-Emp'!B:E,4,0)</f>
        <v>Arma tu plato</v>
      </c>
      <c r="N283" t="str">
        <f>VLOOKUP(D283,'Jer-Tip-Emp'!B:F,5,0)</f>
        <v>Personal</v>
      </c>
      <c r="O283" t="str">
        <f>VLOOKUP(D283,'Jer-Tip-Emp'!B:G,6,0)</f>
        <v>Caja</v>
      </c>
    </row>
    <row r="284" spans="1:15" ht="27.5" hidden="1" customHeight="1" x14ac:dyDescent="0.2">
      <c r="A284">
        <v>2026</v>
      </c>
      <c r="B284" t="s">
        <v>599</v>
      </c>
      <c r="C284" t="s">
        <v>609</v>
      </c>
      <c r="D284" s="19" t="s">
        <v>176</v>
      </c>
      <c r="E284" s="18" t="s">
        <v>544</v>
      </c>
      <c r="F284" s="18">
        <v>69</v>
      </c>
      <c r="G284" s="20">
        <v>68287</v>
      </c>
      <c r="H284" s="18">
        <v>-713</v>
      </c>
      <c r="I284" s="20">
        <v>134205</v>
      </c>
      <c r="J284" s="8">
        <f t="shared" si="12"/>
        <v>-65918</v>
      </c>
      <c r="K284" s="10">
        <f t="shared" si="13"/>
        <v>-0.96530818457393064</v>
      </c>
      <c r="L284" s="17">
        <f t="shared" si="14"/>
        <v>1.0441226002020883E-2</v>
      </c>
      <c r="M284" t="str">
        <f>VLOOKUP(D284,'Jer-Tip-Emp'!B:E,4,0)</f>
        <v>Bebidas</v>
      </c>
      <c r="N284" t="str">
        <f>VLOOKUP(D284,'Jer-Tip-Emp'!B:F,5,0)</f>
        <v>Bebidas Cambio de bebida</v>
      </c>
      <c r="O284" t="str">
        <f>VLOOKUP(D284,'Jer-Tip-Emp'!B:G,6,0)</f>
        <v>Bebidas</v>
      </c>
    </row>
    <row r="285" spans="1:15" ht="27.5" hidden="1" customHeight="1" x14ac:dyDescent="0.2">
      <c r="A285">
        <v>2026</v>
      </c>
      <c r="B285" t="s">
        <v>599</v>
      </c>
      <c r="C285" t="s">
        <v>609</v>
      </c>
      <c r="D285" s="19" t="s">
        <v>500</v>
      </c>
      <c r="E285" s="18" t="s">
        <v>546</v>
      </c>
      <c r="F285" s="18">
        <v>69</v>
      </c>
      <c r="G285" s="18">
        <v>0</v>
      </c>
      <c r="H285" s="18">
        <v>0</v>
      </c>
      <c r="I285" s="20">
        <v>59892</v>
      </c>
      <c r="J285" s="8">
        <f t="shared" si="12"/>
        <v>-59892</v>
      </c>
      <c r="K285" s="10">
        <f t="shared" si="13"/>
        <v>0</v>
      </c>
      <c r="L285" s="17">
        <f t="shared" si="14"/>
        <v>0</v>
      </c>
      <c r="M285" t="str">
        <f>VLOOKUP(D285,'Jer-Tip-Emp'!B:E,4,0)</f>
        <v>Bebidas</v>
      </c>
      <c r="N285" t="str">
        <f>VLOOKUP(D285,'Jer-Tip-Emp'!B:F,5,0)</f>
        <v>Bebidas Cambio de bebida</v>
      </c>
      <c r="O285" t="str">
        <f>VLOOKUP(D285,'Jer-Tip-Emp'!B:G,6,0)</f>
        <v>Bebidas</v>
      </c>
    </row>
    <row r="286" spans="1:15" ht="27.5" customHeight="1" x14ac:dyDescent="0.2">
      <c r="A286">
        <v>2026</v>
      </c>
      <c r="B286" t="s">
        <v>599</v>
      </c>
      <c r="C286" t="s">
        <v>609</v>
      </c>
      <c r="D286" s="19" t="s">
        <v>196</v>
      </c>
      <c r="E286" s="18" t="s">
        <v>159</v>
      </c>
      <c r="F286" s="18">
        <v>69</v>
      </c>
      <c r="G286" s="20">
        <v>1787100</v>
      </c>
      <c r="H286" s="18">
        <v>0</v>
      </c>
      <c r="I286" s="20">
        <v>655569</v>
      </c>
      <c r="J286" s="8">
        <f t="shared" si="12"/>
        <v>1131531</v>
      </c>
      <c r="K286" s="10">
        <f t="shared" si="13"/>
        <v>0.63316602316602322</v>
      </c>
      <c r="L286" s="17">
        <f t="shared" si="14"/>
        <v>0</v>
      </c>
      <c r="M286" t="str">
        <f>VLOOKUP(D286,'Jer-Tip-Emp'!B:E,4,0)</f>
        <v>Combos personales</v>
      </c>
      <c r="N286" t="str">
        <f>VLOOKUP(D286,'Jer-Tip-Emp'!B:F,5,0)</f>
        <v>Personal</v>
      </c>
      <c r="O286" t="str">
        <f>VLOOKUP(D286,'Jer-Tip-Emp'!B:G,6,0)</f>
        <v>Combo</v>
      </c>
    </row>
    <row r="287" spans="1:15" ht="27.5" customHeight="1" x14ac:dyDescent="0.2">
      <c r="A287">
        <v>2026</v>
      </c>
      <c r="B287" t="s">
        <v>599</v>
      </c>
      <c r="C287" t="s">
        <v>609</v>
      </c>
      <c r="D287" s="19" t="s">
        <v>223</v>
      </c>
      <c r="E287" s="18" t="s">
        <v>116</v>
      </c>
      <c r="F287" s="18">
        <v>68</v>
      </c>
      <c r="G287" s="20">
        <v>1829200</v>
      </c>
      <c r="H287" s="18">
        <v>0</v>
      </c>
      <c r="I287" s="20">
        <v>927384</v>
      </c>
      <c r="J287" s="8">
        <f t="shared" si="12"/>
        <v>901816</v>
      </c>
      <c r="K287" s="10">
        <f t="shared" si="13"/>
        <v>0.4930111524163569</v>
      </c>
      <c r="L287" s="17">
        <f t="shared" si="14"/>
        <v>0</v>
      </c>
      <c r="M287" t="str">
        <f>VLOOKUP(D287,'Jer-Tip-Emp'!B:E,4,0)</f>
        <v>Platos especiales</v>
      </c>
      <c r="N287" t="str">
        <f>VLOOKUP(D287,'Jer-Tip-Emp'!B:F,5,0)</f>
        <v>Personal</v>
      </c>
      <c r="O287" t="str">
        <f>VLOOKUP(D287,'Jer-Tip-Emp'!B:G,6,0)</f>
        <v>Platos especiales</v>
      </c>
    </row>
    <row r="288" spans="1:15" ht="27.5" customHeight="1" x14ac:dyDescent="0.2">
      <c r="A288">
        <v>2026</v>
      </c>
      <c r="B288" t="s">
        <v>599</v>
      </c>
      <c r="C288" t="s">
        <v>609</v>
      </c>
      <c r="D288" s="19" t="s">
        <v>354</v>
      </c>
      <c r="E288" s="18" t="s">
        <v>548</v>
      </c>
      <c r="F288" s="18">
        <v>61</v>
      </c>
      <c r="G288" s="18">
        <v>0</v>
      </c>
      <c r="H288" s="18">
        <v>0</v>
      </c>
      <c r="I288" s="20">
        <v>160674</v>
      </c>
      <c r="J288" s="8">
        <f t="shared" si="12"/>
        <v>-160674</v>
      </c>
      <c r="K288" s="10">
        <f t="shared" si="13"/>
        <v>0</v>
      </c>
      <c r="L288" s="17">
        <f t="shared" si="14"/>
        <v>0</v>
      </c>
      <c r="M288" t="str">
        <f>VLOOKUP(D288,'Jer-Tip-Emp'!B:E,4,0)</f>
        <v>Arma tu plato</v>
      </c>
      <c r="N288" t="str">
        <f>VLOOKUP(D288,'Jer-Tip-Emp'!B:F,5,0)</f>
        <v>Personal</v>
      </c>
      <c r="O288" t="str">
        <f>VLOOKUP(D288,'Jer-Tip-Emp'!B:G,6,0)</f>
        <v>Caja</v>
      </c>
    </row>
    <row r="289" spans="1:15" ht="27.5" customHeight="1" x14ac:dyDescent="0.2">
      <c r="A289">
        <v>2026</v>
      </c>
      <c r="B289" t="s">
        <v>599</v>
      </c>
      <c r="C289" t="s">
        <v>609</v>
      </c>
      <c r="D289" s="19" t="s">
        <v>393</v>
      </c>
      <c r="E289" s="18" t="s">
        <v>549</v>
      </c>
      <c r="F289" s="18">
        <v>51</v>
      </c>
      <c r="G289" s="20">
        <v>102000</v>
      </c>
      <c r="H289" s="18">
        <v>0</v>
      </c>
      <c r="I289" s="20">
        <v>103785</v>
      </c>
      <c r="J289" s="8">
        <f t="shared" si="12"/>
        <v>-1785</v>
      </c>
      <c r="K289" s="10">
        <f t="shared" si="13"/>
        <v>-1.7500000000000002E-2</v>
      </c>
      <c r="L289" s="17">
        <f t="shared" si="14"/>
        <v>0</v>
      </c>
      <c r="M289" t="str">
        <f>VLOOKUP(D289,'Jer-Tip-Emp'!B:E,4,0)</f>
        <v>Arma tu plato</v>
      </c>
      <c r="N289" t="str">
        <f>VLOOKUP(D289,'Jer-Tip-Emp'!B:F,5,0)</f>
        <v>Personal</v>
      </c>
      <c r="O289" t="str">
        <f>VLOOKUP(D289,'Jer-Tip-Emp'!B:G,6,0)</f>
        <v>Caja</v>
      </c>
    </row>
    <row r="290" spans="1:15" ht="27.5" customHeight="1" x14ac:dyDescent="0.2">
      <c r="A290">
        <v>2026</v>
      </c>
      <c r="B290" t="s">
        <v>599</v>
      </c>
      <c r="C290" t="s">
        <v>609</v>
      </c>
      <c r="D290" s="19" t="s">
        <v>470</v>
      </c>
      <c r="E290" s="18" t="s">
        <v>550</v>
      </c>
      <c r="F290" s="18">
        <v>46</v>
      </c>
      <c r="G290" s="18">
        <v>0</v>
      </c>
      <c r="H290" s="18">
        <v>0</v>
      </c>
      <c r="I290" s="20">
        <v>142462</v>
      </c>
      <c r="J290" s="8">
        <f t="shared" si="12"/>
        <v>-142462</v>
      </c>
      <c r="K290" s="10">
        <f t="shared" si="13"/>
        <v>0</v>
      </c>
      <c r="L290" s="17">
        <f t="shared" si="14"/>
        <v>0</v>
      </c>
      <c r="M290" t="str">
        <f>VLOOKUP(D290,'Jer-Tip-Emp'!B:E,4,0)</f>
        <v>Arma tu plato</v>
      </c>
      <c r="N290" t="str">
        <f>VLOOKUP(D290,'Jer-Tip-Emp'!B:F,5,0)</f>
        <v>Personal</v>
      </c>
      <c r="O290" t="str">
        <f>VLOOKUP(D290,'Jer-Tip-Emp'!B:G,6,0)</f>
        <v>Caja</v>
      </c>
    </row>
    <row r="291" spans="1:15" ht="27.5" hidden="1" customHeight="1" x14ac:dyDescent="0.2">
      <c r="A291">
        <v>2026</v>
      </c>
      <c r="B291" t="s">
        <v>599</v>
      </c>
      <c r="C291" t="s">
        <v>609</v>
      </c>
      <c r="D291" s="19" t="s">
        <v>309</v>
      </c>
      <c r="E291" s="18" t="s">
        <v>48</v>
      </c>
      <c r="F291" s="18">
        <v>40</v>
      </c>
      <c r="G291" s="20">
        <v>156000</v>
      </c>
      <c r="H291" s="18">
        <v>0</v>
      </c>
      <c r="I291" s="20">
        <v>46520</v>
      </c>
      <c r="J291" s="8">
        <f t="shared" si="12"/>
        <v>109480</v>
      </c>
      <c r="K291" s="10">
        <f t="shared" si="13"/>
        <v>0.70179487179487177</v>
      </c>
      <c r="L291" s="17">
        <f t="shared" si="14"/>
        <v>0</v>
      </c>
      <c r="M291" t="str">
        <f>VLOOKUP(D291,'Jer-Tip-Emp'!B:E,4,0)</f>
        <v>Bebidas</v>
      </c>
      <c r="N291" t="str">
        <f>VLOOKUP(D291,'Jer-Tip-Emp'!B:F,5,0)</f>
        <v>Bebidas</v>
      </c>
      <c r="O291" t="str">
        <f>VLOOKUP(D291,'Jer-Tip-Emp'!B:G,6,0)</f>
        <v>Bebidas</v>
      </c>
    </row>
    <row r="292" spans="1:15" ht="27.5" customHeight="1" x14ac:dyDescent="0.2">
      <c r="A292">
        <v>2026</v>
      </c>
      <c r="B292" t="s">
        <v>599</v>
      </c>
      <c r="C292" t="s">
        <v>609</v>
      </c>
      <c r="D292" s="19" t="s">
        <v>448</v>
      </c>
      <c r="E292" s="18" t="s">
        <v>552</v>
      </c>
      <c r="F292" s="18">
        <v>39</v>
      </c>
      <c r="G292" s="18">
        <v>0</v>
      </c>
      <c r="H292" s="18">
        <v>0</v>
      </c>
      <c r="I292" s="20">
        <v>205257</v>
      </c>
      <c r="J292" s="8">
        <f t="shared" si="12"/>
        <v>-205257</v>
      </c>
      <c r="K292" s="10">
        <f t="shared" si="13"/>
        <v>0</v>
      </c>
      <c r="L292" s="17">
        <f t="shared" si="14"/>
        <v>0</v>
      </c>
      <c r="M292" t="str">
        <f>VLOOKUP(D292,'Jer-Tip-Emp'!B:E,4,0)</f>
        <v>Arma tu plato</v>
      </c>
      <c r="N292" t="str">
        <f>VLOOKUP(D292,'Jer-Tip-Emp'!B:F,5,0)</f>
        <v>Personal</v>
      </c>
      <c r="O292" t="str">
        <f>VLOOKUP(D292,'Jer-Tip-Emp'!B:G,6,0)</f>
        <v>Caja</v>
      </c>
    </row>
    <row r="293" spans="1:15" ht="27.5" hidden="1" customHeight="1" x14ac:dyDescent="0.2">
      <c r="A293">
        <v>2026</v>
      </c>
      <c r="B293" t="s">
        <v>599</v>
      </c>
      <c r="C293" t="s">
        <v>609</v>
      </c>
      <c r="D293" s="19" t="s">
        <v>351</v>
      </c>
      <c r="E293" s="18" t="s">
        <v>55</v>
      </c>
      <c r="F293" s="18">
        <v>38</v>
      </c>
      <c r="G293" s="20">
        <v>224200</v>
      </c>
      <c r="H293" s="18">
        <v>0</v>
      </c>
      <c r="I293" s="20">
        <v>55024</v>
      </c>
      <c r="J293" s="8">
        <f t="shared" si="12"/>
        <v>169176</v>
      </c>
      <c r="K293" s="10">
        <f t="shared" si="13"/>
        <v>0.75457627118644066</v>
      </c>
      <c r="L293" s="17">
        <f t="shared" si="14"/>
        <v>0</v>
      </c>
      <c r="M293" t="str">
        <f>VLOOKUP(D293,'Jer-Tip-Emp'!B:E,4,0)</f>
        <v>Bebidas</v>
      </c>
      <c r="N293" t="str">
        <f>VLOOKUP(D293,'Jer-Tip-Emp'!B:F,5,0)</f>
        <v>Bebidas</v>
      </c>
      <c r="O293" t="str">
        <f>VLOOKUP(D293,'Jer-Tip-Emp'!B:G,6,0)</f>
        <v>Bebidas</v>
      </c>
    </row>
    <row r="294" spans="1:15" ht="27.5" hidden="1" customHeight="1" x14ac:dyDescent="0.2">
      <c r="A294">
        <v>2026</v>
      </c>
      <c r="B294" t="s">
        <v>599</v>
      </c>
      <c r="C294" t="s">
        <v>609</v>
      </c>
      <c r="D294" s="19" t="s">
        <v>408</v>
      </c>
      <c r="E294" s="18" t="s">
        <v>35</v>
      </c>
      <c r="F294" s="18">
        <v>37</v>
      </c>
      <c r="G294" s="20">
        <v>129500</v>
      </c>
      <c r="H294" s="18">
        <v>0</v>
      </c>
      <c r="I294" s="20">
        <v>32116</v>
      </c>
      <c r="J294" s="8">
        <f t="shared" si="12"/>
        <v>97384</v>
      </c>
      <c r="K294" s="10">
        <f t="shared" si="13"/>
        <v>0.752</v>
      </c>
      <c r="L294" s="17">
        <f t="shared" si="14"/>
        <v>0</v>
      </c>
      <c r="M294" t="str">
        <f>VLOOKUP(D294,'Jer-Tip-Emp'!B:E,4,0)</f>
        <v>Bebidas</v>
      </c>
      <c r="N294" t="str">
        <f>VLOOKUP(D294,'Jer-Tip-Emp'!B:F,5,0)</f>
        <v>Bebidas</v>
      </c>
      <c r="O294" t="str">
        <f>VLOOKUP(D294,'Jer-Tip-Emp'!B:G,6,0)</f>
        <v>Bebidas</v>
      </c>
    </row>
    <row r="295" spans="1:15" ht="27.5" customHeight="1" x14ac:dyDescent="0.2">
      <c r="A295">
        <v>2026</v>
      </c>
      <c r="B295" t="s">
        <v>599</v>
      </c>
      <c r="C295" t="s">
        <v>609</v>
      </c>
      <c r="D295" s="19" t="s">
        <v>219</v>
      </c>
      <c r="E295" s="18" t="s">
        <v>111</v>
      </c>
      <c r="F295" s="18">
        <v>34</v>
      </c>
      <c r="G295" s="20">
        <v>914600</v>
      </c>
      <c r="H295" s="18">
        <v>0</v>
      </c>
      <c r="I295" s="20">
        <v>461278</v>
      </c>
      <c r="J295" s="8">
        <f t="shared" si="12"/>
        <v>453322</v>
      </c>
      <c r="K295" s="10">
        <f t="shared" si="13"/>
        <v>0.49565055762081783</v>
      </c>
      <c r="L295" s="17">
        <f t="shared" si="14"/>
        <v>0</v>
      </c>
      <c r="M295" t="str">
        <f>VLOOKUP(D295,'Jer-Tip-Emp'!B:E,4,0)</f>
        <v>Platos especiales</v>
      </c>
      <c r="N295" t="str">
        <f>VLOOKUP(D295,'Jer-Tip-Emp'!B:F,5,0)</f>
        <v>Personal</v>
      </c>
      <c r="O295" t="str">
        <f>VLOOKUP(D295,'Jer-Tip-Emp'!B:G,6,0)</f>
        <v>Platos especiales</v>
      </c>
    </row>
    <row r="296" spans="1:15" ht="27.5" hidden="1" customHeight="1" x14ac:dyDescent="0.2">
      <c r="A296">
        <v>2026</v>
      </c>
      <c r="B296" t="s">
        <v>599</v>
      </c>
      <c r="C296" t="s">
        <v>609</v>
      </c>
      <c r="D296" s="19" t="s">
        <v>282</v>
      </c>
      <c r="E296" s="18" t="s">
        <v>19</v>
      </c>
      <c r="F296" s="18">
        <v>30</v>
      </c>
      <c r="G296" s="20">
        <v>174300</v>
      </c>
      <c r="H296" s="20">
        <v>-2700</v>
      </c>
      <c r="I296" s="20">
        <v>122940</v>
      </c>
      <c r="J296" s="8">
        <f t="shared" si="12"/>
        <v>51360</v>
      </c>
      <c r="K296" s="10">
        <f t="shared" si="13"/>
        <v>0.29466437177280552</v>
      </c>
      <c r="L296" s="17">
        <f t="shared" si="14"/>
        <v>1.549053356282272E-2</v>
      </c>
      <c r="M296" t="str">
        <f>VLOOKUP(D296,'Jer-Tip-Emp'!B:E,4,0)</f>
        <v>Adición</v>
      </c>
      <c r="N296" t="str">
        <f>VLOOKUP(D296,'Jer-Tip-Emp'!B:F,5,0)</f>
        <v>Adición</v>
      </c>
      <c r="O296" t="str">
        <f>VLOOKUP(D296,'Jer-Tip-Emp'!B:G,6,0)</f>
        <v>Adición</v>
      </c>
    </row>
    <row r="297" spans="1:15" ht="27.5" hidden="1" customHeight="1" x14ac:dyDescent="0.2">
      <c r="A297">
        <v>2026</v>
      </c>
      <c r="B297" t="s">
        <v>599</v>
      </c>
      <c r="C297" t="s">
        <v>609</v>
      </c>
      <c r="D297" s="19" t="s">
        <v>268</v>
      </c>
      <c r="E297" s="18" t="s">
        <v>17</v>
      </c>
      <c r="F297" s="18">
        <v>30</v>
      </c>
      <c r="G297" s="20">
        <v>157558</v>
      </c>
      <c r="H297" s="20">
        <v>-19442</v>
      </c>
      <c r="I297" s="20">
        <v>38460</v>
      </c>
      <c r="J297" s="8">
        <f t="shared" si="12"/>
        <v>119098</v>
      </c>
      <c r="K297" s="10">
        <f t="shared" si="13"/>
        <v>0.75589941481866996</v>
      </c>
      <c r="L297" s="17">
        <f t="shared" si="14"/>
        <v>0.12339582883763439</v>
      </c>
      <c r="M297" t="str">
        <f>VLOOKUP(D297,'Jer-Tip-Emp'!B:E,4,0)</f>
        <v>Adición</v>
      </c>
      <c r="N297" t="str">
        <f>VLOOKUP(D297,'Jer-Tip-Emp'!B:F,5,0)</f>
        <v>Adición</v>
      </c>
      <c r="O297" t="str">
        <f>VLOOKUP(D297,'Jer-Tip-Emp'!B:G,6,0)</f>
        <v>Adición</v>
      </c>
    </row>
    <row r="298" spans="1:15" ht="27.5" customHeight="1" x14ac:dyDescent="0.2">
      <c r="A298">
        <v>2026</v>
      </c>
      <c r="B298" t="s">
        <v>599</v>
      </c>
      <c r="C298" t="s">
        <v>609</v>
      </c>
      <c r="D298" s="19" t="s">
        <v>474</v>
      </c>
      <c r="E298" s="18" t="s">
        <v>553</v>
      </c>
      <c r="F298" s="18">
        <v>30</v>
      </c>
      <c r="G298" s="18">
        <v>0</v>
      </c>
      <c r="H298" s="18">
        <v>0</v>
      </c>
      <c r="I298" s="20">
        <v>85470</v>
      </c>
      <c r="J298" s="8">
        <f t="shared" si="12"/>
        <v>-85470</v>
      </c>
      <c r="K298" s="10">
        <f t="shared" si="13"/>
        <v>0</v>
      </c>
      <c r="L298" s="17">
        <f t="shared" si="14"/>
        <v>0</v>
      </c>
      <c r="M298" t="str">
        <f>VLOOKUP(D298,'Jer-Tip-Emp'!B:E,4,0)</f>
        <v>Arma tu plato</v>
      </c>
      <c r="N298" t="str">
        <f>VLOOKUP(D298,'Jer-Tip-Emp'!B:F,5,0)</f>
        <v>Personal</v>
      </c>
      <c r="O298" t="str">
        <f>VLOOKUP(D298,'Jer-Tip-Emp'!B:G,6,0)</f>
        <v>Caja</v>
      </c>
    </row>
    <row r="299" spans="1:15" ht="27.5" customHeight="1" x14ac:dyDescent="0.2">
      <c r="A299">
        <v>2026</v>
      </c>
      <c r="B299" t="s">
        <v>599</v>
      </c>
      <c r="C299" t="s">
        <v>609</v>
      </c>
      <c r="D299" s="19" t="s">
        <v>246</v>
      </c>
      <c r="E299" s="18" t="s">
        <v>29</v>
      </c>
      <c r="F299" s="18">
        <v>27</v>
      </c>
      <c r="G299" s="20">
        <v>213300</v>
      </c>
      <c r="H299" s="18">
        <v>0</v>
      </c>
      <c r="I299" s="18">
        <v>0</v>
      </c>
      <c r="J299" s="8">
        <f t="shared" si="12"/>
        <v>213300</v>
      </c>
      <c r="K299" s="10">
        <f t="shared" si="13"/>
        <v>1</v>
      </c>
      <c r="L299" s="17">
        <f t="shared" si="14"/>
        <v>0</v>
      </c>
      <c r="M299" t="str">
        <f>VLOOKUP(D299,'Jer-Tip-Emp'!B:E,4,0)</f>
        <v>Armalo en combo</v>
      </c>
      <c r="N299" t="str">
        <f>VLOOKUP(D299,'Jer-Tip-Emp'!B:F,5,0)</f>
        <v>Personal</v>
      </c>
      <c r="O299" t="str">
        <f>VLOOKUP(D299,'Jer-Tip-Emp'!B:G,6,0)</f>
        <v>Combo</v>
      </c>
    </row>
    <row r="300" spans="1:15" ht="27.5" hidden="1" customHeight="1" x14ac:dyDescent="0.2">
      <c r="A300">
        <v>2026</v>
      </c>
      <c r="B300" t="s">
        <v>599</v>
      </c>
      <c r="C300" t="s">
        <v>609</v>
      </c>
      <c r="D300" s="19" t="s">
        <v>262</v>
      </c>
      <c r="E300" s="18" t="s">
        <v>102</v>
      </c>
      <c r="F300" s="18">
        <v>27</v>
      </c>
      <c r="G300" s="20">
        <v>453051</v>
      </c>
      <c r="H300" s="20">
        <v>-3249</v>
      </c>
      <c r="I300" s="20">
        <v>167805</v>
      </c>
      <c r="J300" s="8">
        <f t="shared" si="12"/>
        <v>285246</v>
      </c>
      <c r="K300" s="10">
        <f t="shared" si="13"/>
        <v>0.62961123582113276</v>
      </c>
      <c r="L300" s="17">
        <f t="shared" si="14"/>
        <v>7.1713780567750646E-3</v>
      </c>
      <c r="M300" t="str">
        <f>VLOOKUP(D300,'Jer-Tip-Emp'!B:E,4,0)</f>
        <v>Entradas</v>
      </c>
      <c r="N300" t="str">
        <f>VLOOKUP(D300,'Jer-Tip-Emp'!B:F,5,0)</f>
        <v>Otro</v>
      </c>
      <c r="O300" t="str">
        <f>VLOOKUP(D300,'Jer-Tip-Emp'!B:G,6,0)</f>
        <v>Otro</v>
      </c>
    </row>
    <row r="301" spans="1:15" ht="27.5" customHeight="1" x14ac:dyDescent="0.2">
      <c r="A301">
        <v>2026</v>
      </c>
      <c r="B301" t="s">
        <v>599</v>
      </c>
      <c r="C301" t="s">
        <v>609</v>
      </c>
      <c r="D301" s="19" t="s">
        <v>303</v>
      </c>
      <c r="E301" s="18" t="s">
        <v>120</v>
      </c>
      <c r="F301" s="18">
        <v>24</v>
      </c>
      <c r="G301" s="20">
        <v>540243</v>
      </c>
      <c r="H301" s="20">
        <v>-9357</v>
      </c>
      <c r="I301" s="20">
        <v>180336</v>
      </c>
      <c r="J301" s="8">
        <f t="shared" si="12"/>
        <v>359907</v>
      </c>
      <c r="K301" s="10">
        <f t="shared" si="13"/>
        <v>0.66619465684886248</v>
      </c>
      <c r="L301" s="17">
        <f t="shared" si="14"/>
        <v>1.7319983785074496E-2</v>
      </c>
      <c r="M301" t="str">
        <f>VLOOKUP(D301,'Jer-Tip-Emp'!B:E,4,0)</f>
        <v>Platos mong</v>
      </c>
      <c r="N301" t="str">
        <f>VLOOKUP(D301,'Jer-Tip-Emp'!B:F,5,0)</f>
        <v>Personal</v>
      </c>
      <c r="O301" t="str">
        <f>VLOOKUP(D301,'Jer-Tip-Emp'!B:G,6,0)</f>
        <v>Caja</v>
      </c>
    </row>
    <row r="302" spans="1:15" ht="27.5" customHeight="1" x14ac:dyDescent="0.2">
      <c r="A302">
        <v>2026</v>
      </c>
      <c r="B302" t="s">
        <v>599</v>
      </c>
      <c r="C302" t="s">
        <v>609</v>
      </c>
      <c r="D302" s="19" t="s">
        <v>245</v>
      </c>
      <c r="E302" s="18" t="s">
        <v>167</v>
      </c>
      <c r="F302" s="18">
        <v>24</v>
      </c>
      <c r="G302" s="20">
        <v>470364</v>
      </c>
      <c r="H302" s="20">
        <v>-7236</v>
      </c>
      <c r="I302" s="18">
        <v>0</v>
      </c>
      <c r="J302" s="8">
        <f t="shared" si="12"/>
        <v>470364</v>
      </c>
      <c r="K302" s="10">
        <f t="shared" si="13"/>
        <v>1</v>
      </c>
      <c r="L302" s="17">
        <f t="shared" si="14"/>
        <v>1.5383830395183306E-2</v>
      </c>
      <c r="M302" t="str">
        <f>VLOOKUP(D302,'Jer-Tip-Emp'!B:E,4,0)</f>
        <v>Mong Express</v>
      </c>
      <c r="N302" t="str">
        <f>VLOOKUP(D302,'Jer-Tip-Emp'!B:F,5,0)</f>
        <v>Personal</v>
      </c>
      <c r="O302" t="str">
        <f>VLOOKUP(D302,'Jer-Tip-Emp'!B:G,6,0)</f>
        <v>Caja</v>
      </c>
    </row>
    <row r="303" spans="1:15" ht="27.5" hidden="1" customHeight="1" x14ac:dyDescent="0.2">
      <c r="A303">
        <v>2026</v>
      </c>
      <c r="B303" t="s">
        <v>599</v>
      </c>
      <c r="C303" t="s">
        <v>609</v>
      </c>
      <c r="D303" s="19" t="s">
        <v>403</v>
      </c>
      <c r="E303" s="18" t="s">
        <v>45</v>
      </c>
      <c r="F303" s="18">
        <v>24</v>
      </c>
      <c r="G303" s="20">
        <v>168300</v>
      </c>
      <c r="H303" s="20">
        <v>-69300</v>
      </c>
      <c r="I303" s="20">
        <v>108024</v>
      </c>
      <c r="J303" s="8">
        <f t="shared" si="12"/>
        <v>60276</v>
      </c>
      <c r="K303" s="10">
        <f t="shared" si="13"/>
        <v>0.35814616755793227</v>
      </c>
      <c r="L303" s="17">
        <f t="shared" si="14"/>
        <v>0.41176470588235292</v>
      </c>
      <c r="M303" t="str">
        <f>VLOOKUP(D303,'Jer-Tip-Emp'!B:E,4,0)</f>
        <v>Bebidas</v>
      </c>
      <c r="N303" t="str">
        <f>VLOOKUP(D303,'Jer-Tip-Emp'!B:F,5,0)</f>
        <v>Bebidas</v>
      </c>
      <c r="O303" t="str">
        <f>VLOOKUP(D303,'Jer-Tip-Emp'!B:G,6,0)</f>
        <v>Bebidas</v>
      </c>
    </row>
    <row r="304" spans="1:15" ht="27.5" customHeight="1" x14ac:dyDescent="0.2">
      <c r="A304">
        <v>2026</v>
      </c>
      <c r="B304" t="s">
        <v>599</v>
      </c>
      <c r="C304" t="s">
        <v>609</v>
      </c>
      <c r="D304" s="19" t="s">
        <v>257</v>
      </c>
      <c r="E304" s="18" t="s">
        <v>78</v>
      </c>
      <c r="F304" s="18">
        <v>23</v>
      </c>
      <c r="G304" s="20">
        <v>411700</v>
      </c>
      <c r="H304" s="18">
        <v>0</v>
      </c>
      <c r="I304" s="18">
        <v>0</v>
      </c>
      <c r="J304" s="8">
        <f t="shared" si="12"/>
        <v>411700</v>
      </c>
      <c r="K304" s="10">
        <f t="shared" si="13"/>
        <v>1</v>
      </c>
      <c r="L304" s="17">
        <f t="shared" si="14"/>
        <v>0</v>
      </c>
      <c r="M304" t="str">
        <f>VLOOKUP(D304,'Jer-Tip-Emp'!B:E,4,0)</f>
        <v>Bowl</v>
      </c>
      <c r="N304" t="str">
        <f>VLOOKUP(D304,'Jer-Tip-Emp'!B:F,5,0)</f>
        <v>Personal</v>
      </c>
      <c r="O304" t="str">
        <f>VLOOKUP(D304,'Jer-Tip-Emp'!B:G,6,0)</f>
        <v>Bowl</v>
      </c>
    </row>
    <row r="305" spans="1:15" ht="27.5" hidden="1" customHeight="1" x14ac:dyDescent="0.2">
      <c r="A305">
        <v>2026</v>
      </c>
      <c r="B305" t="s">
        <v>599</v>
      </c>
      <c r="C305" t="s">
        <v>609</v>
      </c>
      <c r="D305" s="19" t="s">
        <v>364</v>
      </c>
      <c r="E305" s="18" t="s">
        <v>51</v>
      </c>
      <c r="F305" s="18">
        <v>23</v>
      </c>
      <c r="G305" s="20">
        <v>89342</v>
      </c>
      <c r="H305" s="18">
        <v>-358</v>
      </c>
      <c r="I305" s="20">
        <v>29693</v>
      </c>
      <c r="J305" s="8">
        <f t="shared" si="12"/>
        <v>59649</v>
      </c>
      <c r="K305" s="10">
        <f t="shared" si="13"/>
        <v>0.66764791475453877</v>
      </c>
      <c r="L305" s="17">
        <f t="shared" si="14"/>
        <v>4.0070739405878531E-3</v>
      </c>
      <c r="M305" t="str">
        <f>VLOOKUP(D305,'Jer-Tip-Emp'!B:E,4,0)</f>
        <v>Bebidas</v>
      </c>
      <c r="N305" t="str">
        <f>VLOOKUP(D305,'Jer-Tip-Emp'!B:F,5,0)</f>
        <v>Bebidas</v>
      </c>
      <c r="O305" t="str">
        <f>VLOOKUP(D305,'Jer-Tip-Emp'!B:G,6,0)</f>
        <v>Bebidas</v>
      </c>
    </row>
    <row r="306" spans="1:15" ht="27.5" hidden="1" customHeight="1" x14ac:dyDescent="0.2">
      <c r="A306">
        <v>2026</v>
      </c>
      <c r="B306" t="s">
        <v>599</v>
      </c>
      <c r="C306" t="s">
        <v>609</v>
      </c>
      <c r="D306" s="19" t="s">
        <v>330</v>
      </c>
      <c r="E306" s="18" t="s">
        <v>38</v>
      </c>
      <c r="F306" s="18">
        <v>23</v>
      </c>
      <c r="G306" s="20">
        <v>112700</v>
      </c>
      <c r="H306" s="18">
        <v>0</v>
      </c>
      <c r="I306" s="20">
        <v>29624</v>
      </c>
      <c r="J306" s="8">
        <f t="shared" si="12"/>
        <v>83076</v>
      </c>
      <c r="K306" s="10">
        <f t="shared" si="13"/>
        <v>0.7371428571428571</v>
      </c>
      <c r="L306" s="17">
        <f t="shared" si="14"/>
        <v>0</v>
      </c>
      <c r="M306" t="str">
        <f>VLOOKUP(D306,'Jer-Tip-Emp'!B:E,4,0)</f>
        <v>Bebidas</v>
      </c>
      <c r="N306" t="str">
        <f>VLOOKUP(D306,'Jer-Tip-Emp'!B:F,5,0)</f>
        <v>Bebidas</v>
      </c>
      <c r="O306" t="str">
        <f>VLOOKUP(D306,'Jer-Tip-Emp'!B:G,6,0)</f>
        <v>Bebidas</v>
      </c>
    </row>
    <row r="307" spans="1:15" ht="27.5" customHeight="1" x14ac:dyDescent="0.2">
      <c r="A307">
        <v>2026</v>
      </c>
      <c r="B307" t="s">
        <v>599</v>
      </c>
      <c r="C307" t="s">
        <v>609</v>
      </c>
      <c r="D307" s="19" t="s">
        <v>224</v>
      </c>
      <c r="E307" s="18" t="s">
        <v>114</v>
      </c>
      <c r="F307" s="18">
        <v>22</v>
      </c>
      <c r="G307" s="20">
        <v>547800</v>
      </c>
      <c r="H307" s="18">
        <v>0</v>
      </c>
      <c r="I307" s="20">
        <v>279796</v>
      </c>
      <c r="J307" s="8">
        <f t="shared" si="12"/>
        <v>268004</v>
      </c>
      <c r="K307" s="10">
        <f t="shared" si="13"/>
        <v>0.48923694779116467</v>
      </c>
      <c r="L307" s="17">
        <f t="shared" si="14"/>
        <v>0</v>
      </c>
      <c r="M307" t="str">
        <f>VLOOKUP(D307,'Jer-Tip-Emp'!B:E,4,0)</f>
        <v>Platos especiales</v>
      </c>
      <c r="N307" t="str">
        <f>VLOOKUP(D307,'Jer-Tip-Emp'!B:F,5,0)</f>
        <v>Personal</v>
      </c>
      <c r="O307" t="str">
        <f>VLOOKUP(D307,'Jer-Tip-Emp'!B:G,6,0)</f>
        <v>Platos especiales</v>
      </c>
    </row>
    <row r="308" spans="1:15" ht="27.5" customHeight="1" x14ac:dyDescent="0.2">
      <c r="A308">
        <v>2026</v>
      </c>
      <c r="B308" t="s">
        <v>599</v>
      </c>
      <c r="C308" t="s">
        <v>609</v>
      </c>
      <c r="D308" s="19" t="s">
        <v>294</v>
      </c>
      <c r="E308" s="18" t="s">
        <v>108</v>
      </c>
      <c r="F308" s="18">
        <v>21</v>
      </c>
      <c r="G308" s="20">
        <v>409768</v>
      </c>
      <c r="H308" s="20">
        <v>-8132</v>
      </c>
      <c r="I308" s="20">
        <v>171843</v>
      </c>
      <c r="J308" s="8">
        <f t="shared" si="12"/>
        <v>237925</v>
      </c>
      <c r="K308" s="10">
        <f t="shared" si="13"/>
        <v>0.58063343160032022</v>
      </c>
      <c r="L308" s="17">
        <f t="shared" si="14"/>
        <v>1.9845375920032798E-2</v>
      </c>
      <c r="M308" t="str">
        <f>VLOOKUP(D308,'Jer-Tip-Emp'!B:E,4,0)</f>
        <v>Mong Express</v>
      </c>
      <c r="N308" t="str">
        <f>VLOOKUP(D308,'Jer-Tip-Emp'!B:F,5,0)</f>
        <v>Personal</v>
      </c>
      <c r="O308" t="str">
        <f>VLOOKUP(D308,'Jer-Tip-Emp'!B:G,6,0)</f>
        <v>Caja</v>
      </c>
    </row>
    <row r="309" spans="1:15" ht="27.5" customHeight="1" x14ac:dyDescent="0.2">
      <c r="A309">
        <v>2026</v>
      </c>
      <c r="B309" t="s">
        <v>599</v>
      </c>
      <c r="C309" t="s">
        <v>609</v>
      </c>
      <c r="D309" s="19" t="s">
        <v>228</v>
      </c>
      <c r="E309" s="18" t="s">
        <v>96</v>
      </c>
      <c r="F309" s="18">
        <v>20</v>
      </c>
      <c r="G309" s="20">
        <v>598000</v>
      </c>
      <c r="H309" s="18">
        <v>0</v>
      </c>
      <c r="I309" s="20">
        <v>204940</v>
      </c>
      <c r="J309" s="8">
        <f t="shared" si="12"/>
        <v>393060</v>
      </c>
      <c r="K309" s="10">
        <f t="shared" si="13"/>
        <v>0.65729096989966551</v>
      </c>
      <c r="L309" s="17">
        <f t="shared" si="14"/>
        <v>0</v>
      </c>
      <c r="M309" t="str">
        <f>VLOOKUP(D309,'Jer-Tip-Emp'!B:E,4,0)</f>
        <v>Combos personales</v>
      </c>
      <c r="N309" t="str">
        <f>VLOOKUP(D309,'Jer-Tip-Emp'!B:F,5,0)</f>
        <v>Personal</v>
      </c>
      <c r="O309" t="str">
        <f>VLOOKUP(D309,'Jer-Tip-Emp'!B:G,6,0)</f>
        <v>Combo</v>
      </c>
    </row>
    <row r="310" spans="1:15" ht="27.5" customHeight="1" x14ac:dyDescent="0.2">
      <c r="A310">
        <v>2026</v>
      </c>
      <c r="B310" t="s">
        <v>599</v>
      </c>
      <c r="C310" t="s">
        <v>609</v>
      </c>
      <c r="D310" s="19" t="s">
        <v>180</v>
      </c>
      <c r="E310" s="18" t="s">
        <v>128</v>
      </c>
      <c r="F310" s="18">
        <v>20</v>
      </c>
      <c r="G310" s="20">
        <v>418000</v>
      </c>
      <c r="H310" s="18">
        <v>0</v>
      </c>
      <c r="I310" s="20">
        <v>136760</v>
      </c>
      <c r="J310" s="8">
        <f t="shared" si="12"/>
        <v>281240</v>
      </c>
      <c r="K310" s="10">
        <f t="shared" si="13"/>
        <v>0.67282296650717699</v>
      </c>
      <c r="L310" s="17">
        <f t="shared" si="14"/>
        <v>0</v>
      </c>
      <c r="M310" t="str">
        <f>VLOOKUP(D310,'Jer-Tip-Emp'!B:E,4,0)</f>
        <v>Platos mong</v>
      </c>
      <c r="N310" t="str">
        <f>VLOOKUP(D310,'Jer-Tip-Emp'!B:F,5,0)</f>
        <v>Personal</v>
      </c>
      <c r="O310" t="str">
        <f>VLOOKUP(D310,'Jer-Tip-Emp'!B:G,6,0)</f>
        <v>Caja</v>
      </c>
    </row>
    <row r="311" spans="1:15" ht="27.5" hidden="1" customHeight="1" x14ac:dyDescent="0.2">
      <c r="A311">
        <v>2026</v>
      </c>
      <c r="B311" t="s">
        <v>599</v>
      </c>
      <c r="C311" t="s">
        <v>609</v>
      </c>
      <c r="D311" s="19" t="s">
        <v>382</v>
      </c>
      <c r="E311" s="18" t="s">
        <v>42</v>
      </c>
      <c r="F311" s="18">
        <v>18</v>
      </c>
      <c r="G311" s="20">
        <v>88200</v>
      </c>
      <c r="H311" s="18">
        <v>0</v>
      </c>
      <c r="I311" s="20">
        <v>24714</v>
      </c>
      <c r="J311" s="8">
        <f t="shared" si="12"/>
        <v>63486</v>
      </c>
      <c r="K311" s="10">
        <f t="shared" si="13"/>
        <v>0.71979591836734691</v>
      </c>
      <c r="L311" s="17">
        <f t="shared" si="14"/>
        <v>0</v>
      </c>
      <c r="M311" t="str">
        <f>VLOOKUP(D311,'Jer-Tip-Emp'!B:E,4,0)</f>
        <v>Bebidas</v>
      </c>
      <c r="N311" t="str">
        <f>VLOOKUP(D311,'Jer-Tip-Emp'!B:F,5,0)</f>
        <v>Bebidas</v>
      </c>
      <c r="O311" t="str">
        <f>VLOOKUP(D311,'Jer-Tip-Emp'!B:G,6,0)</f>
        <v>Bebidas</v>
      </c>
    </row>
    <row r="312" spans="1:15" ht="27.5" hidden="1" customHeight="1" x14ac:dyDescent="0.2">
      <c r="A312">
        <v>2026</v>
      </c>
      <c r="B312" t="s">
        <v>599</v>
      </c>
      <c r="C312" t="s">
        <v>609</v>
      </c>
      <c r="D312" s="19" t="s">
        <v>336</v>
      </c>
      <c r="E312" s="18" t="s">
        <v>60</v>
      </c>
      <c r="F312" s="18">
        <v>18</v>
      </c>
      <c r="G312" s="20">
        <v>88200</v>
      </c>
      <c r="H312" s="18">
        <v>0</v>
      </c>
      <c r="I312" s="20">
        <v>28080</v>
      </c>
      <c r="J312" s="8">
        <f t="shared" si="12"/>
        <v>60120</v>
      </c>
      <c r="K312" s="10">
        <f t="shared" si="13"/>
        <v>0.68163265306122445</v>
      </c>
      <c r="L312" s="17">
        <f t="shared" si="14"/>
        <v>0</v>
      </c>
      <c r="M312" t="str">
        <f>VLOOKUP(D312,'Jer-Tip-Emp'!B:E,4,0)</f>
        <v>Bebidas</v>
      </c>
      <c r="N312" t="str">
        <f>VLOOKUP(D312,'Jer-Tip-Emp'!B:F,5,0)</f>
        <v>Bebidas</v>
      </c>
      <c r="O312" t="str">
        <f>VLOOKUP(D312,'Jer-Tip-Emp'!B:G,6,0)</f>
        <v>Bebidas</v>
      </c>
    </row>
    <row r="313" spans="1:15" ht="27.5" customHeight="1" x14ac:dyDescent="0.2">
      <c r="A313">
        <v>2026</v>
      </c>
      <c r="B313" t="s">
        <v>599</v>
      </c>
      <c r="C313" t="s">
        <v>609</v>
      </c>
      <c r="D313" s="19" t="s">
        <v>244</v>
      </c>
      <c r="E313" s="18" t="s">
        <v>113</v>
      </c>
      <c r="F313" s="18">
        <v>17</v>
      </c>
      <c r="G313" s="20">
        <v>491300</v>
      </c>
      <c r="H313" s="18">
        <v>0</v>
      </c>
      <c r="I313" s="20">
        <v>129285</v>
      </c>
      <c r="J313" s="8">
        <f t="shared" si="12"/>
        <v>362015</v>
      </c>
      <c r="K313" s="10">
        <f t="shared" si="13"/>
        <v>0.73685121107266438</v>
      </c>
      <c r="L313" s="17">
        <f t="shared" si="14"/>
        <v>0</v>
      </c>
      <c r="M313" t="str">
        <f>VLOOKUP(D313,'Jer-Tip-Emp'!B:E,4,0)</f>
        <v>Platos especiales</v>
      </c>
      <c r="N313" t="str">
        <f>VLOOKUP(D313,'Jer-Tip-Emp'!B:F,5,0)</f>
        <v>Personal</v>
      </c>
      <c r="O313" t="str">
        <f>VLOOKUP(D313,'Jer-Tip-Emp'!B:G,6,0)</f>
        <v>Platos especiales</v>
      </c>
    </row>
    <row r="314" spans="1:15" ht="27.5" customHeight="1" x14ac:dyDescent="0.2">
      <c r="A314">
        <v>2026</v>
      </c>
      <c r="B314" t="s">
        <v>599</v>
      </c>
      <c r="C314" t="s">
        <v>609</v>
      </c>
      <c r="D314" s="19" t="s">
        <v>235</v>
      </c>
      <c r="E314" s="18" t="s">
        <v>147</v>
      </c>
      <c r="F314" s="18">
        <v>16</v>
      </c>
      <c r="G314" s="20">
        <v>942400</v>
      </c>
      <c r="H314" s="18">
        <v>0</v>
      </c>
      <c r="I314" s="20">
        <v>301088</v>
      </c>
      <c r="J314" s="8">
        <f t="shared" si="12"/>
        <v>641312</v>
      </c>
      <c r="K314" s="10">
        <f t="shared" si="13"/>
        <v>0.68050933786078094</v>
      </c>
      <c r="L314" s="17">
        <f t="shared" si="14"/>
        <v>0</v>
      </c>
      <c r="M314" t="str">
        <f>VLOOKUP(D314,'Jer-Tip-Emp'!B:E,4,0)</f>
        <v>Platos mong</v>
      </c>
      <c r="N314" t="str">
        <f>VLOOKUP(D314,'Jer-Tip-Emp'!B:F,5,0)</f>
        <v>No Personal</v>
      </c>
      <c r="O314" t="str">
        <f>VLOOKUP(D314,'Jer-Tip-Emp'!B:G,6,0)</f>
        <v>Caja</v>
      </c>
    </row>
    <row r="315" spans="1:15" ht="27.5" hidden="1" customHeight="1" x14ac:dyDescent="0.2">
      <c r="A315">
        <v>2026</v>
      </c>
      <c r="B315" t="s">
        <v>599</v>
      </c>
      <c r="C315" t="s">
        <v>609</v>
      </c>
      <c r="D315" s="19" t="s">
        <v>335</v>
      </c>
      <c r="E315" s="18" t="s">
        <v>40</v>
      </c>
      <c r="F315" s="18">
        <v>16</v>
      </c>
      <c r="G315" s="20">
        <v>78400</v>
      </c>
      <c r="H315" s="18">
        <v>0</v>
      </c>
      <c r="I315" s="20">
        <v>21968</v>
      </c>
      <c r="J315" s="8">
        <f t="shared" si="12"/>
        <v>56432</v>
      </c>
      <c r="K315" s="10">
        <f t="shared" si="13"/>
        <v>0.71979591836734691</v>
      </c>
      <c r="L315" s="17">
        <f t="shared" si="14"/>
        <v>0</v>
      </c>
      <c r="M315" t="str">
        <f>VLOOKUP(D315,'Jer-Tip-Emp'!B:E,4,0)</f>
        <v>Bebidas</v>
      </c>
      <c r="N315" t="str">
        <f>VLOOKUP(D315,'Jer-Tip-Emp'!B:F,5,0)</f>
        <v>Bebidas</v>
      </c>
      <c r="O315" t="str">
        <f>VLOOKUP(D315,'Jer-Tip-Emp'!B:G,6,0)</f>
        <v>Bebidas</v>
      </c>
    </row>
    <row r="316" spans="1:15" ht="27.5" customHeight="1" x14ac:dyDescent="0.2">
      <c r="A316">
        <v>2026</v>
      </c>
      <c r="B316" t="s">
        <v>599</v>
      </c>
      <c r="C316" t="s">
        <v>609</v>
      </c>
      <c r="D316" s="19" t="s">
        <v>252</v>
      </c>
      <c r="E316" s="18" t="s">
        <v>100</v>
      </c>
      <c r="F316" s="18">
        <v>16</v>
      </c>
      <c r="G316" s="20">
        <v>1070400</v>
      </c>
      <c r="H316" s="18">
        <v>0</v>
      </c>
      <c r="I316" s="20">
        <v>517616</v>
      </c>
      <c r="J316" s="8">
        <f t="shared" si="12"/>
        <v>552784</v>
      </c>
      <c r="K316" s="10">
        <f t="shared" si="13"/>
        <v>0.51642750373692081</v>
      </c>
      <c r="L316" s="17">
        <f t="shared" si="14"/>
        <v>0</v>
      </c>
      <c r="M316" t="str">
        <f>VLOOKUP(D316,'Jer-Tip-Emp'!B:E,4,0)</f>
        <v>Platos mong</v>
      </c>
      <c r="N316" t="str">
        <f>VLOOKUP(D316,'Jer-Tip-Emp'!B:F,5,0)</f>
        <v>No Personal</v>
      </c>
      <c r="O316" t="str">
        <f>VLOOKUP(D316,'Jer-Tip-Emp'!B:G,6,0)</f>
        <v>Caja</v>
      </c>
    </row>
    <row r="317" spans="1:15" ht="27.5" hidden="1" customHeight="1" x14ac:dyDescent="0.2">
      <c r="A317">
        <v>2026</v>
      </c>
      <c r="B317" t="s">
        <v>599</v>
      </c>
      <c r="C317" t="s">
        <v>609</v>
      </c>
      <c r="D317" s="19" t="s">
        <v>337</v>
      </c>
      <c r="E317" s="18" t="s">
        <v>58</v>
      </c>
      <c r="F317" s="18">
        <v>16</v>
      </c>
      <c r="G317" s="20">
        <v>78400</v>
      </c>
      <c r="H317" s="18">
        <v>0</v>
      </c>
      <c r="I317" s="20">
        <v>24960</v>
      </c>
      <c r="J317" s="8">
        <f t="shared" si="12"/>
        <v>53440</v>
      </c>
      <c r="K317" s="10">
        <f t="shared" si="13"/>
        <v>0.68163265306122445</v>
      </c>
      <c r="L317" s="17">
        <f t="shared" si="14"/>
        <v>0</v>
      </c>
      <c r="M317" t="str">
        <f>VLOOKUP(D317,'Jer-Tip-Emp'!B:E,4,0)</f>
        <v>Bebidas</v>
      </c>
      <c r="N317" t="str">
        <f>VLOOKUP(D317,'Jer-Tip-Emp'!B:F,5,0)</f>
        <v>Bebidas</v>
      </c>
      <c r="O317" t="str">
        <f>VLOOKUP(D317,'Jer-Tip-Emp'!B:G,6,0)</f>
        <v>Bebidas</v>
      </c>
    </row>
    <row r="318" spans="1:15" ht="27.5" customHeight="1" x14ac:dyDescent="0.2">
      <c r="A318">
        <v>2026</v>
      </c>
      <c r="B318" t="s">
        <v>599</v>
      </c>
      <c r="C318" t="s">
        <v>609</v>
      </c>
      <c r="D318" s="19" t="s">
        <v>283</v>
      </c>
      <c r="E318" s="18" t="s">
        <v>80</v>
      </c>
      <c r="F318" s="18">
        <v>15</v>
      </c>
      <c r="G318" s="20">
        <v>284700</v>
      </c>
      <c r="H318" s="20">
        <v>-43800</v>
      </c>
      <c r="I318" s="18">
        <v>0</v>
      </c>
      <c r="J318" s="8">
        <f t="shared" si="12"/>
        <v>284700</v>
      </c>
      <c r="K318" s="10">
        <f t="shared" si="13"/>
        <v>1</v>
      </c>
      <c r="L318" s="17">
        <f t="shared" si="14"/>
        <v>0.15384615384615385</v>
      </c>
      <c r="M318" t="str">
        <f>VLOOKUP(D318,'Jer-Tip-Emp'!B:E,4,0)</f>
        <v>Bowl</v>
      </c>
      <c r="N318" t="str">
        <f>VLOOKUP(D318,'Jer-Tip-Emp'!B:F,5,0)</f>
        <v>Personal</v>
      </c>
      <c r="O318" t="str">
        <f>VLOOKUP(D318,'Jer-Tip-Emp'!B:G,6,0)</f>
        <v>Bowl</v>
      </c>
    </row>
    <row r="319" spans="1:15" ht="27.5" hidden="1" customHeight="1" x14ac:dyDescent="0.2">
      <c r="A319">
        <v>2026</v>
      </c>
      <c r="B319" t="s">
        <v>599</v>
      </c>
      <c r="C319" t="s">
        <v>609</v>
      </c>
      <c r="D319" s="19" t="s">
        <v>218</v>
      </c>
      <c r="E319" s="18" t="s">
        <v>33</v>
      </c>
      <c r="F319" s="18">
        <v>14</v>
      </c>
      <c r="G319" s="20">
        <v>110600</v>
      </c>
      <c r="H319" s="18">
        <v>0</v>
      </c>
      <c r="I319" s="18">
        <v>0</v>
      </c>
      <c r="J319" s="8">
        <f t="shared" si="12"/>
        <v>110600</v>
      </c>
      <c r="K319" s="10">
        <f t="shared" si="13"/>
        <v>1</v>
      </c>
      <c r="L319" s="17">
        <f t="shared" si="14"/>
        <v>0</v>
      </c>
      <c r="M319" t="str">
        <f>VLOOKUP(D319,'Jer-Tip-Emp'!B:E,4,0)</f>
        <v>Adición</v>
      </c>
      <c r="N319" t="str">
        <f>VLOOKUP(D319,'Jer-Tip-Emp'!B:F,5,0)</f>
        <v>Adición</v>
      </c>
      <c r="O319" t="str">
        <f>VLOOKUP(D319,'Jer-Tip-Emp'!B:G,6,0)</f>
        <v>Adición</v>
      </c>
    </row>
    <row r="320" spans="1:15" ht="27.5" customHeight="1" x14ac:dyDescent="0.2">
      <c r="A320">
        <v>2026</v>
      </c>
      <c r="B320" t="s">
        <v>599</v>
      </c>
      <c r="C320" t="s">
        <v>609</v>
      </c>
      <c r="D320" s="19" t="s">
        <v>214</v>
      </c>
      <c r="E320" s="18" t="s">
        <v>81</v>
      </c>
      <c r="F320" s="18">
        <v>13</v>
      </c>
      <c r="G320" s="20">
        <v>778700</v>
      </c>
      <c r="H320" s="18">
        <v>0</v>
      </c>
      <c r="I320" s="20">
        <v>307294</v>
      </c>
      <c r="J320" s="8">
        <f t="shared" si="12"/>
        <v>471406</v>
      </c>
      <c r="K320" s="10">
        <f t="shared" si="13"/>
        <v>0.60537562604340567</v>
      </c>
      <c r="L320" s="17">
        <f t="shared" si="14"/>
        <v>0</v>
      </c>
      <c r="M320" t="str">
        <f>VLOOKUP(D320,'Jer-Tip-Emp'!B:E,4,0)</f>
        <v>Combos para compartir</v>
      </c>
      <c r="N320" t="str">
        <f>VLOOKUP(D320,'Jer-Tip-Emp'!B:F,5,0)</f>
        <v>No Personal</v>
      </c>
      <c r="O320" t="str">
        <f>VLOOKUP(D320,'Jer-Tip-Emp'!B:G,6,0)</f>
        <v>Combo</v>
      </c>
    </row>
    <row r="321" spans="1:15" ht="27.5" hidden="1" customHeight="1" x14ac:dyDescent="0.2">
      <c r="A321">
        <v>2026</v>
      </c>
      <c r="B321" t="s">
        <v>599</v>
      </c>
      <c r="C321" t="s">
        <v>609</v>
      </c>
      <c r="D321" s="19" t="s">
        <v>321</v>
      </c>
      <c r="E321" s="18" t="s">
        <v>72</v>
      </c>
      <c r="F321" s="18">
        <v>13</v>
      </c>
      <c r="G321" s="20">
        <v>63700</v>
      </c>
      <c r="H321" s="18">
        <v>0</v>
      </c>
      <c r="I321" s="20">
        <v>17290</v>
      </c>
      <c r="J321" s="8">
        <f t="shared" si="12"/>
        <v>46410</v>
      </c>
      <c r="K321" s="10">
        <f t="shared" si="13"/>
        <v>0.72857142857142854</v>
      </c>
      <c r="L321" s="17">
        <f t="shared" si="14"/>
        <v>0</v>
      </c>
      <c r="M321" t="str">
        <f>VLOOKUP(D321,'Jer-Tip-Emp'!B:E,4,0)</f>
        <v>Bebidas</v>
      </c>
      <c r="N321" t="str">
        <f>VLOOKUP(D321,'Jer-Tip-Emp'!B:F,5,0)</f>
        <v>Bebidas</v>
      </c>
      <c r="O321" t="str">
        <f>VLOOKUP(D321,'Jer-Tip-Emp'!B:G,6,0)</f>
        <v>Bebidas</v>
      </c>
    </row>
    <row r="322" spans="1:15" ht="27.5" customHeight="1" x14ac:dyDescent="0.2">
      <c r="A322">
        <v>2026</v>
      </c>
      <c r="B322" t="s">
        <v>599</v>
      </c>
      <c r="C322" t="s">
        <v>609</v>
      </c>
      <c r="D322" s="19" t="s">
        <v>286</v>
      </c>
      <c r="E322" s="18" t="s">
        <v>144</v>
      </c>
      <c r="F322" s="18">
        <v>13</v>
      </c>
      <c r="G322" s="20">
        <v>999700</v>
      </c>
      <c r="H322" s="18">
        <v>0</v>
      </c>
      <c r="I322" s="20">
        <v>450515</v>
      </c>
      <c r="J322" s="8">
        <f t="shared" ref="J322:J385" si="15">G322-I322</f>
        <v>549185</v>
      </c>
      <c r="K322" s="10">
        <f t="shared" ref="K322:K385" si="16">IFERROR(J322/G322,0)</f>
        <v>0.54934980494148244</v>
      </c>
      <c r="L322" s="17">
        <f t="shared" ref="L322:L385" si="17">IFERROR((H322/G322)*-1,0)</f>
        <v>0</v>
      </c>
      <c r="M322" t="str">
        <f>VLOOKUP(D322,'Jer-Tip-Emp'!B:E,4,0)</f>
        <v>Platos mong</v>
      </c>
      <c r="N322" t="str">
        <f>VLOOKUP(D322,'Jer-Tip-Emp'!B:F,5,0)</f>
        <v>No Personal</v>
      </c>
      <c r="O322" t="str">
        <f>VLOOKUP(D322,'Jer-Tip-Emp'!B:G,6,0)</f>
        <v>Caja</v>
      </c>
    </row>
    <row r="323" spans="1:15" ht="27.5" customHeight="1" x14ac:dyDescent="0.2">
      <c r="A323">
        <v>2026</v>
      </c>
      <c r="B323" t="s">
        <v>599</v>
      </c>
      <c r="C323" t="s">
        <v>609</v>
      </c>
      <c r="D323" s="19" t="s">
        <v>278</v>
      </c>
      <c r="E323" s="18" t="s">
        <v>84</v>
      </c>
      <c r="F323" s="18">
        <v>12</v>
      </c>
      <c r="G323" s="20">
        <v>250800</v>
      </c>
      <c r="H323" s="18">
        <v>0</v>
      </c>
      <c r="I323" s="20">
        <v>95676</v>
      </c>
      <c r="J323" s="8">
        <f t="shared" si="15"/>
        <v>155124</v>
      </c>
      <c r="K323" s="10">
        <f t="shared" si="16"/>
        <v>0.61851674641148324</v>
      </c>
      <c r="L323" s="17">
        <f t="shared" si="17"/>
        <v>0</v>
      </c>
      <c r="M323" t="str">
        <f>VLOOKUP(D323,'Jer-Tip-Emp'!B:E,4,0)</f>
        <v>Combos para compartir</v>
      </c>
      <c r="N323" t="str">
        <f>VLOOKUP(D323,'Jer-Tip-Emp'!B:F,5,0)</f>
        <v>No Personal</v>
      </c>
      <c r="O323" t="str">
        <f>VLOOKUP(D323,'Jer-Tip-Emp'!B:G,6,0)</f>
        <v>Combo</v>
      </c>
    </row>
    <row r="324" spans="1:15" ht="27.5" hidden="1" customHeight="1" x14ac:dyDescent="0.2">
      <c r="A324">
        <v>2026</v>
      </c>
      <c r="B324" t="s">
        <v>599</v>
      </c>
      <c r="C324" t="s">
        <v>609</v>
      </c>
      <c r="D324" s="19" t="s">
        <v>193</v>
      </c>
      <c r="E324" s="18" t="s">
        <v>18</v>
      </c>
      <c r="F324" s="18">
        <v>12</v>
      </c>
      <c r="G324" s="20">
        <v>82800</v>
      </c>
      <c r="H324" s="18">
        <v>0</v>
      </c>
      <c r="I324" s="20">
        <v>37296</v>
      </c>
      <c r="J324" s="8">
        <f t="shared" si="15"/>
        <v>45504</v>
      </c>
      <c r="K324" s="10">
        <f t="shared" si="16"/>
        <v>0.54956521739130437</v>
      </c>
      <c r="L324" s="17">
        <f t="shared" si="17"/>
        <v>0</v>
      </c>
      <c r="M324" t="str">
        <f>VLOOKUP(D324,'Jer-Tip-Emp'!B:E,4,0)</f>
        <v>Adición</v>
      </c>
      <c r="N324" t="str">
        <f>VLOOKUP(D324,'Jer-Tip-Emp'!B:F,5,0)</f>
        <v>Adición</v>
      </c>
      <c r="O324" t="str">
        <f>VLOOKUP(D324,'Jer-Tip-Emp'!B:G,6,0)</f>
        <v>Adición</v>
      </c>
    </row>
    <row r="325" spans="1:15" ht="27.5" customHeight="1" x14ac:dyDescent="0.2">
      <c r="A325">
        <v>2026</v>
      </c>
      <c r="B325" t="s">
        <v>599</v>
      </c>
      <c r="C325" t="s">
        <v>609</v>
      </c>
      <c r="D325" s="19" t="s">
        <v>185</v>
      </c>
      <c r="E325" s="18" t="s">
        <v>137</v>
      </c>
      <c r="F325" s="18">
        <v>12</v>
      </c>
      <c r="G325" s="20">
        <v>562800</v>
      </c>
      <c r="H325" s="18">
        <v>0</v>
      </c>
      <c r="I325" s="20">
        <v>240636</v>
      </c>
      <c r="J325" s="8">
        <f t="shared" si="15"/>
        <v>322164</v>
      </c>
      <c r="K325" s="10">
        <f t="shared" si="16"/>
        <v>0.57243070362473347</v>
      </c>
      <c r="L325" s="17">
        <f t="shared" si="17"/>
        <v>0</v>
      </c>
      <c r="M325" t="str">
        <f>VLOOKUP(D325,'Jer-Tip-Emp'!B:E,4,0)</f>
        <v>Platos mong</v>
      </c>
      <c r="N325" t="str">
        <f>VLOOKUP(D325,'Jer-Tip-Emp'!B:F,5,0)</f>
        <v>No Personal</v>
      </c>
      <c r="O325" t="str">
        <f>VLOOKUP(D325,'Jer-Tip-Emp'!B:G,6,0)</f>
        <v>Platos Especiales</v>
      </c>
    </row>
    <row r="326" spans="1:15" ht="27.5" customHeight="1" x14ac:dyDescent="0.2">
      <c r="A326">
        <v>2026</v>
      </c>
      <c r="B326" t="s">
        <v>599</v>
      </c>
      <c r="C326" t="s">
        <v>609</v>
      </c>
      <c r="D326" s="19" t="s">
        <v>295</v>
      </c>
      <c r="E326" s="18" t="s">
        <v>110</v>
      </c>
      <c r="F326" s="18">
        <v>12</v>
      </c>
      <c r="G326" s="20">
        <v>238800</v>
      </c>
      <c r="H326" s="18">
        <v>0</v>
      </c>
      <c r="I326" s="20">
        <v>81216</v>
      </c>
      <c r="J326" s="8">
        <f t="shared" si="15"/>
        <v>157584</v>
      </c>
      <c r="K326" s="10">
        <f t="shared" si="16"/>
        <v>0.65989949748743715</v>
      </c>
      <c r="L326" s="17">
        <f t="shared" si="17"/>
        <v>0</v>
      </c>
      <c r="M326" t="str">
        <f>VLOOKUP(D326,'Jer-Tip-Emp'!B:E,4,0)</f>
        <v>Platos mong</v>
      </c>
      <c r="N326" t="str">
        <f>VLOOKUP(D326,'Jer-Tip-Emp'!B:F,5,0)</f>
        <v>Personal</v>
      </c>
      <c r="O326" t="str">
        <f>VLOOKUP(D326,'Jer-Tip-Emp'!B:G,6,0)</f>
        <v>Caja</v>
      </c>
    </row>
    <row r="327" spans="1:15" ht="27.5" customHeight="1" x14ac:dyDescent="0.2">
      <c r="A327">
        <v>2026</v>
      </c>
      <c r="B327" t="s">
        <v>599</v>
      </c>
      <c r="C327" t="s">
        <v>609</v>
      </c>
      <c r="D327" s="19" t="s">
        <v>179</v>
      </c>
      <c r="E327" s="18" t="s">
        <v>76</v>
      </c>
      <c r="F327" s="18">
        <v>11</v>
      </c>
      <c r="G327" s="20">
        <v>207900</v>
      </c>
      <c r="H327" s="18">
        <v>0</v>
      </c>
      <c r="I327" s="18">
        <v>0</v>
      </c>
      <c r="J327" s="8">
        <f t="shared" si="15"/>
        <v>207900</v>
      </c>
      <c r="K327" s="10">
        <f t="shared" si="16"/>
        <v>1</v>
      </c>
      <c r="L327" s="17">
        <f t="shared" si="17"/>
        <v>0</v>
      </c>
      <c r="M327" t="str">
        <f>VLOOKUP(D327,'Jer-Tip-Emp'!B:E,4,0)</f>
        <v>Bowl</v>
      </c>
      <c r="N327" t="str">
        <f>VLOOKUP(D327,'Jer-Tip-Emp'!B:F,5,0)</f>
        <v>Personal</v>
      </c>
      <c r="O327" t="str">
        <f>VLOOKUP(D327,'Jer-Tip-Emp'!B:G,6,0)</f>
        <v>Bowl</v>
      </c>
    </row>
    <row r="328" spans="1:15" ht="27.5" customHeight="1" x14ac:dyDescent="0.2">
      <c r="A328">
        <v>2026</v>
      </c>
      <c r="B328" t="s">
        <v>599</v>
      </c>
      <c r="C328" t="s">
        <v>609</v>
      </c>
      <c r="D328" s="19" t="s">
        <v>182</v>
      </c>
      <c r="E328" s="18" t="s">
        <v>118</v>
      </c>
      <c r="F328" s="18">
        <v>11</v>
      </c>
      <c r="G328" s="20">
        <v>284900</v>
      </c>
      <c r="H328" s="18">
        <v>0</v>
      </c>
      <c r="I328" s="20">
        <v>104258</v>
      </c>
      <c r="J328" s="8">
        <f t="shared" si="15"/>
        <v>180642</v>
      </c>
      <c r="K328" s="10">
        <f t="shared" si="16"/>
        <v>0.63405405405405402</v>
      </c>
      <c r="L328" s="17">
        <f t="shared" si="17"/>
        <v>0</v>
      </c>
      <c r="M328" t="str">
        <f>VLOOKUP(D328,'Jer-Tip-Emp'!B:E,4,0)</f>
        <v>Platos mong</v>
      </c>
      <c r="N328" t="str">
        <f>VLOOKUP(D328,'Jer-Tip-Emp'!B:F,5,0)</f>
        <v>Personal</v>
      </c>
      <c r="O328" t="str">
        <f>VLOOKUP(D328,'Jer-Tip-Emp'!B:G,6,0)</f>
        <v>Caja</v>
      </c>
    </row>
    <row r="329" spans="1:15" ht="27.5" customHeight="1" x14ac:dyDescent="0.2">
      <c r="A329">
        <v>2026</v>
      </c>
      <c r="B329" t="s">
        <v>599</v>
      </c>
      <c r="C329" t="s">
        <v>609</v>
      </c>
      <c r="D329" s="19" t="s">
        <v>301</v>
      </c>
      <c r="E329" s="18" t="s">
        <v>302</v>
      </c>
      <c r="F329" s="18">
        <v>11</v>
      </c>
      <c r="G329" s="20">
        <v>229000</v>
      </c>
      <c r="H329" s="20">
        <v>-22900</v>
      </c>
      <c r="I329" s="18">
        <v>0</v>
      </c>
      <c r="J329" s="8">
        <f t="shared" si="15"/>
        <v>229000</v>
      </c>
      <c r="K329" s="10">
        <f t="shared" si="16"/>
        <v>1</v>
      </c>
      <c r="L329" s="17">
        <f t="shared" si="17"/>
        <v>0.1</v>
      </c>
      <c r="M329" t="str">
        <f>VLOOKUP(D329,'Jer-Tip-Emp'!B:E,4,0)</f>
        <v>Bowl</v>
      </c>
      <c r="N329" t="str">
        <f>VLOOKUP(D329,'Jer-Tip-Emp'!B:F,5,0)</f>
        <v>Personal</v>
      </c>
      <c r="O329" t="str">
        <f>VLOOKUP(D329,'Jer-Tip-Emp'!B:G,6,0)</f>
        <v>Bowl</v>
      </c>
    </row>
    <row r="330" spans="1:15" ht="27.5" hidden="1" customHeight="1" x14ac:dyDescent="0.2">
      <c r="A330">
        <v>2026</v>
      </c>
      <c r="B330" t="s">
        <v>599</v>
      </c>
      <c r="C330" t="s">
        <v>609</v>
      </c>
      <c r="D330" s="19" t="s">
        <v>253</v>
      </c>
      <c r="E330" s="18" t="s">
        <v>105</v>
      </c>
      <c r="F330" s="18">
        <v>11</v>
      </c>
      <c r="G330" s="20">
        <v>50000</v>
      </c>
      <c r="H330" s="20">
        <v>-5000</v>
      </c>
      <c r="I330" s="20">
        <v>17259</v>
      </c>
      <c r="J330" s="8">
        <f t="shared" si="15"/>
        <v>32741</v>
      </c>
      <c r="K330" s="10">
        <f t="shared" si="16"/>
        <v>0.65481999999999996</v>
      </c>
      <c r="L330" s="17">
        <f t="shared" si="17"/>
        <v>0.1</v>
      </c>
      <c r="M330" t="str">
        <f>VLOOKUP(D330,'Jer-Tip-Emp'!B:E,4,0)</f>
        <v>Entradas</v>
      </c>
      <c r="N330" t="str">
        <f>VLOOKUP(D330,'Jer-Tip-Emp'!B:F,5,0)</f>
        <v>Otro</v>
      </c>
      <c r="O330" t="str">
        <f>VLOOKUP(D330,'Jer-Tip-Emp'!B:G,6,0)</f>
        <v>Otro</v>
      </c>
    </row>
    <row r="331" spans="1:15" ht="27.5" hidden="1" customHeight="1" x14ac:dyDescent="0.2">
      <c r="A331">
        <v>2026</v>
      </c>
      <c r="B331" t="s">
        <v>599</v>
      </c>
      <c r="C331" t="s">
        <v>609</v>
      </c>
      <c r="D331" s="19" t="s">
        <v>189</v>
      </c>
      <c r="E331" s="18" t="s">
        <v>21</v>
      </c>
      <c r="F331" s="18">
        <v>11</v>
      </c>
      <c r="G331" s="20">
        <v>75900</v>
      </c>
      <c r="H331" s="18">
        <v>0</v>
      </c>
      <c r="I331" s="20">
        <v>27104</v>
      </c>
      <c r="J331" s="8">
        <f t="shared" si="15"/>
        <v>48796</v>
      </c>
      <c r="K331" s="10">
        <f t="shared" si="16"/>
        <v>0.64289855072463764</v>
      </c>
      <c r="L331" s="17">
        <f t="shared" si="17"/>
        <v>0</v>
      </c>
      <c r="M331" t="str">
        <f>VLOOKUP(D331,'Jer-Tip-Emp'!B:E,4,0)</f>
        <v>Adición</v>
      </c>
      <c r="N331" t="str">
        <f>VLOOKUP(D331,'Jer-Tip-Emp'!B:F,5,0)</f>
        <v>Adición</v>
      </c>
      <c r="O331" t="str">
        <f>VLOOKUP(D331,'Jer-Tip-Emp'!B:G,6,0)</f>
        <v>Adición</v>
      </c>
    </row>
    <row r="332" spans="1:15" ht="27.5" customHeight="1" x14ac:dyDescent="0.2">
      <c r="A332">
        <v>2026</v>
      </c>
      <c r="B332" t="s">
        <v>599</v>
      </c>
      <c r="C332" t="s">
        <v>609</v>
      </c>
      <c r="D332" s="19" t="s">
        <v>297</v>
      </c>
      <c r="E332" s="18" t="s">
        <v>131</v>
      </c>
      <c r="F332" s="18">
        <v>11</v>
      </c>
      <c r="G332" s="20">
        <v>207900</v>
      </c>
      <c r="H332" s="18">
        <v>0</v>
      </c>
      <c r="I332" s="20">
        <v>60071</v>
      </c>
      <c r="J332" s="8">
        <f t="shared" si="15"/>
        <v>147829</v>
      </c>
      <c r="K332" s="10">
        <f t="shared" si="16"/>
        <v>0.71105820105820106</v>
      </c>
      <c r="L332" s="17">
        <f t="shared" si="17"/>
        <v>0</v>
      </c>
      <c r="M332" t="str">
        <f>VLOOKUP(D332,'Jer-Tip-Emp'!B:E,4,0)</f>
        <v>Platos mong</v>
      </c>
      <c r="N332" t="str">
        <f>VLOOKUP(D332,'Jer-Tip-Emp'!B:F,5,0)</f>
        <v>Personal</v>
      </c>
      <c r="O332" t="str">
        <f>VLOOKUP(D332,'Jer-Tip-Emp'!B:G,6,0)</f>
        <v>Caja</v>
      </c>
    </row>
    <row r="333" spans="1:15" ht="27.5" hidden="1" customHeight="1" x14ac:dyDescent="0.2">
      <c r="A333">
        <v>2026</v>
      </c>
      <c r="B333" t="s">
        <v>599</v>
      </c>
      <c r="C333" t="s">
        <v>609</v>
      </c>
      <c r="D333" s="19" t="s">
        <v>183</v>
      </c>
      <c r="E333" s="18" t="s">
        <v>104</v>
      </c>
      <c r="F333" s="18">
        <v>11</v>
      </c>
      <c r="G333" s="20">
        <v>123449</v>
      </c>
      <c r="H333" s="20">
        <v>-51451</v>
      </c>
      <c r="I333" s="20">
        <v>110308</v>
      </c>
      <c r="J333" s="8">
        <f t="shared" si="15"/>
        <v>13141</v>
      </c>
      <c r="K333" s="10">
        <f t="shared" si="16"/>
        <v>0.10644881692034767</v>
      </c>
      <c r="L333" s="17">
        <f t="shared" si="17"/>
        <v>0.41677939878006304</v>
      </c>
      <c r="M333" t="str">
        <f>VLOOKUP(D333,'Jer-Tip-Emp'!B:E,4,0)</f>
        <v>Entradas</v>
      </c>
      <c r="N333" t="str">
        <f>VLOOKUP(D333,'Jer-Tip-Emp'!B:F,5,0)</f>
        <v>Otro</v>
      </c>
      <c r="O333" t="str">
        <f>VLOOKUP(D333,'Jer-Tip-Emp'!B:G,6,0)</f>
        <v>Otro</v>
      </c>
    </row>
    <row r="334" spans="1:15" ht="27.5" customHeight="1" x14ac:dyDescent="0.2">
      <c r="A334">
        <v>2026</v>
      </c>
      <c r="B334" t="s">
        <v>599</v>
      </c>
      <c r="C334" t="s">
        <v>609</v>
      </c>
      <c r="D334" s="19" t="s">
        <v>206</v>
      </c>
      <c r="E334" s="18" t="s">
        <v>117</v>
      </c>
      <c r="F334" s="18">
        <v>11</v>
      </c>
      <c r="G334" s="20">
        <v>184300</v>
      </c>
      <c r="H334" s="20">
        <v>-1600</v>
      </c>
      <c r="I334" s="20">
        <v>78375</v>
      </c>
      <c r="J334" s="8">
        <f t="shared" si="15"/>
        <v>105925</v>
      </c>
      <c r="K334" s="10">
        <f t="shared" si="16"/>
        <v>0.57474226804123707</v>
      </c>
      <c r="L334" s="17">
        <f t="shared" si="17"/>
        <v>8.6814975583288118E-3</v>
      </c>
      <c r="M334" t="str">
        <f>VLOOKUP(D334,'Jer-Tip-Emp'!B:E,4,0)</f>
        <v>Platos especiales</v>
      </c>
      <c r="N334" t="str">
        <f>VLOOKUP(D334,'Jer-Tip-Emp'!B:F,5,0)</f>
        <v>Personal</v>
      </c>
      <c r="O334" t="str">
        <f>VLOOKUP(D334,'Jer-Tip-Emp'!B:G,6,0)</f>
        <v>Platos especiales</v>
      </c>
    </row>
    <row r="335" spans="1:15" ht="27.5" hidden="1" customHeight="1" x14ac:dyDescent="0.2">
      <c r="A335">
        <v>2026</v>
      </c>
      <c r="B335" t="s">
        <v>599</v>
      </c>
      <c r="C335" t="s">
        <v>609</v>
      </c>
      <c r="D335" s="19" t="s">
        <v>397</v>
      </c>
      <c r="E335" s="18" t="s">
        <v>61</v>
      </c>
      <c r="F335" s="18">
        <v>10</v>
      </c>
      <c r="G335" s="20">
        <v>49000</v>
      </c>
      <c r="H335" s="18">
        <v>0</v>
      </c>
      <c r="I335" s="20">
        <v>18960</v>
      </c>
      <c r="J335" s="8">
        <f t="shared" si="15"/>
        <v>30040</v>
      </c>
      <c r="K335" s="10">
        <f t="shared" si="16"/>
        <v>0.61306122448979594</v>
      </c>
      <c r="L335" s="17">
        <f t="shared" si="17"/>
        <v>0</v>
      </c>
      <c r="M335" t="str">
        <f>VLOOKUP(D335,'Jer-Tip-Emp'!B:E,4,0)</f>
        <v>Bebidas</v>
      </c>
      <c r="N335" t="str">
        <f>VLOOKUP(D335,'Jer-Tip-Emp'!B:F,5,0)</f>
        <v>Bebidas</v>
      </c>
      <c r="O335" t="str">
        <f>VLOOKUP(D335,'Jer-Tip-Emp'!B:G,6,0)</f>
        <v>Bebidas</v>
      </c>
    </row>
    <row r="336" spans="1:15" ht="27.5" hidden="1" customHeight="1" x14ac:dyDescent="0.2">
      <c r="A336">
        <v>2026</v>
      </c>
      <c r="B336" t="s">
        <v>599</v>
      </c>
      <c r="C336" t="s">
        <v>609</v>
      </c>
      <c r="D336" s="19" t="s">
        <v>409</v>
      </c>
      <c r="E336" s="18" t="s">
        <v>64</v>
      </c>
      <c r="F336" s="18">
        <v>10</v>
      </c>
      <c r="G336" s="20">
        <v>80000</v>
      </c>
      <c r="H336" s="18">
        <v>0</v>
      </c>
      <c r="I336" s="18">
        <v>0</v>
      </c>
      <c r="J336" s="8">
        <f t="shared" si="15"/>
        <v>80000</v>
      </c>
      <c r="K336" s="10">
        <f t="shared" si="16"/>
        <v>1</v>
      </c>
      <c r="L336" s="17">
        <f t="shared" si="17"/>
        <v>0</v>
      </c>
      <c r="M336" t="str">
        <f>VLOOKUP(D336,'Jer-Tip-Emp'!B:E,4,0)</f>
        <v>Bebidas</v>
      </c>
      <c r="N336" t="str">
        <f>VLOOKUP(D336,'Jer-Tip-Emp'!B:F,5,0)</f>
        <v>Bebidas</v>
      </c>
      <c r="O336" t="str">
        <f>VLOOKUP(D336,'Jer-Tip-Emp'!B:G,6,0)</f>
        <v>Bebidas</v>
      </c>
    </row>
    <row r="337" spans="1:15" ht="27.5" hidden="1" customHeight="1" x14ac:dyDescent="0.2">
      <c r="A337">
        <v>2026</v>
      </c>
      <c r="B337" t="s">
        <v>599</v>
      </c>
      <c r="C337" t="s">
        <v>609</v>
      </c>
      <c r="D337" s="19" t="s">
        <v>339</v>
      </c>
      <c r="E337" s="18" t="s">
        <v>65</v>
      </c>
      <c r="F337" s="18">
        <v>10</v>
      </c>
      <c r="G337" s="20">
        <v>49000</v>
      </c>
      <c r="H337" s="18">
        <v>0</v>
      </c>
      <c r="I337" s="20">
        <v>15600</v>
      </c>
      <c r="J337" s="8">
        <f t="shared" si="15"/>
        <v>33400</v>
      </c>
      <c r="K337" s="10">
        <f t="shared" si="16"/>
        <v>0.68163265306122445</v>
      </c>
      <c r="L337" s="17">
        <f t="shared" si="17"/>
        <v>0</v>
      </c>
      <c r="M337" t="str">
        <f>VLOOKUP(D337,'Jer-Tip-Emp'!B:E,4,0)</f>
        <v>Bebidas</v>
      </c>
      <c r="N337" t="str">
        <f>VLOOKUP(D337,'Jer-Tip-Emp'!B:F,5,0)</f>
        <v>Bebidas</v>
      </c>
      <c r="O337" t="str">
        <f>VLOOKUP(D337,'Jer-Tip-Emp'!B:G,6,0)</f>
        <v>Bebidas</v>
      </c>
    </row>
    <row r="338" spans="1:15" ht="27.5" customHeight="1" x14ac:dyDescent="0.2">
      <c r="A338">
        <v>2026</v>
      </c>
      <c r="B338" t="s">
        <v>599</v>
      </c>
      <c r="C338" t="s">
        <v>609</v>
      </c>
      <c r="D338" s="19" t="s">
        <v>266</v>
      </c>
      <c r="E338" s="18" t="s">
        <v>85</v>
      </c>
      <c r="F338" s="18">
        <v>10</v>
      </c>
      <c r="G338" s="20">
        <v>829000</v>
      </c>
      <c r="H338" s="18">
        <v>0</v>
      </c>
      <c r="I338" s="20">
        <v>392210</v>
      </c>
      <c r="J338" s="8">
        <f t="shared" si="15"/>
        <v>436790</v>
      </c>
      <c r="K338" s="10">
        <f t="shared" si="16"/>
        <v>0.52688781664656215</v>
      </c>
      <c r="L338" s="17">
        <f t="shared" si="17"/>
        <v>0</v>
      </c>
      <c r="M338" t="str">
        <f>VLOOKUP(D338,'Jer-Tip-Emp'!B:E,4,0)</f>
        <v>Combos para compartir</v>
      </c>
      <c r="N338" t="str">
        <f>VLOOKUP(D338,'Jer-Tip-Emp'!B:F,5,0)</f>
        <v>No Personal</v>
      </c>
      <c r="O338" t="str">
        <f>VLOOKUP(D338,'Jer-Tip-Emp'!B:G,6,0)</f>
        <v>Combo</v>
      </c>
    </row>
    <row r="339" spans="1:15" ht="27.5" customHeight="1" x14ac:dyDescent="0.2">
      <c r="A339">
        <v>2026</v>
      </c>
      <c r="B339" t="s">
        <v>599</v>
      </c>
      <c r="C339" t="s">
        <v>609</v>
      </c>
      <c r="D339" s="19" t="s">
        <v>290</v>
      </c>
      <c r="E339" s="18" t="s">
        <v>86</v>
      </c>
      <c r="F339" s="18">
        <v>10</v>
      </c>
      <c r="G339" s="20">
        <v>969000</v>
      </c>
      <c r="H339" s="18">
        <v>0</v>
      </c>
      <c r="I339" s="20">
        <v>467800</v>
      </c>
      <c r="J339" s="8">
        <f t="shared" si="15"/>
        <v>501200</v>
      </c>
      <c r="K339" s="10">
        <f t="shared" si="16"/>
        <v>0.51723426212590295</v>
      </c>
      <c r="L339" s="17">
        <f t="shared" si="17"/>
        <v>0</v>
      </c>
      <c r="M339" t="str">
        <f>VLOOKUP(D339,'Jer-Tip-Emp'!B:E,4,0)</f>
        <v>Combos para compartir</v>
      </c>
      <c r="N339" t="str">
        <f>VLOOKUP(D339,'Jer-Tip-Emp'!B:F,5,0)</f>
        <v>No Personal</v>
      </c>
      <c r="O339" t="str">
        <f>VLOOKUP(D339,'Jer-Tip-Emp'!B:G,6,0)</f>
        <v>Combo</v>
      </c>
    </row>
    <row r="340" spans="1:15" ht="27.5" customHeight="1" x14ac:dyDescent="0.2">
      <c r="A340">
        <v>2026</v>
      </c>
      <c r="B340" t="s">
        <v>599</v>
      </c>
      <c r="C340" t="s">
        <v>609</v>
      </c>
      <c r="D340" s="19" t="s">
        <v>285</v>
      </c>
      <c r="E340" s="18" t="s">
        <v>146</v>
      </c>
      <c r="F340" s="18">
        <v>10</v>
      </c>
      <c r="G340" s="20">
        <v>197100</v>
      </c>
      <c r="H340" s="20">
        <v>-21900</v>
      </c>
      <c r="I340" s="20">
        <v>84640</v>
      </c>
      <c r="J340" s="8">
        <f t="shared" si="15"/>
        <v>112460</v>
      </c>
      <c r="K340" s="10">
        <f t="shared" si="16"/>
        <v>0.57057331303906644</v>
      </c>
      <c r="L340" s="17">
        <f t="shared" si="17"/>
        <v>0.1111111111111111</v>
      </c>
      <c r="M340" t="str">
        <f>VLOOKUP(D340,'Jer-Tip-Emp'!B:E,4,0)</f>
        <v>Platos mong</v>
      </c>
      <c r="N340" t="str">
        <f>VLOOKUP(D340,'Jer-Tip-Emp'!B:F,5,0)</f>
        <v>Personal</v>
      </c>
      <c r="O340" t="str">
        <f>VLOOKUP(D340,'Jer-Tip-Emp'!B:G,6,0)</f>
        <v>Caja</v>
      </c>
    </row>
    <row r="341" spans="1:15" ht="27.5" customHeight="1" x14ac:dyDescent="0.2">
      <c r="A341">
        <v>2026</v>
      </c>
      <c r="B341" t="s">
        <v>599</v>
      </c>
      <c r="C341" t="s">
        <v>609</v>
      </c>
      <c r="D341" s="19" t="s">
        <v>267</v>
      </c>
      <c r="E341" s="18" t="s">
        <v>77</v>
      </c>
      <c r="F341" s="18">
        <v>9</v>
      </c>
      <c r="G341" s="20">
        <v>161100</v>
      </c>
      <c r="H341" s="18">
        <v>0</v>
      </c>
      <c r="I341" s="18">
        <v>0</v>
      </c>
      <c r="J341" s="8">
        <f t="shared" si="15"/>
        <v>161100</v>
      </c>
      <c r="K341" s="10">
        <f t="shared" si="16"/>
        <v>1</v>
      </c>
      <c r="L341" s="17">
        <f t="shared" si="17"/>
        <v>0</v>
      </c>
      <c r="M341" t="str">
        <f>VLOOKUP(D341,'Jer-Tip-Emp'!B:E,4,0)</f>
        <v>Bowl</v>
      </c>
      <c r="N341" t="str">
        <f>VLOOKUP(D341,'Jer-Tip-Emp'!B:F,5,0)</f>
        <v>Personal</v>
      </c>
      <c r="O341" t="str">
        <f>VLOOKUP(D341,'Jer-Tip-Emp'!B:G,6,0)</f>
        <v>Bowl</v>
      </c>
    </row>
    <row r="342" spans="1:15" ht="27.5" hidden="1" customHeight="1" x14ac:dyDescent="0.2">
      <c r="A342">
        <v>2026</v>
      </c>
      <c r="B342" t="s">
        <v>599</v>
      </c>
      <c r="C342" t="s">
        <v>609</v>
      </c>
      <c r="D342" s="19" t="s">
        <v>369</v>
      </c>
      <c r="E342" s="18" t="s">
        <v>68</v>
      </c>
      <c r="F342" s="18">
        <v>9</v>
      </c>
      <c r="G342" s="20">
        <v>44100</v>
      </c>
      <c r="H342" s="18">
        <v>0</v>
      </c>
      <c r="I342" s="20">
        <v>11970</v>
      </c>
      <c r="J342" s="8">
        <f t="shared" si="15"/>
        <v>32130</v>
      </c>
      <c r="K342" s="10">
        <f t="shared" si="16"/>
        <v>0.72857142857142854</v>
      </c>
      <c r="L342" s="17">
        <f t="shared" si="17"/>
        <v>0</v>
      </c>
      <c r="M342" t="str">
        <f>VLOOKUP(D342,'Jer-Tip-Emp'!B:E,4,0)</f>
        <v>Bebidas</v>
      </c>
      <c r="N342" t="str">
        <f>VLOOKUP(D342,'Jer-Tip-Emp'!B:F,5,0)</f>
        <v>Bebidas</v>
      </c>
      <c r="O342" t="str">
        <f>VLOOKUP(D342,'Jer-Tip-Emp'!B:G,6,0)</f>
        <v>Bebidas</v>
      </c>
    </row>
    <row r="343" spans="1:15" ht="27.5" hidden="1" customHeight="1" x14ac:dyDescent="0.2">
      <c r="A343">
        <v>2026</v>
      </c>
      <c r="B343" t="s">
        <v>599</v>
      </c>
      <c r="C343" t="s">
        <v>609</v>
      </c>
      <c r="D343" s="19" t="s">
        <v>350</v>
      </c>
      <c r="E343" s="18" t="s">
        <v>66</v>
      </c>
      <c r="F343" s="18">
        <v>9</v>
      </c>
      <c r="G343" s="20">
        <v>44100</v>
      </c>
      <c r="H343" s="18">
        <v>0</v>
      </c>
      <c r="I343" s="20">
        <v>14040</v>
      </c>
      <c r="J343" s="8">
        <f t="shared" si="15"/>
        <v>30060</v>
      </c>
      <c r="K343" s="10">
        <f t="shared" si="16"/>
        <v>0.68163265306122445</v>
      </c>
      <c r="L343" s="17">
        <f t="shared" si="17"/>
        <v>0</v>
      </c>
      <c r="M343" t="str">
        <f>VLOOKUP(D343,'Jer-Tip-Emp'!B:E,4,0)</f>
        <v>Bebidas</v>
      </c>
      <c r="N343" t="str">
        <f>VLOOKUP(D343,'Jer-Tip-Emp'!B:F,5,0)</f>
        <v>Bebidas</v>
      </c>
      <c r="O343" t="str">
        <f>VLOOKUP(D343,'Jer-Tip-Emp'!B:G,6,0)</f>
        <v>Bebidas</v>
      </c>
    </row>
    <row r="344" spans="1:15" ht="27.5" hidden="1" customHeight="1" x14ac:dyDescent="0.2">
      <c r="A344">
        <v>2026</v>
      </c>
      <c r="B344" t="s">
        <v>599</v>
      </c>
      <c r="C344" t="s">
        <v>609</v>
      </c>
      <c r="D344" s="19" t="s">
        <v>326</v>
      </c>
      <c r="E344" s="18" t="s">
        <v>69</v>
      </c>
      <c r="F344" s="18">
        <v>8</v>
      </c>
      <c r="G344" s="20">
        <v>39200</v>
      </c>
      <c r="H344" s="18">
        <v>0</v>
      </c>
      <c r="I344" s="20">
        <v>10640</v>
      </c>
      <c r="J344" s="8">
        <f t="shared" si="15"/>
        <v>28560</v>
      </c>
      <c r="K344" s="10">
        <f t="shared" si="16"/>
        <v>0.72857142857142854</v>
      </c>
      <c r="L344" s="17">
        <f t="shared" si="17"/>
        <v>0</v>
      </c>
      <c r="M344" t="str">
        <f>VLOOKUP(D344,'Jer-Tip-Emp'!B:E,4,0)</f>
        <v>Bebidas</v>
      </c>
      <c r="N344" t="str">
        <f>VLOOKUP(D344,'Jer-Tip-Emp'!B:F,5,0)</f>
        <v>Bebidas</v>
      </c>
      <c r="O344" t="str">
        <f>VLOOKUP(D344,'Jer-Tip-Emp'!B:G,6,0)</f>
        <v>Bebidas</v>
      </c>
    </row>
    <row r="345" spans="1:15" ht="27.5" hidden="1" customHeight="1" x14ac:dyDescent="0.2">
      <c r="A345">
        <v>2026</v>
      </c>
      <c r="B345" t="s">
        <v>599</v>
      </c>
      <c r="C345" t="s">
        <v>609</v>
      </c>
      <c r="D345" s="19" t="s">
        <v>410</v>
      </c>
      <c r="E345" s="18" t="s">
        <v>559</v>
      </c>
      <c r="F345" s="18">
        <v>8</v>
      </c>
      <c r="G345" s="20">
        <v>18400</v>
      </c>
      <c r="H345" s="18">
        <v>0</v>
      </c>
      <c r="I345" s="20">
        <v>17880</v>
      </c>
      <c r="J345" s="8">
        <f t="shared" si="15"/>
        <v>520</v>
      </c>
      <c r="K345" s="10">
        <f t="shared" si="16"/>
        <v>2.8260869565217391E-2</v>
      </c>
      <c r="L345" s="17">
        <f t="shared" si="17"/>
        <v>0</v>
      </c>
      <c r="M345" t="str">
        <f>VLOOKUP(D345,'Jer-Tip-Emp'!B:E,4,0)</f>
        <v>Bebidas</v>
      </c>
      <c r="N345" t="str">
        <f>VLOOKUP(D345,'Jer-Tip-Emp'!B:F,5,0)</f>
        <v>Bebidas Cambio de bebida</v>
      </c>
      <c r="O345" t="str">
        <f>VLOOKUP(D345,'Jer-Tip-Emp'!B:G,6,0)</f>
        <v>Bebidas</v>
      </c>
    </row>
    <row r="346" spans="1:15" ht="27.5" hidden="1" customHeight="1" x14ac:dyDescent="0.2">
      <c r="A346">
        <v>2026</v>
      </c>
      <c r="B346" t="s">
        <v>599</v>
      </c>
      <c r="C346" t="s">
        <v>609</v>
      </c>
      <c r="D346" s="19" t="s">
        <v>296</v>
      </c>
      <c r="E346" s="18" t="s">
        <v>22</v>
      </c>
      <c r="F346" s="18">
        <v>8</v>
      </c>
      <c r="G346" s="20">
        <v>55200</v>
      </c>
      <c r="H346" s="18">
        <v>0</v>
      </c>
      <c r="I346" s="20">
        <v>5512</v>
      </c>
      <c r="J346" s="8">
        <f t="shared" si="15"/>
        <v>49688</v>
      </c>
      <c r="K346" s="10">
        <f t="shared" si="16"/>
        <v>0.90014492753623188</v>
      </c>
      <c r="L346" s="17">
        <f t="shared" si="17"/>
        <v>0</v>
      </c>
      <c r="M346" t="str">
        <f>VLOOKUP(D346,'Jer-Tip-Emp'!B:E,4,0)</f>
        <v>Adición</v>
      </c>
      <c r="N346" t="str">
        <f>VLOOKUP(D346,'Jer-Tip-Emp'!B:F,5,0)</f>
        <v>Adición</v>
      </c>
      <c r="O346" t="str">
        <f>VLOOKUP(D346,'Jer-Tip-Emp'!B:G,6,0)</f>
        <v>Adición</v>
      </c>
    </row>
    <row r="347" spans="1:15" ht="27.5" customHeight="1" x14ac:dyDescent="0.2">
      <c r="A347">
        <v>2026</v>
      </c>
      <c r="B347" t="s">
        <v>599</v>
      </c>
      <c r="C347" t="s">
        <v>609</v>
      </c>
      <c r="D347" s="19" t="s">
        <v>205</v>
      </c>
      <c r="E347" s="18" t="s">
        <v>141</v>
      </c>
      <c r="F347" s="18">
        <v>8</v>
      </c>
      <c r="G347" s="20">
        <v>125700</v>
      </c>
      <c r="H347" s="20">
        <v>-1500</v>
      </c>
      <c r="I347" s="20">
        <v>48512</v>
      </c>
      <c r="J347" s="8">
        <f t="shared" si="15"/>
        <v>77188</v>
      </c>
      <c r="K347" s="10">
        <f t="shared" si="16"/>
        <v>0.6140652346857598</v>
      </c>
      <c r="L347" s="17">
        <f t="shared" si="17"/>
        <v>1.1933174224343675E-2</v>
      </c>
      <c r="M347" t="str">
        <f>VLOOKUP(D347,'Jer-Tip-Emp'!B:E,4,0)</f>
        <v>Platos mong</v>
      </c>
      <c r="N347" t="str">
        <f>VLOOKUP(D347,'Jer-Tip-Emp'!B:F,5,0)</f>
        <v>Personal</v>
      </c>
      <c r="O347" t="str">
        <f>VLOOKUP(D347,'Jer-Tip-Emp'!B:G,6,0)</f>
        <v>Caja</v>
      </c>
    </row>
    <row r="348" spans="1:15" ht="27.5" customHeight="1" x14ac:dyDescent="0.2">
      <c r="A348">
        <v>2026</v>
      </c>
      <c r="B348" t="s">
        <v>599</v>
      </c>
      <c r="C348" t="s">
        <v>609</v>
      </c>
      <c r="D348" s="19" t="s">
        <v>202</v>
      </c>
      <c r="E348" s="18" t="s">
        <v>142</v>
      </c>
      <c r="F348" s="18">
        <v>8</v>
      </c>
      <c r="G348" s="20">
        <v>319200</v>
      </c>
      <c r="H348" s="18">
        <v>0</v>
      </c>
      <c r="I348" s="20">
        <v>113848</v>
      </c>
      <c r="J348" s="8">
        <f t="shared" si="15"/>
        <v>205352</v>
      </c>
      <c r="K348" s="10">
        <f t="shared" si="16"/>
        <v>0.64333333333333331</v>
      </c>
      <c r="L348" s="17">
        <f t="shared" si="17"/>
        <v>0</v>
      </c>
      <c r="M348" t="str">
        <f>VLOOKUP(D348,'Jer-Tip-Emp'!B:E,4,0)</f>
        <v>Platos mong</v>
      </c>
      <c r="N348" t="str">
        <f>VLOOKUP(D348,'Jer-Tip-Emp'!B:F,5,0)</f>
        <v>No Personal</v>
      </c>
      <c r="O348" t="str">
        <f>VLOOKUP(D348,'Jer-Tip-Emp'!B:G,6,0)</f>
        <v>Caja</v>
      </c>
    </row>
    <row r="349" spans="1:15" ht="27.5" customHeight="1" x14ac:dyDescent="0.2">
      <c r="A349">
        <v>2026</v>
      </c>
      <c r="B349" t="s">
        <v>599</v>
      </c>
      <c r="C349" t="s">
        <v>609</v>
      </c>
      <c r="D349" s="19" t="s">
        <v>181</v>
      </c>
      <c r="E349" s="18" t="s">
        <v>121</v>
      </c>
      <c r="F349" s="18">
        <v>7</v>
      </c>
      <c r="G349" s="20">
        <v>139300</v>
      </c>
      <c r="H349" s="18">
        <v>0</v>
      </c>
      <c r="I349" s="20">
        <v>42966</v>
      </c>
      <c r="J349" s="8">
        <f t="shared" si="15"/>
        <v>96334</v>
      </c>
      <c r="K349" s="10">
        <f t="shared" si="16"/>
        <v>0.69155778894472364</v>
      </c>
      <c r="L349" s="17">
        <f t="shared" si="17"/>
        <v>0</v>
      </c>
      <c r="M349" t="str">
        <f>VLOOKUP(D349,'Jer-Tip-Emp'!B:E,4,0)</f>
        <v>Platos mong</v>
      </c>
      <c r="N349" t="str">
        <f>VLOOKUP(D349,'Jer-Tip-Emp'!B:F,5,0)</f>
        <v>Personal</v>
      </c>
      <c r="O349" t="str">
        <f>VLOOKUP(D349,'Jer-Tip-Emp'!B:G,6,0)</f>
        <v>Caja</v>
      </c>
    </row>
    <row r="350" spans="1:15" ht="27.5" customHeight="1" x14ac:dyDescent="0.2">
      <c r="A350">
        <v>2026</v>
      </c>
      <c r="B350" t="s">
        <v>599</v>
      </c>
      <c r="C350" t="s">
        <v>609</v>
      </c>
      <c r="D350" s="19" t="s">
        <v>232</v>
      </c>
      <c r="E350" s="18" t="s">
        <v>94</v>
      </c>
      <c r="F350" s="18">
        <v>7</v>
      </c>
      <c r="G350" s="20">
        <v>160300</v>
      </c>
      <c r="H350" s="18">
        <v>0</v>
      </c>
      <c r="I350" s="20">
        <v>65828</v>
      </c>
      <c r="J350" s="8">
        <f t="shared" si="15"/>
        <v>94472</v>
      </c>
      <c r="K350" s="10">
        <f t="shared" si="16"/>
        <v>0.58934497816593889</v>
      </c>
      <c r="L350" s="17">
        <f t="shared" si="17"/>
        <v>0</v>
      </c>
      <c r="M350" t="str">
        <f>VLOOKUP(D350,'Jer-Tip-Emp'!B:E,4,0)</f>
        <v>Platos mong</v>
      </c>
      <c r="N350" t="str">
        <f>VLOOKUP(D350,'Jer-Tip-Emp'!B:F,5,0)</f>
        <v>Personal</v>
      </c>
      <c r="O350" t="str">
        <f>VLOOKUP(D350,'Jer-Tip-Emp'!B:G,6,0)</f>
        <v>Caja</v>
      </c>
    </row>
    <row r="351" spans="1:15" ht="27.5" customHeight="1" x14ac:dyDescent="0.2">
      <c r="A351">
        <v>2026</v>
      </c>
      <c r="B351" t="s">
        <v>599</v>
      </c>
      <c r="C351" t="s">
        <v>609</v>
      </c>
      <c r="D351" s="19" t="s">
        <v>197</v>
      </c>
      <c r="E351" s="18" t="s">
        <v>31</v>
      </c>
      <c r="F351" s="18">
        <v>7</v>
      </c>
      <c r="G351" s="20">
        <v>55300</v>
      </c>
      <c r="H351" s="18">
        <v>0</v>
      </c>
      <c r="I351" s="20">
        <v>22484</v>
      </c>
      <c r="J351" s="8">
        <f t="shared" si="15"/>
        <v>32816</v>
      </c>
      <c r="K351" s="10">
        <f t="shared" si="16"/>
        <v>0.59341772151898731</v>
      </c>
      <c r="L351" s="17">
        <f t="shared" si="17"/>
        <v>0</v>
      </c>
      <c r="M351" t="str">
        <f>VLOOKUP(D351,'Jer-Tip-Emp'!B:E,4,0)</f>
        <v>Armalo en combo</v>
      </c>
      <c r="N351" t="str">
        <f>VLOOKUP(D351,'Jer-Tip-Emp'!B:F,5,0)</f>
        <v>Personal</v>
      </c>
      <c r="O351" t="str">
        <f>VLOOKUP(D351,'Jer-Tip-Emp'!B:G,6,0)</f>
        <v>Combo</v>
      </c>
    </row>
    <row r="352" spans="1:15" ht="27.5" hidden="1" customHeight="1" x14ac:dyDescent="0.2">
      <c r="A352">
        <v>2026</v>
      </c>
      <c r="B352" t="s">
        <v>599</v>
      </c>
      <c r="C352" t="s">
        <v>609</v>
      </c>
      <c r="D352" s="19" t="s">
        <v>314</v>
      </c>
      <c r="E352" s="18" t="s">
        <v>67</v>
      </c>
      <c r="F352" s="18">
        <v>7</v>
      </c>
      <c r="G352" s="20">
        <v>34300</v>
      </c>
      <c r="H352" s="18">
        <v>0</v>
      </c>
      <c r="I352" s="20">
        <v>9310</v>
      </c>
      <c r="J352" s="8">
        <f t="shared" si="15"/>
        <v>24990</v>
      </c>
      <c r="K352" s="10">
        <f t="shared" si="16"/>
        <v>0.72857142857142854</v>
      </c>
      <c r="L352" s="17">
        <f t="shared" si="17"/>
        <v>0</v>
      </c>
      <c r="M352" t="str">
        <f>VLOOKUP(D352,'Jer-Tip-Emp'!B:E,4,0)</f>
        <v>Bebidas</v>
      </c>
      <c r="N352" t="str">
        <f>VLOOKUP(D352,'Jer-Tip-Emp'!B:F,5,0)</f>
        <v>Bebidas</v>
      </c>
      <c r="O352" t="str">
        <f>VLOOKUP(D352,'Jer-Tip-Emp'!B:G,6,0)</f>
        <v>Bebidas</v>
      </c>
    </row>
    <row r="353" spans="1:15" ht="27.5" hidden="1" customHeight="1" x14ac:dyDescent="0.2">
      <c r="A353">
        <v>2026</v>
      </c>
      <c r="B353" t="s">
        <v>599</v>
      </c>
      <c r="C353" t="s">
        <v>609</v>
      </c>
      <c r="D353" s="19" t="s">
        <v>402</v>
      </c>
      <c r="E353" s="18" t="s">
        <v>63</v>
      </c>
      <c r="F353" s="18">
        <v>6</v>
      </c>
      <c r="G353" s="20">
        <v>29400</v>
      </c>
      <c r="H353" s="18">
        <v>0</v>
      </c>
      <c r="I353" s="20">
        <v>9360</v>
      </c>
      <c r="J353" s="8">
        <f t="shared" si="15"/>
        <v>20040</v>
      </c>
      <c r="K353" s="10">
        <f t="shared" si="16"/>
        <v>0.68163265306122445</v>
      </c>
      <c r="L353" s="17">
        <f t="shared" si="17"/>
        <v>0</v>
      </c>
      <c r="M353" t="str">
        <f>VLOOKUP(D353,'Jer-Tip-Emp'!B:E,4,0)</f>
        <v>Bebidas</v>
      </c>
      <c r="N353" t="str">
        <f>VLOOKUP(D353,'Jer-Tip-Emp'!B:F,5,0)</f>
        <v>Bebidas</v>
      </c>
      <c r="O353" t="str">
        <f>VLOOKUP(D353,'Jer-Tip-Emp'!B:G,6,0)</f>
        <v>Bebidas</v>
      </c>
    </row>
    <row r="354" spans="1:15" ht="27.5" customHeight="1" x14ac:dyDescent="0.2">
      <c r="A354">
        <v>2026</v>
      </c>
      <c r="B354" t="s">
        <v>599</v>
      </c>
      <c r="C354" t="s">
        <v>609</v>
      </c>
      <c r="D354" s="19" t="s">
        <v>261</v>
      </c>
      <c r="E354" s="18" t="s">
        <v>135</v>
      </c>
      <c r="F354" s="18">
        <v>4</v>
      </c>
      <c r="G354" s="20">
        <v>71600</v>
      </c>
      <c r="H354" s="18">
        <v>0</v>
      </c>
      <c r="I354" s="20">
        <v>21864</v>
      </c>
      <c r="J354" s="8">
        <f t="shared" si="15"/>
        <v>49736</v>
      </c>
      <c r="K354" s="10">
        <f t="shared" si="16"/>
        <v>0.69463687150837994</v>
      </c>
      <c r="L354" s="17">
        <f t="shared" si="17"/>
        <v>0</v>
      </c>
      <c r="M354" t="str">
        <f>VLOOKUP(D354,'Jer-Tip-Emp'!B:E,4,0)</f>
        <v>Platos mong</v>
      </c>
      <c r="N354" t="str">
        <f>VLOOKUP(D354,'Jer-Tip-Emp'!B:F,5,0)</f>
        <v>Personal</v>
      </c>
      <c r="O354" t="str">
        <f>VLOOKUP(D354,'Jer-Tip-Emp'!B:G,6,0)</f>
        <v>Caja</v>
      </c>
    </row>
    <row r="355" spans="1:15" ht="27.5" hidden="1" customHeight="1" x14ac:dyDescent="0.2">
      <c r="A355">
        <v>2026</v>
      </c>
      <c r="B355" t="s">
        <v>599</v>
      </c>
      <c r="C355" t="s">
        <v>609</v>
      </c>
      <c r="D355" s="19" t="s">
        <v>494</v>
      </c>
      <c r="E355" s="18" t="s">
        <v>568</v>
      </c>
      <c r="F355" s="18">
        <v>4</v>
      </c>
      <c r="G355" s="20">
        <v>6400</v>
      </c>
      <c r="H355" s="18">
        <v>0</v>
      </c>
      <c r="I355" s="20">
        <v>8556</v>
      </c>
      <c r="J355" s="8">
        <f t="shared" si="15"/>
        <v>-2156</v>
      </c>
      <c r="K355" s="10">
        <f t="shared" si="16"/>
        <v>-0.33687499999999998</v>
      </c>
      <c r="L355" s="17">
        <f t="shared" si="17"/>
        <v>0</v>
      </c>
      <c r="M355" t="str">
        <f>VLOOKUP(D355,'Jer-Tip-Emp'!B:E,4,0)</f>
        <v>Bebidas</v>
      </c>
      <c r="N355" t="str">
        <f>VLOOKUP(D355,'Jer-Tip-Emp'!B:F,5,0)</f>
        <v>Bebidas Cambio de bebida</v>
      </c>
      <c r="O355" t="str">
        <f>VLOOKUP(D355,'Jer-Tip-Emp'!B:G,6,0)</f>
        <v>Bebidas</v>
      </c>
    </row>
    <row r="356" spans="1:15" ht="27.5" customHeight="1" x14ac:dyDescent="0.2">
      <c r="A356">
        <v>2026</v>
      </c>
      <c r="B356" t="s">
        <v>599</v>
      </c>
      <c r="C356" t="s">
        <v>609</v>
      </c>
      <c r="D356" s="19" t="s">
        <v>299</v>
      </c>
      <c r="E356" s="18" t="s">
        <v>129</v>
      </c>
      <c r="F356" s="18">
        <v>4</v>
      </c>
      <c r="G356" s="20">
        <v>187600</v>
      </c>
      <c r="H356" s="18">
        <v>0</v>
      </c>
      <c r="I356" s="20">
        <v>45328</v>
      </c>
      <c r="J356" s="8">
        <f t="shared" si="15"/>
        <v>142272</v>
      </c>
      <c r="K356" s="10">
        <f t="shared" si="16"/>
        <v>0.7583795309168444</v>
      </c>
      <c r="L356" s="17">
        <f t="shared" si="17"/>
        <v>0</v>
      </c>
      <c r="M356" t="str">
        <f>VLOOKUP(D356,'Jer-Tip-Emp'!B:E,4,0)</f>
        <v>Platos mong</v>
      </c>
      <c r="N356" t="str">
        <f>VLOOKUP(D356,'Jer-Tip-Emp'!B:F,5,0)</f>
        <v>No Personal</v>
      </c>
      <c r="O356" t="str">
        <f>VLOOKUP(D356,'Jer-Tip-Emp'!B:G,6,0)</f>
        <v>Caja</v>
      </c>
    </row>
    <row r="357" spans="1:15" ht="27.5" hidden="1" customHeight="1" x14ac:dyDescent="0.2">
      <c r="A357">
        <v>2026</v>
      </c>
      <c r="B357" t="s">
        <v>599</v>
      </c>
      <c r="C357" t="s">
        <v>609</v>
      </c>
      <c r="D357" s="19" t="s">
        <v>426</v>
      </c>
      <c r="E357" s="18" t="s">
        <v>561</v>
      </c>
      <c r="F357" s="18">
        <v>4</v>
      </c>
      <c r="G357" s="20">
        <v>6400</v>
      </c>
      <c r="H357" s="18">
        <v>0</v>
      </c>
      <c r="I357" s="20">
        <v>6064</v>
      </c>
      <c r="J357" s="8">
        <f t="shared" si="15"/>
        <v>336</v>
      </c>
      <c r="K357" s="10">
        <f t="shared" si="16"/>
        <v>5.2499999999999998E-2</v>
      </c>
      <c r="L357" s="17">
        <f t="shared" si="17"/>
        <v>0</v>
      </c>
      <c r="M357" t="str">
        <f>VLOOKUP(D357,'Jer-Tip-Emp'!B:E,4,0)</f>
        <v>Bebidas</v>
      </c>
      <c r="N357" t="str">
        <f>VLOOKUP(D357,'Jer-Tip-Emp'!B:F,5,0)</f>
        <v>Bebidas Cambio de bebida</v>
      </c>
      <c r="O357" t="str">
        <f>VLOOKUP(D357,'Jer-Tip-Emp'!B:G,6,0)</f>
        <v>Bebidas</v>
      </c>
    </row>
    <row r="358" spans="1:15" ht="27.5" customHeight="1" x14ac:dyDescent="0.2">
      <c r="A358">
        <v>2026</v>
      </c>
      <c r="B358" t="s">
        <v>599</v>
      </c>
      <c r="C358" t="s">
        <v>609</v>
      </c>
      <c r="D358" s="19" t="s">
        <v>198</v>
      </c>
      <c r="E358" s="18" t="s">
        <v>124</v>
      </c>
      <c r="F358" s="18">
        <v>4</v>
      </c>
      <c r="G358" s="20">
        <v>95600</v>
      </c>
      <c r="H358" s="18">
        <v>0</v>
      </c>
      <c r="I358" s="20">
        <v>35028</v>
      </c>
      <c r="J358" s="8">
        <f t="shared" si="15"/>
        <v>60572</v>
      </c>
      <c r="K358" s="10">
        <f t="shared" si="16"/>
        <v>0.6335983263598326</v>
      </c>
      <c r="L358" s="17">
        <f t="shared" si="17"/>
        <v>0</v>
      </c>
      <c r="M358" t="str">
        <f>VLOOKUP(D358,'Jer-Tip-Emp'!B:E,4,0)</f>
        <v>Platos mong</v>
      </c>
      <c r="N358" t="str">
        <f>VLOOKUP(D358,'Jer-Tip-Emp'!B:F,5,0)</f>
        <v>Personal</v>
      </c>
      <c r="O358" t="str">
        <f>VLOOKUP(D358,'Jer-Tip-Emp'!B:G,6,0)</f>
        <v>Caja</v>
      </c>
    </row>
    <row r="359" spans="1:15" ht="27.5" hidden="1" customHeight="1" x14ac:dyDescent="0.2">
      <c r="A359">
        <v>2026</v>
      </c>
      <c r="B359" t="s">
        <v>599</v>
      </c>
      <c r="C359" t="s">
        <v>609</v>
      </c>
      <c r="D359" s="19" t="s">
        <v>444</v>
      </c>
      <c r="E359" s="18" t="s">
        <v>562</v>
      </c>
      <c r="F359" s="18">
        <v>4</v>
      </c>
      <c r="G359" s="20">
        <v>6400</v>
      </c>
      <c r="H359" s="18">
        <v>0</v>
      </c>
      <c r="I359" s="20">
        <v>6440</v>
      </c>
      <c r="J359" s="8">
        <f t="shared" si="15"/>
        <v>-40</v>
      </c>
      <c r="K359" s="10">
        <f t="shared" si="16"/>
        <v>-6.2500000000000003E-3</v>
      </c>
      <c r="L359" s="17">
        <f t="shared" si="17"/>
        <v>0</v>
      </c>
      <c r="M359" t="str">
        <f>VLOOKUP(D359,'Jer-Tip-Emp'!B:E,4,0)</f>
        <v>Bebidas</v>
      </c>
      <c r="N359" t="str">
        <f>VLOOKUP(D359,'Jer-Tip-Emp'!B:F,5,0)</f>
        <v>Bebidas Cambio de bebida</v>
      </c>
      <c r="O359" t="str">
        <f>VLOOKUP(D359,'Jer-Tip-Emp'!B:G,6,0)</f>
        <v>Bebidas</v>
      </c>
    </row>
    <row r="360" spans="1:15" ht="27.5" hidden="1" customHeight="1" x14ac:dyDescent="0.2">
      <c r="A360">
        <v>2026</v>
      </c>
      <c r="B360" t="s">
        <v>599</v>
      </c>
      <c r="C360" t="s">
        <v>609</v>
      </c>
      <c r="D360" s="19" t="s">
        <v>300</v>
      </c>
      <c r="E360" s="18" t="s">
        <v>26</v>
      </c>
      <c r="F360" s="18">
        <v>3</v>
      </c>
      <c r="G360" s="20">
        <v>23700</v>
      </c>
      <c r="H360" s="18">
        <v>0</v>
      </c>
      <c r="I360" s="18">
        <v>0</v>
      </c>
      <c r="J360" s="8">
        <f t="shared" si="15"/>
        <v>23700</v>
      </c>
      <c r="K360" s="10">
        <f t="shared" si="16"/>
        <v>1</v>
      </c>
      <c r="L360" s="17">
        <f t="shared" si="17"/>
        <v>0</v>
      </c>
      <c r="M360" t="str">
        <f>VLOOKUP(D360,'Jer-Tip-Emp'!B:E,4,0)</f>
        <v>Adición</v>
      </c>
      <c r="N360" t="str">
        <f>VLOOKUP(D360,'Jer-Tip-Emp'!B:F,5,0)</f>
        <v>Adición</v>
      </c>
      <c r="O360" t="str">
        <f>VLOOKUP(D360,'Jer-Tip-Emp'!B:G,6,0)</f>
        <v>Adición</v>
      </c>
    </row>
    <row r="361" spans="1:15" ht="27.5" customHeight="1" x14ac:dyDescent="0.2">
      <c r="A361">
        <v>2026</v>
      </c>
      <c r="B361" t="s">
        <v>599</v>
      </c>
      <c r="C361" t="s">
        <v>609</v>
      </c>
      <c r="D361" s="19" t="s">
        <v>217</v>
      </c>
      <c r="E361" s="18" t="s">
        <v>74</v>
      </c>
      <c r="F361" s="18">
        <v>3</v>
      </c>
      <c r="G361" s="20">
        <v>35800</v>
      </c>
      <c r="H361" s="20">
        <v>-17900</v>
      </c>
      <c r="I361" s="18">
        <v>0</v>
      </c>
      <c r="J361" s="8">
        <f t="shared" si="15"/>
        <v>35800</v>
      </c>
      <c r="K361" s="10">
        <f t="shared" si="16"/>
        <v>1</v>
      </c>
      <c r="L361" s="17">
        <f t="shared" si="17"/>
        <v>0.5</v>
      </c>
      <c r="M361" t="str">
        <f>VLOOKUP(D361,'Jer-Tip-Emp'!B:E,4,0)</f>
        <v>Bowl</v>
      </c>
      <c r="N361" t="str">
        <f>VLOOKUP(D361,'Jer-Tip-Emp'!B:F,5,0)</f>
        <v>Personal</v>
      </c>
      <c r="O361" t="str">
        <f>VLOOKUP(D361,'Jer-Tip-Emp'!B:G,6,0)</f>
        <v>Bowl</v>
      </c>
    </row>
    <row r="362" spans="1:15" ht="27.5" hidden="1" customHeight="1" x14ac:dyDescent="0.2">
      <c r="A362">
        <v>2026</v>
      </c>
      <c r="B362" t="s">
        <v>599</v>
      </c>
      <c r="C362" t="s">
        <v>609</v>
      </c>
      <c r="D362" s="19" t="s">
        <v>411</v>
      </c>
      <c r="E362" s="18" t="s">
        <v>569</v>
      </c>
      <c r="F362" s="18">
        <v>3</v>
      </c>
      <c r="G362" s="20">
        <v>4800</v>
      </c>
      <c r="H362" s="18">
        <v>0</v>
      </c>
      <c r="I362" s="20">
        <v>6705</v>
      </c>
      <c r="J362" s="8">
        <f t="shared" si="15"/>
        <v>-1905</v>
      </c>
      <c r="K362" s="10">
        <f t="shared" si="16"/>
        <v>-0.39687499999999998</v>
      </c>
      <c r="L362" s="17">
        <f t="shared" si="17"/>
        <v>0</v>
      </c>
      <c r="M362" t="str">
        <f>VLOOKUP(D362,'Jer-Tip-Emp'!B:E,4,0)</f>
        <v>Bebidas</v>
      </c>
      <c r="N362" t="str">
        <f>VLOOKUP(D362,'Jer-Tip-Emp'!B:F,5,0)</f>
        <v>Bebidas Cambio de bebida</v>
      </c>
      <c r="O362" t="str">
        <f>VLOOKUP(D362,'Jer-Tip-Emp'!B:G,6,0)</f>
        <v>Bebidas</v>
      </c>
    </row>
    <row r="363" spans="1:15" ht="27.5" hidden="1" customHeight="1" x14ac:dyDescent="0.2">
      <c r="A363">
        <v>2026</v>
      </c>
      <c r="B363" t="s">
        <v>599</v>
      </c>
      <c r="C363" t="s">
        <v>609</v>
      </c>
      <c r="D363" s="19" t="s">
        <v>275</v>
      </c>
      <c r="E363" s="18" t="s">
        <v>16</v>
      </c>
      <c r="F363" s="18">
        <v>3</v>
      </c>
      <c r="G363" s="20">
        <v>20700</v>
      </c>
      <c r="H363" s="18">
        <v>0</v>
      </c>
      <c r="I363" s="20">
        <v>6735</v>
      </c>
      <c r="J363" s="8">
        <f t="shared" si="15"/>
        <v>13965</v>
      </c>
      <c r="K363" s="10">
        <f t="shared" si="16"/>
        <v>0.67463768115942024</v>
      </c>
      <c r="L363" s="17">
        <f t="shared" si="17"/>
        <v>0</v>
      </c>
      <c r="M363" t="str">
        <f>VLOOKUP(D363,'Jer-Tip-Emp'!B:E,4,0)</f>
        <v>Adición</v>
      </c>
      <c r="N363" t="str">
        <f>VLOOKUP(D363,'Jer-Tip-Emp'!B:F,5,0)</f>
        <v>Adición</v>
      </c>
      <c r="O363" t="str">
        <f>VLOOKUP(D363,'Jer-Tip-Emp'!B:G,6,0)</f>
        <v>Adición</v>
      </c>
    </row>
    <row r="364" spans="1:15" ht="27.5" hidden="1" customHeight="1" x14ac:dyDescent="0.2">
      <c r="A364">
        <v>2026</v>
      </c>
      <c r="B364" t="s">
        <v>599</v>
      </c>
      <c r="C364" t="s">
        <v>609</v>
      </c>
      <c r="D364" s="19" t="s">
        <v>431</v>
      </c>
      <c r="E364" s="18" t="s">
        <v>560</v>
      </c>
      <c r="F364" s="18">
        <v>3</v>
      </c>
      <c r="G364" s="20">
        <v>4800</v>
      </c>
      <c r="H364" s="18">
        <v>0</v>
      </c>
      <c r="I364" s="20">
        <v>3990</v>
      </c>
      <c r="J364" s="8">
        <f t="shared" si="15"/>
        <v>810</v>
      </c>
      <c r="K364" s="10">
        <f t="shared" si="16"/>
        <v>0.16875000000000001</v>
      </c>
      <c r="L364" s="17">
        <f t="shared" si="17"/>
        <v>0</v>
      </c>
      <c r="M364" t="str">
        <f>VLOOKUP(D364,'Jer-Tip-Emp'!B:E,4,0)</f>
        <v>Bebidas</v>
      </c>
      <c r="N364" t="str">
        <f>VLOOKUP(D364,'Jer-Tip-Emp'!B:F,5,0)</f>
        <v>Bebidas Cambio de bebida</v>
      </c>
      <c r="O364" t="str">
        <f>VLOOKUP(D364,'Jer-Tip-Emp'!B:G,6,0)</f>
        <v>Bebidas</v>
      </c>
    </row>
    <row r="365" spans="1:15" ht="27.5" customHeight="1" x14ac:dyDescent="0.2">
      <c r="A365">
        <v>2026</v>
      </c>
      <c r="B365" t="s">
        <v>599</v>
      </c>
      <c r="C365" t="s">
        <v>609</v>
      </c>
      <c r="D365" s="19" t="s">
        <v>241</v>
      </c>
      <c r="E365" s="18" t="s">
        <v>107</v>
      </c>
      <c r="F365" s="18">
        <v>3</v>
      </c>
      <c r="G365" s="20">
        <v>284700</v>
      </c>
      <c r="H365" s="18">
        <v>0</v>
      </c>
      <c r="I365" s="20">
        <v>128112</v>
      </c>
      <c r="J365" s="8">
        <f t="shared" si="15"/>
        <v>156588</v>
      </c>
      <c r="K365" s="10">
        <f t="shared" si="16"/>
        <v>0.55001053740779771</v>
      </c>
      <c r="L365" s="17">
        <f t="shared" si="17"/>
        <v>0</v>
      </c>
      <c r="M365" t="str">
        <f>VLOOKUP(D365,'Jer-Tip-Emp'!B:E,4,0)</f>
        <v>Platos mong</v>
      </c>
      <c r="N365" t="str">
        <f>VLOOKUP(D365,'Jer-Tip-Emp'!B:F,5,0)</f>
        <v>No Personal</v>
      </c>
      <c r="O365" t="str">
        <f>VLOOKUP(D365,'Jer-Tip-Emp'!B:G,6,0)</f>
        <v>Caja</v>
      </c>
    </row>
    <row r="366" spans="1:15" ht="27.5" hidden="1" customHeight="1" x14ac:dyDescent="0.2">
      <c r="A366">
        <v>2026</v>
      </c>
      <c r="B366" t="s">
        <v>599</v>
      </c>
      <c r="C366" t="s">
        <v>609</v>
      </c>
      <c r="D366" s="19" t="s">
        <v>254</v>
      </c>
      <c r="E366" s="18" t="s">
        <v>20</v>
      </c>
      <c r="F366" s="18">
        <v>3</v>
      </c>
      <c r="G366" s="20">
        <v>14700</v>
      </c>
      <c r="H366" s="18">
        <v>0</v>
      </c>
      <c r="I366" s="20">
        <v>9030</v>
      </c>
      <c r="J366" s="8">
        <f t="shared" si="15"/>
        <v>5670</v>
      </c>
      <c r="K366" s="10">
        <f t="shared" si="16"/>
        <v>0.38571428571428573</v>
      </c>
      <c r="L366" s="17">
        <f t="shared" si="17"/>
        <v>0</v>
      </c>
      <c r="M366" t="str">
        <f>VLOOKUP(D366,'Jer-Tip-Emp'!B:E,4,0)</f>
        <v>Adición</v>
      </c>
      <c r="N366" t="str">
        <f>VLOOKUP(D366,'Jer-Tip-Emp'!B:F,5,0)</f>
        <v>Adición</v>
      </c>
      <c r="O366" t="str">
        <f>VLOOKUP(D366,'Jer-Tip-Emp'!B:G,6,0)</f>
        <v>Adición</v>
      </c>
    </row>
    <row r="367" spans="1:15" ht="27.5" hidden="1" customHeight="1" x14ac:dyDescent="0.2">
      <c r="A367">
        <v>2026</v>
      </c>
      <c r="B367" t="s">
        <v>599</v>
      </c>
      <c r="C367" t="s">
        <v>609</v>
      </c>
      <c r="D367" s="19" t="s">
        <v>461</v>
      </c>
      <c r="E367" s="18" t="s">
        <v>571</v>
      </c>
      <c r="F367" s="18">
        <v>3</v>
      </c>
      <c r="G367" s="20">
        <v>4800</v>
      </c>
      <c r="H367" s="18">
        <v>0</v>
      </c>
      <c r="I367" s="20">
        <v>2850</v>
      </c>
      <c r="J367" s="8">
        <f t="shared" si="15"/>
        <v>1950</v>
      </c>
      <c r="K367" s="10">
        <f t="shared" si="16"/>
        <v>0.40625</v>
      </c>
      <c r="L367" s="17">
        <f t="shared" si="17"/>
        <v>0</v>
      </c>
      <c r="M367" t="str">
        <f>VLOOKUP(D367,'Jer-Tip-Emp'!B:E,4,0)</f>
        <v>Bebidas</v>
      </c>
      <c r="N367" t="str">
        <f>VLOOKUP(D367,'Jer-Tip-Emp'!B:F,5,0)</f>
        <v>Bebidas Cambio de bebida</v>
      </c>
      <c r="O367" t="str">
        <f>VLOOKUP(D367,'Jer-Tip-Emp'!B:G,6,0)</f>
        <v>Bebidas</v>
      </c>
    </row>
    <row r="368" spans="1:15" ht="27.5" hidden="1" customHeight="1" x14ac:dyDescent="0.2">
      <c r="A368">
        <v>2026</v>
      </c>
      <c r="B368" t="s">
        <v>599</v>
      </c>
      <c r="C368" t="s">
        <v>609</v>
      </c>
      <c r="D368" s="19" t="s">
        <v>495</v>
      </c>
      <c r="E368" s="18" t="s">
        <v>572</v>
      </c>
      <c r="F368" s="18">
        <v>3</v>
      </c>
      <c r="G368" s="20">
        <v>4800</v>
      </c>
      <c r="H368" s="18">
        <v>0</v>
      </c>
      <c r="I368" s="20">
        <v>5688</v>
      </c>
      <c r="J368" s="8">
        <f t="shared" si="15"/>
        <v>-888</v>
      </c>
      <c r="K368" s="10">
        <f t="shared" si="16"/>
        <v>-0.185</v>
      </c>
      <c r="L368" s="17">
        <f t="shared" si="17"/>
        <v>0</v>
      </c>
      <c r="M368" t="str">
        <f>VLOOKUP(D368,'Jer-Tip-Emp'!B:E,4,0)</f>
        <v>Bebidas</v>
      </c>
      <c r="N368" t="str">
        <f>VLOOKUP(D368,'Jer-Tip-Emp'!B:F,5,0)</f>
        <v>Bebidas Cambio de bebida</v>
      </c>
      <c r="O368" t="str">
        <f>VLOOKUP(D368,'Jer-Tip-Emp'!B:G,6,0)</f>
        <v>Bebidas</v>
      </c>
    </row>
    <row r="369" spans="1:15" ht="27.5" hidden="1" customHeight="1" x14ac:dyDescent="0.2">
      <c r="A369">
        <v>2026</v>
      </c>
      <c r="B369" t="s">
        <v>599</v>
      </c>
      <c r="C369" t="s">
        <v>609</v>
      </c>
      <c r="D369" s="19" t="s">
        <v>450</v>
      </c>
      <c r="E369" s="18" t="s">
        <v>565</v>
      </c>
      <c r="F369" s="18">
        <v>3</v>
      </c>
      <c r="G369" s="20">
        <v>4800</v>
      </c>
      <c r="H369" s="18">
        <v>0</v>
      </c>
      <c r="I369" s="20">
        <v>5622</v>
      </c>
      <c r="J369" s="8">
        <f t="shared" si="15"/>
        <v>-822</v>
      </c>
      <c r="K369" s="10">
        <f t="shared" si="16"/>
        <v>-0.17125000000000001</v>
      </c>
      <c r="L369" s="17">
        <f t="shared" si="17"/>
        <v>0</v>
      </c>
      <c r="M369" t="str">
        <f>VLOOKUP(D369,'Jer-Tip-Emp'!B:E,4,0)</f>
        <v>Bebidas</v>
      </c>
      <c r="N369" t="str">
        <f>VLOOKUP(D369,'Jer-Tip-Emp'!B:F,5,0)</f>
        <v>Bebidas Cambio de bebida</v>
      </c>
      <c r="O369" t="str">
        <f>VLOOKUP(D369,'Jer-Tip-Emp'!B:G,6,0)</f>
        <v>Bebidas</v>
      </c>
    </row>
    <row r="370" spans="1:15" ht="27.5" hidden="1" customHeight="1" x14ac:dyDescent="0.2">
      <c r="A370">
        <v>2026</v>
      </c>
      <c r="B370" t="s">
        <v>599</v>
      </c>
      <c r="C370" t="s">
        <v>609</v>
      </c>
      <c r="D370" s="19" t="s">
        <v>452</v>
      </c>
      <c r="E370" s="18" t="s">
        <v>573</v>
      </c>
      <c r="F370" s="18">
        <v>3</v>
      </c>
      <c r="G370" s="20">
        <v>4800</v>
      </c>
      <c r="H370" s="18">
        <v>0</v>
      </c>
      <c r="I370" s="20">
        <v>5622</v>
      </c>
      <c r="J370" s="8">
        <f t="shared" si="15"/>
        <v>-822</v>
      </c>
      <c r="K370" s="10">
        <f t="shared" si="16"/>
        <v>-0.17125000000000001</v>
      </c>
      <c r="L370" s="17">
        <f t="shared" si="17"/>
        <v>0</v>
      </c>
      <c r="M370" t="str">
        <f>VLOOKUP(D370,'Jer-Tip-Emp'!B:E,4,0)</f>
        <v>Bebidas</v>
      </c>
      <c r="N370" t="str">
        <f>VLOOKUP(D370,'Jer-Tip-Emp'!B:F,5,0)</f>
        <v>Bebidas Cambio de bebida</v>
      </c>
      <c r="O370" t="str">
        <f>VLOOKUP(D370,'Jer-Tip-Emp'!B:G,6,0)</f>
        <v>Bebidas</v>
      </c>
    </row>
    <row r="371" spans="1:15" ht="27.5" customHeight="1" x14ac:dyDescent="0.2">
      <c r="A371">
        <v>2026</v>
      </c>
      <c r="B371" t="s">
        <v>599</v>
      </c>
      <c r="C371" t="s">
        <v>609</v>
      </c>
      <c r="D371" s="19" t="s">
        <v>199</v>
      </c>
      <c r="E371" s="18" t="s">
        <v>115</v>
      </c>
      <c r="F371" s="18">
        <v>2</v>
      </c>
      <c r="G371" s="20">
        <v>23800</v>
      </c>
      <c r="H371" s="18">
        <v>0</v>
      </c>
      <c r="I371" s="18">
        <v>0</v>
      </c>
      <c r="J371" s="8">
        <f t="shared" si="15"/>
        <v>23800</v>
      </c>
      <c r="K371" s="10">
        <f t="shared" si="16"/>
        <v>1</v>
      </c>
      <c r="L371" s="17">
        <f t="shared" si="17"/>
        <v>0</v>
      </c>
      <c r="M371" t="str">
        <f>VLOOKUP(D371,'Jer-Tip-Emp'!B:E,4,0)</f>
        <v>Platos especiales</v>
      </c>
      <c r="N371" t="str">
        <f>VLOOKUP(D371,'Jer-Tip-Emp'!B:F,5,0)</f>
        <v>Personal</v>
      </c>
      <c r="O371" t="str">
        <f>VLOOKUP(D371,'Jer-Tip-Emp'!B:G,6,0)</f>
        <v>Platos especiales</v>
      </c>
    </row>
    <row r="372" spans="1:15" ht="27.5" customHeight="1" x14ac:dyDescent="0.2">
      <c r="A372">
        <v>2026</v>
      </c>
      <c r="B372" t="s">
        <v>599</v>
      </c>
      <c r="C372" t="s">
        <v>609</v>
      </c>
      <c r="D372" s="19" t="s">
        <v>279</v>
      </c>
      <c r="E372" s="18" t="s">
        <v>132</v>
      </c>
      <c r="F372" s="18">
        <v>2</v>
      </c>
      <c r="G372" s="20">
        <v>83800</v>
      </c>
      <c r="H372" s="18">
        <v>0</v>
      </c>
      <c r="I372" s="20">
        <v>22434</v>
      </c>
      <c r="J372" s="8">
        <f t="shared" si="15"/>
        <v>61366</v>
      </c>
      <c r="K372" s="10">
        <f t="shared" si="16"/>
        <v>0.73229116945107398</v>
      </c>
      <c r="L372" s="17">
        <f t="shared" si="17"/>
        <v>0</v>
      </c>
      <c r="M372" t="str">
        <f>VLOOKUP(D372,'Jer-Tip-Emp'!B:E,4,0)</f>
        <v>Platos mong</v>
      </c>
      <c r="N372" t="str">
        <f>VLOOKUP(D372,'Jer-Tip-Emp'!B:F,5,0)</f>
        <v>No Personal</v>
      </c>
      <c r="O372" t="str">
        <f>VLOOKUP(D372,'Jer-Tip-Emp'!B:G,6,0)</f>
        <v>Caja</v>
      </c>
    </row>
    <row r="373" spans="1:15" ht="27.5" customHeight="1" x14ac:dyDescent="0.2">
      <c r="A373">
        <v>2026</v>
      </c>
      <c r="B373" t="s">
        <v>599</v>
      </c>
      <c r="C373" t="s">
        <v>609</v>
      </c>
      <c r="D373" s="19" t="s">
        <v>293</v>
      </c>
      <c r="E373" s="18" t="s">
        <v>127</v>
      </c>
      <c r="F373" s="18">
        <v>2</v>
      </c>
      <c r="G373" s="20">
        <v>155800</v>
      </c>
      <c r="H373" s="18">
        <v>0</v>
      </c>
      <c r="I373" s="20">
        <v>56114</v>
      </c>
      <c r="J373" s="8">
        <f t="shared" si="15"/>
        <v>99686</v>
      </c>
      <c r="K373" s="10">
        <f t="shared" si="16"/>
        <v>0.63983311938382537</v>
      </c>
      <c r="L373" s="17">
        <f t="shared" si="17"/>
        <v>0</v>
      </c>
      <c r="M373" t="str">
        <f>VLOOKUP(D373,'Jer-Tip-Emp'!B:E,4,0)</f>
        <v>Platos mong</v>
      </c>
      <c r="N373" t="str">
        <f>VLOOKUP(D373,'Jer-Tip-Emp'!B:F,5,0)</f>
        <v>No Personal</v>
      </c>
      <c r="O373" t="str">
        <f>VLOOKUP(D373,'Jer-Tip-Emp'!B:G,6,0)</f>
        <v>Caja</v>
      </c>
    </row>
    <row r="374" spans="1:15" ht="27.5" hidden="1" customHeight="1" x14ac:dyDescent="0.2">
      <c r="A374">
        <v>2026</v>
      </c>
      <c r="B374" t="s">
        <v>599</v>
      </c>
      <c r="C374" t="s">
        <v>609</v>
      </c>
      <c r="D374" s="19" t="s">
        <v>463</v>
      </c>
      <c r="E374" s="18" t="s">
        <v>575</v>
      </c>
      <c r="F374" s="18">
        <v>2</v>
      </c>
      <c r="G374" s="20">
        <v>3200</v>
      </c>
      <c r="H374" s="18">
        <v>0</v>
      </c>
      <c r="I374" s="20">
        <v>1900</v>
      </c>
      <c r="J374" s="8">
        <f t="shared" si="15"/>
        <v>1300</v>
      </c>
      <c r="K374" s="10">
        <f t="shared" si="16"/>
        <v>0.40625</v>
      </c>
      <c r="L374" s="17">
        <f t="shared" si="17"/>
        <v>0</v>
      </c>
      <c r="M374" t="str">
        <f>VLOOKUP(D374,'Jer-Tip-Emp'!B:E,4,0)</f>
        <v>Bebidas</v>
      </c>
      <c r="N374" t="str">
        <f>VLOOKUP(D374,'Jer-Tip-Emp'!B:F,5,0)</f>
        <v>Bebidas Cambio de bebida</v>
      </c>
      <c r="O374" t="str">
        <f>VLOOKUP(D374,'Jer-Tip-Emp'!B:G,6,0)</f>
        <v>Bebidas</v>
      </c>
    </row>
    <row r="375" spans="1:15" ht="27.5" customHeight="1" x14ac:dyDescent="0.2">
      <c r="A375">
        <v>2026</v>
      </c>
      <c r="B375" t="s">
        <v>599</v>
      </c>
      <c r="C375" t="s">
        <v>609</v>
      </c>
      <c r="D375" s="19" t="s">
        <v>298</v>
      </c>
      <c r="E375" s="18" t="s">
        <v>153</v>
      </c>
      <c r="F375" s="18">
        <v>2</v>
      </c>
      <c r="G375" s="20">
        <v>41800</v>
      </c>
      <c r="H375" s="18">
        <v>0</v>
      </c>
      <c r="I375" s="20">
        <v>17042</v>
      </c>
      <c r="J375" s="8">
        <f t="shared" si="15"/>
        <v>24758</v>
      </c>
      <c r="K375" s="10">
        <f t="shared" si="16"/>
        <v>0.59229665071770332</v>
      </c>
      <c r="L375" s="17">
        <f t="shared" si="17"/>
        <v>0</v>
      </c>
      <c r="M375" t="str">
        <f>VLOOKUP(D375,'Jer-Tip-Emp'!B:E,4,0)</f>
        <v>Platos mong</v>
      </c>
      <c r="N375" t="str">
        <f>VLOOKUP(D375,'Jer-Tip-Emp'!B:F,5,0)</f>
        <v>Personal</v>
      </c>
      <c r="O375" t="str">
        <f>VLOOKUP(D375,'Jer-Tip-Emp'!B:G,6,0)</f>
        <v>Caja</v>
      </c>
    </row>
    <row r="376" spans="1:15" ht="27.5" customHeight="1" x14ac:dyDescent="0.2">
      <c r="A376">
        <v>2026</v>
      </c>
      <c r="B376" t="s">
        <v>599</v>
      </c>
      <c r="C376" t="s">
        <v>609</v>
      </c>
      <c r="D376" s="19" t="s">
        <v>260</v>
      </c>
      <c r="E376" s="18" t="s">
        <v>97</v>
      </c>
      <c r="F376" s="18">
        <v>2</v>
      </c>
      <c r="G376" s="20">
        <v>113800</v>
      </c>
      <c r="H376" s="18">
        <v>0</v>
      </c>
      <c r="I376" s="20">
        <v>41822</v>
      </c>
      <c r="J376" s="8">
        <f t="shared" si="15"/>
        <v>71978</v>
      </c>
      <c r="K376" s="10">
        <f t="shared" si="16"/>
        <v>0.63249560632688928</v>
      </c>
      <c r="L376" s="17">
        <f t="shared" si="17"/>
        <v>0</v>
      </c>
      <c r="M376" t="str">
        <f>VLOOKUP(D376,'Jer-Tip-Emp'!B:E,4,0)</f>
        <v>Platos mong</v>
      </c>
      <c r="N376" t="str">
        <f>VLOOKUP(D376,'Jer-Tip-Emp'!B:F,5,0)</f>
        <v>No Personal</v>
      </c>
      <c r="O376" t="str">
        <f>VLOOKUP(D376,'Jer-Tip-Emp'!B:G,6,0)</f>
        <v>Caja</v>
      </c>
    </row>
    <row r="377" spans="1:15" ht="27.5" hidden="1" customHeight="1" x14ac:dyDescent="0.2">
      <c r="A377">
        <v>2026</v>
      </c>
      <c r="B377" t="s">
        <v>599</v>
      </c>
      <c r="C377" t="s">
        <v>609</v>
      </c>
      <c r="D377" s="19" t="s">
        <v>492</v>
      </c>
      <c r="E377" s="18" t="s">
        <v>577</v>
      </c>
      <c r="F377" s="18">
        <v>2</v>
      </c>
      <c r="G377" s="20">
        <v>3200</v>
      </c>
      <c r="H377" s="18">
        <v>0</v>
      </c>
      <c r="I377" s="20">
        <v>3790</v>
      </c>
      <c r="J377" s="8">
        <f t="shared" si="15"/>
        <v>-590</v>
      </c>
      <c r="K377" s="10">
        <f t="shared" si="16"/>
        <v>-0.18437500000000001</v>
      </c>
      <c r="L377" s="17">
        <f t="shared" si="17"/>
        <v>0</v>
      </c>
      <c r="M377" t="str">
        <f>VLOOKUP(D377,'Jer-Tip-Emp'!B:E,4,0)</f>
        <v>Bebidas</v>
      </c>
      <c r="N377" t="str">
        <f>VLOOKUP(D377,'Jer-Tip-Emp'!B:F,5,0)</f>
        <v>Bebidas Cambio de bebida</v>
      </c>
      <c r="O377" t="str">
        <f>VLOOKUP(D377,'Jer-Tip-Emp'!B:G,6,0)</f>
        <v>Bebidas</v>
      </c>
    </row>
    <row r="378" spans="1:15" ht="27.5" customHeight="1" x14ac:dyDescent="0.2">
      <c r="A378">
        <v>2026</v>
      </c>
      <c r="B378" t="s">
        <v>599</v>
      </c>
      <c r="C378" t="s">
        <v>609</v>
      </c>
      <c r="D378" s="19" t="s">
        <v>240</v>
      </c>
      <c r="E378" s="18" t="s">
        <v>139</v>
      </c>
      <c r="F378" s="18">
        <v>2</v>
      </c>
      <c r="G378" s="20">
        <v>111800</v>
      </c>
      <c r="H378" s="18">
        <v>0</v>
      </c>
      <c r="I378" s="20">
        <v>48510</v>
      </c>
      <c r="J378" s="8">
        <f t="shared" si="15"/>
        <v>63290</v>
      </c>
      <c r="K378" s="10">
        <f t="shared" si="16"/>
        <v>0.5661001788908766</v>
      </c>
      <c r="L378" s="17">
        <f t="shared" si="17"/>
        <v>0</v>
      </c>
      <c r="M378" t="str">
        <f>VLOOKUP(D378,'Jer-Tip-Emp'!B:E,4,0)</f>
        <v>Platos mong</v>
      </c>
      <c r="N378" t="str">
        <f>VLOOKUP(D378,'Jer-Tip-Emp'!B:F,5,0)</f>
        <v>No Personal</v>
      </c>
      <c r="O378" t="str">
        <f>VLOOKUP(D378,'Jer-Tip-Emp'!B:G,6,0)</f>
        <v>Caja</v>
      </c>
    </row>
    <row r="379" spans="1:15" ht="27.5" customHeight="1" x14ac:dyDescent="0.2">
      <c r="A379">
        <v>2026</v>
      </c>
      <c r="B379" t="s">
        <v>599</v>
      </c>
      <c r="C379" t="s">
        <v>609</v>
      </c>
      <c r="D379" s="19" t="s">
        <v>226</v>
      </c>
      <c r="E379" s="18" t="s">
        <v>227</v>
      </c>
      <c r="F379" s="18">
        <v>2</v>
      </c>
      <c r="G379" s="20">
        <v>135800</v>
      </c>
      <c r="H379" s="18">
        <v>0</v>
      </c>
      <c r="I379" s="20">
        <v>42234</v>
      </c>
      <c r="J379" s="8">
        <f t="shared" si="15"/>
        <v>93566</v>
      </c>
      <c r="K379" s="10">
        <f t="shared" si="16"/>
        <v>0.6889985272459499</v>
      </c>
      <c r="L379" s="17">
        <f t="shared" si="17"/>
        <v>0</v>
      </c>
      <c r="M379" t="str">
        <f>VLOOKUP(D379,'Jer-Tip-Emp'!B:E,4,0)</f>
        <v>Platos mong</v>
      </c>
      <c r="N379" t="str">
        <f>VLOOKUP(D379,'Jer-Tip-Emp'!B:F,5,0)</f>
        <v>No Personal</v>
      </c>
      <c r="O379" t="str">
        <f>VLOOKUP(D379,'Jer-Tip-Emp'!B:G,6,0)</f>
        <v>Caja</v>
      </c>
    </row>
    <row r="380" spans="1:15" ht="27.5" customHeight="1" x14ac:dyDescent="0.2">
      <c r="A380">
        <v>2026</v>
      </c>
      <c r="B380" t="s">
        <v>599</v>
      </c>
      <c r="C380" t="s">
        <v>609</v>
      </c>
      <c r="D380" s="19" t="s">
        <v>201</v>
      </c>
      <c r="E380" s="18" t="s">
        <v>79</v>
      </c>
      <c r="F380" s="18">
        <v>2</v>
      </c>
      <c r="G380" s="20">
        <v>43800</v>
      </c>
      <c r="H380" s="18">
        <v>0</v>
      </c>
      <c r="I380" s="18">
        <v>0</v>
      </c>
      <c r="J380" s="8">
        <f t="shared" si="15"/>
        <v>43800</v>
      </c>
      <c r="K380" s="10">
        <f t="shared" si="16"/>
        <v>1</v>
      </c>
      <c r="L380" s="17">
        <f t="shared" si="17"/>
        <v>0</v>
      </c>
      <c r="M380" t="str">
        <f>VLOOKUP(D380,'Jer-Tip-Emp'!B:E,4,0)</f>
        <v>Bowl</v>
      </c>
      <c r="N380" t="str">
        <f>VLOOKUP(D380,'Jer-Tip-Emp'!B:F,5,0)</f>
        <v>Personal</v>
      </c>
      <c r="O380" t="str">
        <f>VLOOKUP(D380,'Jer-Tip-Emp'!B:G,6,0)</f>
        <v>Bowl</v>
      </c>
    </row>
    <row r="381" spans="1:15" ht="27.5" customHeight="1" x14ac:dyDescent="0.2">
      <c r="A381">
        <v>2026</v>
      </c>
      <c r="B381" t="s">
        <v>599</v>
      </c>
      <c r="C381" t="s">
        <v>609</v>
      </c>
      <c r="D381" s="19" t="s">
        <v>178</v>
      </c>
      <c r="E381" s="18" t="s">
        <v>145</v>
      </c>
      <c r="F381" s="18">
        <v>1</v>
      </c>
      <c r="G381" s="20">
        <v>113900</v>
      </c>
      <c r="H381" s="18">
        <v>0</v>
      </c>
      <c r="I381" s="20">
        <v>48608</v>
      </c>
      <c r="J381" s="8">
        <f t="shared" si="15"/>
        <v>65292</v>
      </c>
      <c r="K381" s="10">
        <f t="shared" si="16"/>
        <v>0.57323968393327485</v>
      </c>
      <c r="L381" s="17">
        <f t="shared" si="17"/>
        <v>0</v>
      </c>
      <c r="M381" t="str">
        <f>VLOOKUP(D381,'Jer-Tip-Emp'!B:E,4,0)</f>
        <v>Platos mong</v>
      </c>
      <c r="N381" t="str">
        <f>VLOOKUP(D381,'Jer-Tip-Emp'!B:F,5,0)</f>
        <v>No Personal</v>
      </c>
      <c r="O381" t="str">
        <f>VLOOKUP(D381,'Jer-Tip-Emp'!B:G,6,0)</f>
        <v>Caja</v>
      </c>
    </row>
    <row r="382" spans="1:15" ht="27.5" hidden="1" customHeight="1" x14ac:dyDescent="0.2">
      <c r="A382">
        <v>2026</v>
      </c>
      <c r="B382" t="s">
        <v>599</v>
      </c>
      <c r="C382" t="s">
        <v>609</v>
      </c>
      <c r="D382" s="19" t="s">
        <v>243</v>
      </c>
      <c r="E382" s="18" t="s">
        <v>14</v>
      </c>
      <c r="F382" s="18">
        <v>1</v>
      </c>
      <c r="G382" s="20">
        <v>1000</v>
      </c>
      <c r="H382" s="18">
        <v>0</v>
      </c>
      <c r="I382" s="18">
        <v>0</v>
      </c>
      <c r="J382" s="8">
        <f t="shared" si="15"/>
        <v>1000</v>
      </c>
      <c r="K382" s="10">
        <f t="shared" si="16"/>
        <v>1</v>
      </c>
      <c r="L382" s="17">
        <f t="shared" si="17"/>
        <v>0</v>
      </c>
      <c r="M382" t="str">
        <f>VLOOKUP(D382,'Jer-Tip-Emp'!B:E,4,0)</f>
        <v>Adición</v>
      </c>
      <c r="N382" t="str">
        <f>VLOOKUP(D382,'Jer-Tip-Emp'!B:F,5,0)</f>
        <v>Adición</v>
      </c>
      <c r="O382" t="str">
        <f>VLOOKUP(D382,'Jer-Tip-Emp'!B:G,6,0)</f>
        <v>Adición</v>
      </c>
    </row>
    <row r="383" spans="1:15" ht="27.5" customHeight="1" x14ac:dyDescent="0.2">
      <c r="A383">
        <v>2026</v>
      </c>
      <c r="B383" t="s">
        <v>599</v>
      </c>
      <c r="C383" t="s">
        <v>609</v>
      </c>
      <c r="D383" s="19" t="s">
        <v>271</v>
      </c>
      <c r="E383" s="18" t="s">
        <v>272</v>
      </c>
      <c r="F383" s="18">
        <v>1</v>
      </c>
      <c r="G383" s="20">
        <v>21900</v>
      </c>
      <c r="H383" s="18">
        <v>0</v>
      </c>
      <c r="I383" s="18">
        <v>0</v>
      </c>
      <c r="J383" s="8">
        <f t="shared" si="15"/>
        <v>21900</v>
      </c>
      <c r="K383" s="10">
        <f t="shared" si="16"/>
        <v>1</v>
      </c>
      <c r="L383" s="17">
        <f t="shared" si="17"/>
        <v>0</v>
      </c>
      <c r="M383" t="str">
        <f>VLOOKUP(D383,'Jer-Tip-Emp'!B:E,4,0)</f>
        <v>Bowl</v>
      </c>
      <c r="N383" t="str">
        <f>VLOOKUP(D383,'Jer-Tip-Emp'!B:F,5,0)</f>
        <v>Personal</v>
      </c>
      <c r="O383" t="str">
        <f>VLOOKUP(D383,'Jer-Tip-Emp'!B:G,6,0)</f>
        <v>Bowl</v>
      </c>
    </row>
    <row r="384" spans="1:15" ht="27.5" hidden="1" customHeight="1" x14ac:dyDescent="0.2">
      <c r="A384">
        <v>2026</v>
      </c>
      <c r="B384" t="s">
        <v>599</v>
      </c>
      <c r="C384" t="s">
        <v>609</v>
      </c>
      <c r="D384" s="19" t="s">
        <v>496</v>
      </c>
      <c r="E384" s="18" t="s">
        <v>581</v>
      </c>
      <c r="F384" s="18">
        <v>1</v>
      </c>
      <c r="G384" s="20">
        <v>1600</v>
      </c>
      <c r="H384" s="18">
        <v>0</v>
      </c>
      <c r="I384" s="20">
        <v>1896</v>
      </c>
      <c r="J384" s="8">
        <f t="shared" si="15"/>
        <v>-296</v>
      </c>
      <c r="K384" s="10">
        <f t="shared" si="16"/>
        <v>-0.185</v>
      </c>
      <c r="L384" s="17">
        <f t="shared" si="17"/>
        <v>0</v>
      </c>
      <c r="M384" t="str">
        <f>VLOOKUP(D384,'Jer-Tip-Emp'!B:E,4,0)</f>
        <v>Bebidas</v>
      </c>
      <c r="N384" t="str">
        <f>VLOOKUP(D384,'Jer-Tip-Emp'!B:F,5,0)</f>
        <v>Bebidas Cambio de bebida</v>
      </c>
      <c r="O384" t="str">
        <f>VLOOKUP(D384,'Jer-Tip-Emp'!B:G,6,0)</f>
        <v>Bebidas</v>
      </c>
    </row>
    <row r="385" spans="1:15" ht="27.5" hidden="1" customHeight="1" x14ac:dyDescent="0.2">
      <c r="A385">
        <v>2026</v>
      </c>
      <c r="B385" t="s">
        <v>599</v>
      </c>
      <c r="C385" t="s">
        <v>609</v>
      </c>
      <c r="D385" s="19" t="s">
        <v>445</v>
      </c>
      <c r="E385" s="18" t="s">
        <v>570</v>
      </c>
      <c r="F385" s="18">
        <v>1</v>
      </c>
      <c r="G385" s="20">
        <v>1600</v>
      </c>
      <c r="H385" s="18">
        <v>0</v>
      </c>
      <c r="I385" s="20">
        <v>1711</v>
      </c>
      <c r="J385" s="8">
        <f t="shared" si="15"/>
        <v>-111</v>
      </c>
      <c r="K385" s="10">
        <f t="shared" si="16"/>
        <v>-6.9375000000000006E-2</v>
      </c>
      <c r="L385" s="17">
        <f t="shared" si="17"/>
        <v>0</v>
      </c>
      <c r="M385" t="str">
        <f>VLOOKUP(D385,'Jer-Tip-Emp'!B:E,4,0)</f>
        <v>Bebidas</v>
      </c>
      <c r="N385" t="str">
        <f>VLOOKUP(D385,'Jer-Tip-Emp'!B:F,5,0)</f>
        <v>Bebidas Cambio de bebida</v>
      </c>
      <c r="O385" t="str">
        <f>VLOOKUP(D385,'Jer-Tip-Emp'!B:G,6,0)</f>
        <v>Bebidas</v>
      </c>
    </row>
    <row r="386" spans="1:15" ht="27.5" hidden="1" customHeight="1" x14ac:dyDescent="0.2">
      <c r="A386">
        <v>2026</v>
      </c>
      <c r="B386" t="s">
        <v>599</v>
      </c>
      <c r="C386" t="s">
        <v>609</v>
      </c>
      <c r="D386" s="19" t="s">
        <v>319</v>
      </c>
      <c r="E386" s="18" t="s">
        <v>583</v>
      </c>
      <c r="F386" s="18">
        <v>1</v>
      </c>
      <c r="G386" s="18">
        <v>0</v>
      </c>
      <c r="H386" s="18">
        <v>0</v>
      </c>
      <c r="I386" s="18">
        <v>45</v>
      </c>
      <c r="J386" s="8">
        <f t="shared" ref="J386:J449" si="18">G386-I386</f>
        <v>-45</v>
      </c>
      <c r="K386" s="10">
        <f t="shared" ref="K386:K449" si="19">IFERROR(J386/G386,0)</f>
        <v>0</v>
      </c>
      <c r="L386" s="17">
        <f t="shared" ref="L386:L449" si="20">IFERROR((H386/G386)*-1,0)</f>
        <v>0</v>
      </c>
      <c r="M386" t="str">
        <f>VLOOKUP(D386,'Jer-Tip-Emp'!B:E,4,0)</f>
        <v>Extras</v>
      </c>
      <c r="N386" t="str">
        <f>VLOOKUP(D386,'Jer-Tip-Emp'!B:F,5,0)</f>
        <v>Otro</v>
      </c>
      <c r="O386" t="str">
        <f>VLOOKUP(D386,'Jer-Tip-Emp'!B:G,6,0)</f>
        <v>Otro</v>
      </c>
    </row>
    <row r="387" spans="1:15" ht="27.5" hidden="1" customHeight="1" x14ac:dyDescent="0.2">
      <c r="A387">
        <v>2026</v>
      </c>
      <c r="B387" t="s">
        <v>599</v>
      </c>
      <c r="C387" t="s">
        <v>609</v>
      </c>
      <c r="D387" s="19" t="s">
        <v>465</v>
      </c>
      <c r="E387" s="18" t="s">
        <v>578</v>
      </c>
      <c r="F387" s="18">
        <v>1</v>
      </c>
      <c r="G387" s="20">
        <v>2300</v>
      </c>
      <c r="H387" s="18">
        <v>0</v>
      </c>
      <c r="I387" s="20">
        <v>2239</v>
      </c>
      <c r="J387" s="8">
        <f t="shared" si="18"/>
        <v>61</v>
      </c>
      <c r="K387" s="10">
        <f t="shared" si="19"/>
        <v>2.6521739130434784E-2</v>
      </c>
      <c r="L387" s="17">
        <f t="shared" si="20"/>
        <v>0</v>
      </c>
      <c r="M387" t="str">
        <f>VLOOKUP(D387,'Jer-Tip-Emp'!B:E,4,0)</f>
        <v>Bebidas</v>
      </c>
      <c r="N387" t="str">
        <f>VLOOKUP(D387,'Jer-Tip-Emp'!B:F,5,0)</f>
        <v>Bebidas Cambio de bebida</v>
      </c>
      <c r="O387" t="str">
        <f>VLOOKUP(D387,'Jer-Tip-Emp'!B:G,6,0)</f>
        <v>Bebidas</v>
      </c>
    </row>
    <row r="388" spans="1:15" ht="27.5" customHeight="1" x14ac:dyDescent="0.2">
      <c r="A388">
        <v>2026</v>
      </c>
      <c r="B388" t="s">
        <v>599</v>
      </c>
      <c r="C388" t="s">
        <v>609</v>
      </c>
      <c r="D388" s="19" t="s">
        <v>203</v>
      </c>
      <c r="E388" s="18" t="s">
        <v>125</v>
      </c>
      <c r="F388" s="18">
        <v>1</v>
      </c>
      <c r="G388" s="20">
        <v>55900</v>
      </c>
      <c r="H388" s="18">
        <v>0</v>
      </c>
      <c r="I388" s="20">
        <v>17732</v>
      </c>
      <c r="J388" s="8">
        <f t="shared" si="18"/>
        <v>38168</v>
      </c>
      <c r="K388" s="10">
        <f t="shared" si="19"/>
        <v>0.68279069767441858</v>
      </c>
      <c r="L388" s="17">
        <f t="shared" si="20"/>
        <v>0</v>
      </c>
      <c r="M388" t="str">
        <f>VLOOKUP(D388,'Jer-Tip-Emp'!B:E,4,0)</f>
        <v>Platos mong</v>
      </c>
      <c r="N388" t="str">
        <f>VLOOKUP(D388,'Jer-Tip-Emp'!B:F,5,0)</f>
        <v>No Personal</v>
      </c>
      <c r="O388" t="str">
        <f>VLOOKUP(D388,'Jer-Tip-Emp'!B:G,6,0)</f>
        <v>Caja</v>
      </c>
    </row>
    <row r="389" spans="1:15" ht="27.5" customHeight="1" x14ac:dyDescent="0.2">
      <c r="A389">
        <v>2025</v>
      </c>
      <c r="B389" t="s">
        <v>598</v>
      </c>
      <c r="C389" t="s">
        <v>609</v>
      </c>
      <c r="D389" s="19" t="s">
        <v>207</v>
      </c>
      <c r="E389" s="18" t="s">
        <v>92</v>
      </c>
      <c r="F389" s="18">
        <v>295</v>
      </c>
      <c r="G389" s="20">
        <v>7036427</v>
      </c>
      <c r="H389" s="20">
        <v>-14073</v>
      </c>
      <c r="I389" s="20">
        <v>2839965</v>
      </c>
      <c r="J389" s="8">
        <f t="shared" si="18"/>
        <v>4196462</v>
      </c>
      <c r="K389" s="10">
        <f t="shared" si="19"/>
        <v>0.59639103766727064</v>
      </c>
      <c r="L389" s="17">
        <f t="shared" si="20"/>
        <v>2.0000207491671553E-3</v>
      </c>
      <c r="M389" t="str">
        <f>VLOOKUP(D389,'Jer-Tip-Emp'!B:E,4,0)</f>
        <v>Combos personales</v>
      </c>
      <c r="N389" t="str">
        <f>VLOOKUP(D389,'Jer-Tip-Emp'!B:F,5,0)</f>
        <v>Personal</v>
      </c>
      <c r="O389" t="str">
        <f>VLOOKUP(D389,'Jer-Tip-Emp'!B:G,6,0)</f>
        <v>Combo</v>
      </c>
    </row>
    <row r="390" spans="1:15" ht="27.5" customHeight="1" x14ac:dyDescent="0.2">
      <c r="A390">
        <v>2025</v>
      </c>
      <c r="B390" t="s">
        <v>598</v>
      </c>
      <c r="C390" t="s">
        <v>609</v>
      </c>
      <c r="D390" s="19" t="s">
        <v>273</v>
      </c>
      <c r="E390" s="18" t="s">
        <v>23</v>
      </c>
      <c r="F390" s="18">
        <v>266</v>
      </c>
      <c r="G390" s="20">
        <v>6601304</v>
      </c>
      <c r="H390" s="20">
        <v>-22096</v>
      </c>
      <c r="I390" s="18">
        <v>0</v>
      </c>
      <c r="J390" s="8">
        <f t="shared" si="18"/>
        <v>6601304</v>
      </c>
      <c r="K390" s="10">
        <f t="shared" si="19"/>
        <v>1</v>
      </c>
      <c r="L390" s="17">
        <f t="shared" si="20"/>
        <v>3.347217458853584E-3</v>
      </c>
      <c r="M390" t="str">
        <f>VLOOKUP(D390,'Jer-Tip-Emp'!B:E,4,0)</f>
        <v>Arma tu plato</v>
      </c>
      <c r="N390" t="str">
        <f>VLOOKUP(D390,'Jer-Tip-Emp'!B:F,5,0)</f>
        <v>Personal</v>
      </c>
      <c r="O390" t="str">
        <f>VLOOKUP(D390,'Jer-Tip-Emp'!B:G,6,0)</f>
        <v>Caja</v>
      </c>
    </row>
    <row r="391" spans="1:15" ht="27.5" customHeight="1" x14ac:dyDescent="0.2">
      <c r="A391">
        <v>2025</v>
      </c>
      <c r="B391" t="s">
        <v>598</v>
      </c>
      <c r="C391" t="s">
        <v>609</v>
      </c>
      <c r="D391" s="19" t="s">
        <v>313</v>
      </c>
      <c r="E391" s="18" t="s">
        <v>540</v>
      </c>
      <c r="F391" s="18">
        <v>175</v>
      </c>
      <c r="G391" s="18">
        <v>0</v>
      </c>
      <c r="H391" s="18">
        <v>0</v>
      </c>
      <c r="I391" s="20">
        <v>960925</v>
      </c>
      <c r="J391" s="8">
        <f t="shared" si="18"/>
        <v>-960925</v>
      </c>
      <c r="K391" s="10">
        <f t="shared" si="19"/>
        <v>0</v>
      </c>
      <c r="L391" s="17">
        <f t="shared" si="20"/>
        <v>0</v>
      </c>
      <c r="M391" t="str">
        <f>VLOOKUP(D391,'Jer-Tip-Emp'!B:E,4,0)</f>
        <v>Arma tu plato</v>
      </c>
      <c r="N391" t="str">
        <f>VLOOKUP(D391,'Jer-Tip-Emp'!B:F,5,0)</f>
        <v>Personal</v>
      </c>
      <c r="O391" t="str">
        <f>VLOOKUP(D391,'Jer-Tip-Emp'!B:G,6,0)</f>
        <v>Caja</v>
      </c>
    </row>
    <row r="392" spans="1:15" ht="27.5" hidden="1" customHeight="1" x14ac:dyDescent="0.2">
      <c r="A392">
        <v>2025</v>
      </c>
      <c r="B392" t="s">
        <v>598</v>
      </c>
      <c r="C392" t="s">
        <v>609</v>
      </c>
      <c r="D392" s="19" t="s">
        <v>284</v>
      </c>
      <c r="E392" s="18" t="s">
        <v>106</v>
      </c>
      <c r="F392" s="18">
        <v>121</v>
      </c>
      <c r="G392" s="20">
        <v>1070335</v>
      </c>
      <c r="H392" s="20">
        <v>-6565</v>
      </c>
      <c r="I392" s="20">
        <v>379819</v>
      </c>
      <c r="J392" s="8">
        <f t="shared" si="18"/>
        <v>690516</v>
      </c>
      <c r="K392" s="10">
        <f t="shared" si="19"/>
        <v>0.64514007296780917</v>
      </c>
      <c r="L392" s="17">
        <f t="shared" si="20"/>
        <v>6.1335936879575084E-3</v>
      </c>
      <c r="M392" t="str">
        <f>VLOOKUP(D392,'Jer-Tip-Emp'!B:E,4,0)</f>
        <v>Entradas</v>
      </c>
      <c r="N392" t="str">
        <f>VLOOKUP(D392,'Jer-Tip-Emp'!B:F,5,0)</f>
        <v>Otro</v>
      </c>
      <c r="O392" t="str">
        <f>VLOOKUP(D392,'Jer-Tip-Emp'!B:G,6,0)</f>
        <v>Otro</v>
      </c>
    </row>
    <row r="393" spans="1:15" ht="27.5" customHeight="1" x14ac:dyDescent="0.2">
      <c r="A393">
        <v>2025</v>
      </c>
      <c r="B393" t="s">
        <v>598</v>
      </c>
      <c r="C393" t="s">
        <v>609</v>
      </c>
      <c r="D393" s="19" t="s">
        <v>389</v>
      </c>
      <c r="E393" s="18" t="s">
        <v>541</v>
      </c>
      <c r="F393" s="18">
        <v>113</v>
      </c>
      <c r="G393" s="18">
        <v>0</v>
      </c>
      <c r="H393" s="18">
        <v>0</v>
      </c>
      <c r="I393" s="20">
        <v>617771</v>
      </c>
      <c r="J393" s="8">
        <f t="shared" si="18"/>
        <v>-617771</v>
      </c>
      <c r="K393" s="10">
        <f t="shared" si="19"/>
        <v>0</v>
      </c>
      <c r="L393" s="17">
        <f t="shared" si="20"/>
        <v>0</v>
      </c>
      <c r="M393" t="str">
        <f>VLOOKUP(D393,'Jer-Tip-Emp'!B:E,4,0)</f>
        <v>Arma tu plato</v>
      </c>
      <c r="N393" t="str">
        <f>VLOOKUP(D393,'Jer-Tip-Emp'!B:F,5,0)</f>
        <v>Personal</v>
      </c>
      <c r="O393" t="str">
        <f>VLOOKUP(D393,'Jer-Tip-Emp'!B:G,6,0)</f>
        <v>Caja</v>
      </c>
    </row>
    <row r="394" spans="1:15" ht="27.5" hidden="1" customHeight="1" x14ac:dyDescent="0.2">
      <c r="A394">
        <v>2025</v>
      </c>
      <c r="B394" t="s">
        <v>598</v>
      </c>
      <c r="C394" t="s">
        <v>609</v>
      </c>
      <c r="D394" s="19" t="s">
        <v>500</v>
      </c>
      <c r="E394" s="18" t="s">
        <v>546</v>
      </c>
      <c r="F394" s="18">
        <v>94</v>
      </c>
      <c r="G394" s="18">
        <v>0</v>
      </c>
      <c r="H394" s="18">
        <v>0</v>
      </c>
      <c r="I394" s="20">
        <v>81592</v>
      </c>
      <c r="J394" s="8">
        <f t="shared" si="18"/>
        <v>-81592</v>
      </c>
      <c r="K394" s="10">
        <f t="shared" si="19"/>
        <v>0</v>
      </c>
      <c r="L394" s="17">
        <f t="shared" si="20"/>
        <v>0</v>
      </c>
      <c r="M394" t="str">
        <f>VLOOKUP(D394,'Jer-Tip-Emp'!B:E,4,0)</f>
        <v>Bebidas</v>
      </c>
      <c r="N394" t="str">
        <f>VLOOKUP(D394,'Jer-Tip-Emp'!B:F,5,0)</f>
        <v>Bebidas Cambio de bebida</v>
      </c>
      <c r="O394" t="str">
        <f>VLOOKUP(D394,'Jer-Tip-Emp'!B:G,6,0)</f>
        <v>Bebidas</v>
      </c>
    </row>
    <row r="395" spans="1:15" ht="27.5" customHeight="1" x14ac:dyDescent="0.2">
      <c r="A395">
        <v>2025</v>
      </c>
      <c r="B395" t="s">
        <v>598</v>
      </c>
      <c r="C395" t="s">
        <v>609</v>
      </c>
      <c r="D395" s="19" t="s">
        <v>186</v>
      </c>
      <c r="E395" s="18" t="s">
        <v>95</v>
      </c>
      <c r="F395" s="18">
        <v>93</v>
      </c>
      <c r="G395" s="20">
        <v>2687700</v>
      </c>
      <c r="H395" s="18">
        <v>0</v>
      </c>
      <c r="I395" s="20">
        <v>890010</v>
      </c>
      <c r="J395" s="8">
        <f t="shared" si="18"/>
        <v>1797690</v>
      </c>
      <c r="K395" s="10">
        <f t="shared" si="19"/>
        <v>0.66885813148788931</v>
      </c>
      <c r="L395" s="17">
        <f t="shared" si="20"/>
        <v>0</v>
      </c>
      <c r="M395" t="str">
        <f>VLOOKUP(D395,'Jer-Tip-Emp'!B:E,4,0)</f>
        <v>Combos personales</v>
      </c>
      <c r="N395" t="str">
        <f>VLOOKUP(D395,'Jer-Tip-Emp'!B:F,5,0)</f>
        <v>Personal</v>
      </c>
      <c r="O395" t="str">
        <f>VLOOKUP(D395,'Jer-Tip-Emp'!B:G,6,0)</f>
        <v>Combo</v>
      </c>
    </row>
    <row r="396" spans="1:15" ht="27.5" hidden="1" customHeight="1" x14ac:dyDescent="0.2">
      <c r="A396">
        <v>2025</v>
      </c>
      <c r="B396" t="s">
        <v>598</v>
      </c>
      <c r="C396" t="s">
        <v>609</v>
      </c>
      <c r="D396" s="19" t="s">
        <v>310</v>
      </c>
      <c r="E396" s="18" t="s">
        <v>53</v>
      </c>
      <c r="F396" s="18">
        <v>89</v>
      </c>
      <c r="G396" s="20">
        <v>522031</v>
      </c>
      <c r="H396" s="20">
        <v>-3069</v>
      </c>
      <c r="I396" s="20">
        <v>150855</v>
      </c>
      <c r="J396" s="8">
        <f t="shared" si="18"/>
        <v>371176</v>
      </c>
      <c r="K396" s="10">
        <f t="shared" si="19"/>
        <v>0.71102290860121331</v>
      </c>
      <c r="L396" s="17">
        <f t="shared" si="20"/>
        <v>5.8789612111158152E-3</v>
      </c>
      <c r="M396" t="str">
        <f>VLOOKUP(D396,'Jer-Tip-Emp'!B:E,4,0)</f>
        <v>Bebidas</v>
      </c>
      <c r="N396" t="str">
        <f>VLOOKUP(D396,'Jer-Tip-Emp'!B:F,5,0)</f>
        <v>Bebidas</v>
      </c>
      <c r="O396" t="str">
        <f>VLOOKUP(D396,'Jer-Tip-Emp'!B:G,6,0)</f>
        <v>Bebidas</v>
      </c>
    </row>
    <row r="397" spans="1:15" ht="27.5" customHeight="1" x14ac:dyDescent="0.2">
      <c r="A397">
        <v>2025</v>
      </c>
      <c r="B397" t="s">
        <v>598</v>
      </c>
      <c r="C397" t="s">
        <v>609</v>
      </c>
      <c r="D397" s="19" t="s">
        <v>333</v>
      </c>
      <c r="E397" s="18" t="s">
        <v>547</v>
      </c>
      <c r="F397" s="18">
        <v>88</v>
      </c>
      <c r="G397" s="18">
        <v>0</v>
      </c>
      <c r="H397" s="18">
        <v>0</v>
      </c>
      <c r="I397" s="20">
        <v>292336</v>
      </c>
      <c r="J397" s="8">
        <f t="shared" si="18"/>
        <v>-292336</v>
      </c>
      <c r="K397" s="10">
        <f t="shared" si="19"/>
        <v>0</v>
      </c>
      <c r="L397" s="17">
        <f t="shared" si="20"/>
        <v>0</v>
      </c>
      <c r="M397" t="str">
        <f>VLOOKUP(D397,'Jer-Tip-Emp'!B:E,4,0)</f>
        <v>Arma tu plato</v>
      </c>
      <c r="N397" t="str">
        <f>VLOOKUP(D397,'Jer-Tip-Emp'!B:F,5,0)</f>
        <v>Personal</v>
      </c>
      <c r="O397" t="str">
        <f>VLOOKUP(D397,'Jer-Tip-Emp'!B:G,6,0)</f>
        <v>Caja</v>
      </c>
    </row>
    <row r="398" spans="1:15" ht="27.5" customHeight="1" x14ac:dyDescent="0.2">
      <c r="A398">
        <v>2025</v>
      </c>
      <c r="B398" t="s">
        <v>598</v>
      </c>
      <c r="C398" t="s">
        <v>609</v>
      </c>
      <c r="D398" s="19" t="s">
        <v>196</v>
      </c>
      <c r="E398" s="18" t="s">
        <v>159</v>
      </c>
      <c r="F398" s="18">
        <v>88</v>
      </c>
      <c r="G398" s="20">
        <v>2276700</v>
      </c>
      <c r="H398" s="20">
        <v>-2500</v>
      </c>
      <c r="I398" s="20">
        <v>836088</v>
      </c>
      <c r="J398" s="8">
        <f t="shared" si="18"/>
        <v>1440612</v>
      </c>
      <c r="K398" s="10">
        <f t="shared" si="19"/>
        <v>0.63276320990907897</v>
      </c>
      <c r="L398" s="17">
        <f t="shared" si="20"/>
        <v>1.0980805551895287E-3</v>
      </c>
      <c r="M398" t="str">
        <f>VLOOKUP(D398,'Jer-Tip-Emp'!B:E,4,0)</f>
        <v>Combos personales</v>
      </c>
      <c r="N398" t="str">
        <f>VLOOKUP(D398,'Jer-Tip-Emp'!B:F,5,0)</f>
        <v>Personal</v>
      </c>
      <c r="O398" t="str">
        <f>VLOOKUP(D398,'Jer-Tip-Emp'!B:G,6,0)</f>
        <v>Combo</v>
      </c>
    </row>
    <row r="399" spans="1:15" ht="27.5" customHeight="1" x14ac:dyDescent="0.2">
      <c r="A399">
        <v>2025</v>
      </c>
      <c r="B399" t="s">
        <v>598</v>
      </c>
      <c r="C399" t="s">
        <v>609</v>
      </c>
      <c r="D399" s="19" t="s">
        <v>322</v>
      </c>
      <c r="E399" s="18" t="s">
        <v>545</v>
      </c>
      <c r="F399" s="18">
        <v>84</v>
      </c>
      <c r="G399" s="20">
        <v>167404</v>
      </c>
      <c r="H399" s="18">
        <v>-596</v>
      </c>
      <c r="I399" s="20">
        <v>261072</v>
      </c>
      <c r="J399" s="8">
        <f t="shared" si="18"/>
        <v>-93668</v>
      </c>
      <c r="K399" s="10">
        <f t="shared" si="19"/>
        <v>-0.55953262765525313</v>
      </c>
      <c r="L399" s="17">
        <f t="shared" si="20"/>
        <v>3.560249456404865E-3</v>
      </c>
      <c r="M399" t="str">
        <f>VLOOKUP(D399,'Jer-Tip-Emp'!B:E,4,0)</f>
        <v>Arma tu plato</v>
      </c>
      <c r="N399" t="str">
        <f>VLOOKUP(D399,'Jer-Tip-Emp'!B:F,5,0)</f>
        <v>Personal</v>
      </c>
      <c r="O399" t="str">
        <f>VLOOKUP(D399,'Jer-Tip-Emp'!B:G,6,0)</f>
        <v>Caja</v>
      </c>
    </row>
    <row r="400" spans="1:15" ht="27.5" customHeight="1" x14ac:dyDescent="0.2">
      <c r="A400">
        <v>2025</v>
      </c>
      <c r="B400" t="s">
        <v>598</v>
      </c>
      <c r="C400" t="s">
        <v>609</v>
      </c>
      <c r="D400" s="19" t="s">
        <v>212</v>
      </c>
      <c r="E400" s="18" t="s">
        <v>160</v>
      </c>
      <c r="F400" s="18">
        <v>81</v>
      </c>
      <c r="G400" s="20">
        <v>2338036</v>
      </c>
      <c r="H400" s="20">
        <v>-2864</v>
      </c>
      <c r="I400" s="20">
        <v>911493</v>
      </c>
      <c r="J400" s="8">
        <f t="shared" si="18"/>
        <v>1426543</v>
      </c>
      <c r="K400" s="10">
        <f t="shared" si="19"/>
        <v>0.61014586601746079</v>
      </c>
      <c r="L400" s="17">
        <f t="shared" si="20"/>
        <v>1.2249597525444433E-3</v>
      </c>
      <c r="M400" t="str">
        <f>VLOOKUP(D400,'Jer-Tip-Emp'!B:E,4,0)</f>
        <v>Combos personales</v>
      </c>
      <c r="N400" t="str">
        <f>VLOOKUP(D400,'Jer-Tip-Emp'!B:F,5,0)</f>
        <v>Personal</v>
      </c>
      <c r="O400" t="str">
        <f>VLOOKUP(D400,'Jer-Tip-Emp'!B:G,6,0)</f>
        <v>Combo</v>
      </c>
    </row>
    <row r="401" spans="1:15" ht="27.5" customHeight="1" x14ac:dyDescent="0.2">
      <c r="A401">
        <v>2025</v>
      </c>
      <c r="B401" t="s">
        <v>598</v>
      </c>
      <c r="C401" t="s">
        <v>609</v>
      </c>
      <c r="D401" s="19" t="s">
        <v>376</v>
      </c>
      <c r="E401" s="18" t="s">
        <v>543</v>
      </c>
      <c r="F401" s="18">
        <v>79</v>
      </c>
      <c r="G401" s="18">
        <v>0</v>
      </c>
      <c r="H401" s="18">
        <v>0</v>
      </c>
      <c r="I401" s="20">
        <v>101278</v>
      </c>
      <c r="J401" s="8">
        <f t="shared" si="18"/>
        <v>-101278</v>
      </c>
      <c r="K401" s="10">
        <f t="shared" si="19"/>
        <v>0</v>
      </c>
      <c r="L401" s="17">
        <f t="shared" si="20"/>
        <v>0</v>
      </c>
      <c r="M401" t="str">
        <f>VLOOKUP(D401,'Jer-Tip-Emp'!B:E,4,0)</f>
        <v>Arma tu plato</v>
      </c>
      <c r="N401" t="str">
        <f>VLOOKUP(D401,'Jer-Tip-Emp'!B:F,5,0)</f>
        <v>Personal</v>
      </c>
      <c r="O401" t="str">
        <f>VLOOKUP(D401,'Jer-Tip-Emp'!B:G,6,0)</f>
        <v>Caja</v>
      </c>
    </row>
    <row r="402" spans="1:15" ht="27.5" customHeight="1" x14ac:dyDescent="0.2">
      <c r="A402">
        <v>2025</v>
      </c>
      <c r="B402" t="s">
        <v>598</v>
      </c>
      <c r="C402" t="s">
        <v>609</v>
      </c>
      <c r="D402" s="19" t="s">
        <v>223</v>
      </c>
      <c r="E402" s="18" t="s">
        <v>116</v>
      </c>
      <c r="F402" s="18">
        <v>75</v>
      </c>
      <c r="G402" s="20">
        <v>2015698</v>
      </c>
      <c r="H402" s="20">
        <v>-1802</v>
      </c>
      <c r="I402" s="20">
        <v>1022850</v>
      </c>
      <c r="J402" s="8">
        <f t="shared" si="18"/>
        <v>992848</v>
      </c>
      <c r="K402" s="10">
        <f t="shared" si="19"/>
        <v>0.49255791294132356</v>
      </c>
      <c r="L402" s="17">
        <f t="shared" si="20"/>
        <v>8.9398312644056797E-4</v>
      </c>
      <c r="M402" t="str">
        <f>VLOOKUP(D402,'Jer-Tip-Emp'!B:E,4,0)</f>
        <v>Platos especiales</v>
      </c>
      <c r="N402" t="str">
        <f>VLOOKUP(D402,'Jer-Tip-Emp'!B:F,5,0)</f>
        <v>Personal</v>
      </c>
      <c r="O402" t="str">
        <f>VLOOKUP(D402,'Jer-Tip-Emp'!B:G,6,0)</f>
        <v>Platos especiales</v>
      </c>
    </row>
    <row r="403" spans="1:15" ht="27.5" hidden="1" customHeight="1" x14ac:dyDescent="0.2">
      <c r="A403">
        <v>2025</v>
      </c>
      <c r="B403" t="s">
        <v>598</v>
      </c>
      <c r="C403" t="s">
        <v>609</v>
      </c>
      <c r="D403" s="19" t="s">
        <v>176</v>
      </c>
      <c r="E403" s="18" t="s">
        <v>544</v>
      </c>
      <c r="F403" s="18">
        <v>74</v>
      </c>
      <c r="G403" s="20">
        <v>73901</v>
      </c>
      <c r="H403" s="18">
        <v>-99</v>
      </c>
      <c r="I403" s="20">
        <v>143930</v>
      </c>
      <c r="J403" s="8">
        <f t="shared" si="18"/>
        <v>-70029</v>
      </c>
      <c r="K403" s="10">
        <f t="shared" si="19"/>
        <v>-0.94760558043869503</v>
      </c>
      <c r="L403" s="17">
        <f t="shared" si="20"/>
        <v>1.339630045601548E-3</v>
      </c>
      <c r="M403" t="str">
        <f>VLOOKUP(D403,'Jer-Tip-Emp'!B:E,4,0)</f>
        <v>Bebidas</v>
      </c>
      <c r="N403" t="str">
        <f>VLOOKUP(D403,'Jer-Tip-Emp'!B:F,5,0)</f>
        <v>Bebidas Cambio de bebida</v>
      </c>
      <c r="O403" t="str">
        <f>VLOOKUP(D403,'Jer-Tip-Emp'!B:G,6,0)</f>
        <v>Bebidas</v>
      </c>
    </row>
    <row r="404" spans="1:15" ht="27.5" customHeight="1" x14ac:dyDescent="0.2">
      <c r="A404">
        <v>2025</v>
      </c>
      <c r="B404" t="s">
        <v>598</v>
      </c>
      <c r="C404" t="s">
        <v>609</v>
      </c>
      <c r="D404" s="19" t="s">
        <v>393</v>
      </c>
      <c r="E404" s="18" t="s">
        <v>549</v>
      </c>
      <c r="F404" s="18">
        <v>65</v>
      </c>
      <c r="G404" s="20">
        <v>129692</v>
      </c>
      <c r="H404" s="18">
        <v>-308</v>
      </c>
      <c r="I404" s="20">
        <v>132275</v>
      </c>
      <c r="J404" s="8">
        <f t="shared" si="18"/>
        <v>-2583</v>
      </c>
      <c r="K404" s="10">
        <f t="shared" si="19"/>
        <v>-1.9916417358048298E-2</v>
      </c>
      <c r="L404" s="17">
        <f t="shared" si="20"/>
        <v>2.3748573543472228E-3</v>
      </c>
      <c r="M404" t="str">
        <f>VLOOKUP(D404,'Jer-Tip-Emp'!B:E,4,0)</f>
        <v>Arma tu plato</v>
      </c>
      <c r="N404" t="str">
        <f>VLOOKUP(D404,'Jer-Tip-Emp'!B:F,5,0)</f>
        <v>Personal</v>
      </c>
      <c r="O404" t="str">
        <f>VLOOKUP(D404,'Jer-Tip-Emp'!B:G,6,0)</f>
        <v>Caja</v>
      </c>
    </row>
    <row r="405" spans="1:15" ht="27.5" hidden="1" customHeight="1" x14ac:dyDescent="0.2">
      <c r="A405">
        <v>2025</v>
      </c>
      <c r="B405" t="s">
        <v>598</v>
      </c>
      <c r="C405" t="s">
        <v>609</v>
      </c>
      <c r="D405" s="19" t="s">
        <v>327</v>
      </c>
      <c r="E405" s="18" t="s">
        <v>44</v>
      </c>
      <c r="F405" s="18">
        <v>65</v>
      </c>
      <c r="G405" s="20">
        <v>318500</v>
      </c>
      <c r="H405" s="18">
        <v>0</v>
      </c>
      <c r="I405" s="20">
        <v>71175</v>
      </c>
      <c r="J405" s="8">
        <f t="shared" si="18"/>
        <v>247325</v>
      </c>
      <c r="K405" s="10">
        <f t="shared" si="19"/>
        <v>0.77653061224489794</v>
      </c>
      <c r="L405" s="17">
        <f t="shared" si="20"/>
        <v>0</v>
      </c>
      <c r="M405" t="str">
        <f>VLOOKUP(D405,'Jer-Tip-Emp'!B:E,4,0)</f>
        <v>Bebidas</v>
      </c>
      <c r="N405" t="str">
        <f>VLOOKUP(D405,'Jer-Tip-Emp'!B:F,5,0)</f>
        <v>Bebidas</v>
      </c>
      <c r="O405" t="str">
        <f>VLOOKUP(D405,'Jer-Tip-Emp'!B:G,6,0)</f>
        <v>Bebidas</v>
      </c>
    </row>
    <row r="406" spans="1:15" ht="27.5" customHeight="1" x14ac:dyDescent="0.2">
      <c r="A406">
        <v>2025</v>
      </c>
      <c r="B406" t="s">
        <v>598</v>
      </c>
      <c r="C406" t="s">
        <v>609</v>
      </c>
      <c r="D406" s="19" t="s">
        <v>470</v>
      </c>
      <c r="E406" s="18" t="s">
        <v>550</v>
      </c>
      <c r="F406" s="18">
        <v>63</v>
      </c>
      <c r="G406" s="18">
        <v>0</v>
      </c>
      <c r="H406" s="18">
        <v>0</v>
      </c>
      <c r="I406" s="20">
        <v>195111</v>
      </c>
      <c r="J406" s="8">
        <f t="shared" si="18"/>
        <v>-195111</v>
      </c>
      <c r="K406" s="10">
        <f t="shared" si="19"/>
        <v>0</v>
      </c>
      <c r="L406" s="17">
        <f t="shared" si="20"/>
        <v>0</v>
      </c>
      <c r="M406" t="str">
        <f>VLOOKUP(D406,'Jer-Tip-Emp'!B:E,4,0)</f>
        <v>Arma tu plato</v>
      </c>
      <c r="N406" t="str">
        <f>VLOOKUP(D406,'Jer-Tip-Emp'!B:F,5,0)</f>
        <v>Personal</v>
      </c>
      <c r="O406" t="str">
        <f>VLOOKUP(D406,'Jer-Tip-Emp'!B:G,6,0)</f>
        <v>Caja</v>
      </c>
    </row>
    <row r="407" spans="1:15" ht="27.5" customHeight="1" x14ac:dyDescent="0.2">
      <c r="A407">
        <v>2025</v>
      </c>
      <c r="B407" t="s">
        <v>598</v>
      </c>
      <c r="C407" t="s">
        <v>609</v>
      </c>
      <c r="D407" s="19" t="s">
        <v>354</v>
      </c>
      <c r="E407" s="18" t="s">
        <v>548</v>
      </c>
      <c r="F407" s="18">
        <v>59</v>
      </c>
      <c r="G407" s="18">
        <v>0</v>
      </c>
      <c r="H407" s="18">
        <v>0</v>
      </c>
      <c r="I407" s="20">
        <v>155406</v>
      </c>
      <c r="J407" s="8">
        <f t="shared" si="18"/>
        <v>-155406</v>
      </c>
      <c r="K407" s="10">
        <f t="shared" si="19"/>
        <v>0</v>
      </c>
      <c r="L407" s="17">
        <f t="shared" si="20"/>
        <v>0</v>
      </c>
      <c r="M407" t="str">
        <f>VLOOKUP(D407,'Jer-Tip-Emp'!B:E,4,0)</f>
        <v>Arma tu plato</v>
      </c>
      <c r="N407" t="str">
        <f>VLOOKUP(D407,'Jer-Tip-Emp'!B:F,5,0)</f>
        <v>Personal</v>
      </c>
      <c r="O407" t="str">
        <f>VLOOKUP(D407,'Jer-Tip-Emp'!B:G,6,0)</f>
        <v>Caja</v>
      </c>
    </row>
    <row r="408" spans="1:15" ht="27.5" customHeight="1" x14ac:dyDescent="0.2">
      <c r="A408">
        <v>2025</v>
      </c>
      <c r="B408" t="s">
        <v>598</v>
      </c>
      <c r="C408" t="s">
        <v>609</v>
      </c>
      <c r="D408" s="19" t="s">
        <v>219</v>
      </c>
      <c r="E408" s="18" t="s">
        <v>111</v>
      </c>
      <c r="F408" s="18">
        <v>47</v>
      </c>
      <c r="G408" s="20">
        <v>1264300</v>
      </c>
      <c r="H408" s="18">
        <v>0</v>
      </c>
      <c r="I408" s="20">
        <v>637649</v>
      </c>
      <c r="J408" s="8">
        <f t="shared" si="18"/>
        <v>626651</v>
      </c>
      <c r="K408" s="10">
        <f t="shared" si="19"/>
        <v>0.49565055762081783</v>
      </c>
      <c r="L408" s="17">
        <f t="shared" si="20"/>
        <v>0</v>
      </c>
      <c r="M408" t="str">
        <f>VLOOKUP(D408,'Jer-Tip-Emp'!B:E,4,0)</f>
        <v>Platos especiales</v>
      </c>
      <c r="N408" t="str">
        <f>VLOOKUP(D408,'Jer-Tip-Emp'!B:F,5,0)</f>
        <v>Personal</v>
      </c>
      <c r="O408" t="str">
        <f>VLOOKUP(D408,'Jer-Tip-Emp'!B:G,6,0)</f>
        <v>Platos especiales</v>
      </c>
    </row>
    <row r="409" spans="1:15" ht="27.5" customHeight="1" x14ac:dyDescent="0.2">
      <c r="A409">
        <v>2025</v>
      </c>
      <c r="B409" t="s">
        <v>598</v>
      </c>
      <c r="C409" t="s">
        <v>609</v>
      </c>
      <c r="D409" s="19" t="s">
        <v>245</v>
      </c>
      <c r="E409" s="18" t="s">
        <v>167</v>
      </c>
      <c r="F409" s="18">
        <v>40</v>
      </c>
      <c r="G409" s="20">
        <v>775310</v>
      </c>
      <c r="H409" s="20">
        <v>-20690</v>
      </c>
      <c r="I409" s="18">
        <v>0</v>
      </c>
      <c r="J409" s="8">
        <f t="shared" si="18"/>
        <v>775310</v>
      </c>
      <c r="K409" s="10">
        <f t="shared" si="19"/>
        <v>1</v>
      </c>
      <c r="L409" s="17">
        <f t="shared" si="20"/>
        <v>2.6686099753646927E-2</v>
      </c>
      <c r="M409" t="str">
        <f>VLOOKUP(D409,'Jer-Tip-Emp'!B:E,4,0)</f>
        <v>Mong Express</v>
      </c>
      <c r="N409" t="str">
        <f>VLOOKUP(D409,'Jer-Tip-Emp'!B:F,5,0)</f>
        <v>Personal</v>
      </c>
      <c r="O409" t="str">
        <f>VLOOKUP(D409,'Jer-Tip-Emp'!B:G,6,0)</f>
        <v>Caja</v>
      </c>
    </row>
    <row r="410" spans="1:15" ht="27.5" hidden="1" customHeight="1" x14ac:dyDescent="0.2">
      <c r="A410">
        <v>2025</v>
      </c>
      <c r="B410" t="s">
        <v>598</v>
      </c>
      <c r="C410" t="s">
        <v>609</v>
      </c>
      <c r="D410" s="19" t="s">
        <v>282</v>
      </c>
      <c r="E410" s="18" t="s">
        <v>19</v>
      </c>
      <c r="F410" s="18">
        <v>38</v>
      </c>
      <c r="G410" s="20">
        <v>212900</v>
      </c>
      <c r="H410" s="20">
        <v>-11300</v>
      </c>
      <c r="I410" s="20">
        <v>155724</v>
      </c>
      <c r="J410" s="8">
        <f t="shared" si="18"/>
        <v>57176</v>
      </c>
      <c r="K410" s="10">
        <f t="shared" si="19"/>
        <v>0.26855800845467354</v>
      </c>
      <c r="L410" s="17">
        <f t="shared" si="20"/>
        <v>5.3076561766087368E-2</v>
      </c>
      <c r="M410" t="str">
        <f>VLOOKUP(D410,'Jer-Tip-Emp'!B:E,4,0)</f>
        <v>Adición</v>
      </c>
      <c r="N410" t="str">
        <f>VLOOKUP(D410,'Jer-Tip-Emp'!B:F,5,0)</f>
        <v>Adición</v>
      </c>
      <c r="O410" t="str">
        <f>VLOOKUP(D410,'Jer-Tip-Emp'!B:G,6,0)</f>
        <v>Adición</v>
      </c>
    </row>
    <row r="411" spans="1:15" ht="27.5" hidden="1" customHeight="1" x14ac:dyDescent="0.2">
      <c r="A411">
        <v>2025</v>
      </c>
      <c r="B411" t="s">
        <v>598</v>
      </c>
      <c r="C411" t="s">
        <v>609</v>
      </c>
      <c r="D411" s="19" t="s">
        <v>351</v>
      </c>
      <c r="E411" s="18" t="s">
        <v>55</v>
      </c>
      <c r="F411" s="18">
        <v>37</v>
      </c>
      <c r="G411" s="20">
        <v>218300</v>
      </c>
      <c r="H411" s="18">
        <v>0</v>
      </c>
      <c r="I411" s="20">
        <v>53576</v>
      </c>
      <c r="J411" s="8">
        <f t="shared" si="18"/>
        <v>164724</v>
      </c>
      <c r="K411" s="10">
        <f t="shared" si="19"/>
        <v>0.75457627118644066</v>
      </c>
      <c r="L411" s="17">
        <f t="shared" si="20"/>
        <v>0</v>
      </c>
      <c r="M411" t="str">
        <f>VLOOKUP(D411,'Jer-Tip-Emp'!B:E,4,0)</f>
        <v>Bebidas</v>
      </c>
      <c r="N411" t="str">
        <f>VLOOKUP(D411,'Jer-Tip-Emp'!B:F,5,0)</f>
        <v>Bebidas</v>
      </c>
      <c r="O411" t="str">
        <f>VLOOKUP(D411,'Jer-Tip-Emp'!B:G,6,0)</f>
        <v>Bebidas</v>
      </c>
    </row>
    <row r="412" spans="1:15" ht="27.5" hidden="1" customHeight="1" x14ac:dyDescent="0.2">
      <c r="A412">
        <v>2025</v>
      </c>
      <c r="B412" t="s">
        <v>598</v>
      </c>
      <c r="C412" t="s">
        <v>609</v>
      </c>
      <c r="D412" s="19" t="s">
        <v>309</v>
      </c>
      <c r="E412" s="18" t="s">
        <v>48</v>
      </c>
      <c r="F412" s="18">
        <v>36</v>
      </c>
      <c r="G412" s="20">
        <v>139229</v>
      </c>
      <c r="H412" s="20">
        <v>-1171</v>
      </c>
      <c r="I412" s="20">
        <v>41868</v>
      </c>
      <c r="J412" s="8">
        <f t="shared" si="18"/>
        <v>97361</v>
      </c>
      <c r="K412" s="10">
        <f t="shared" si="19"/>
        <v>0.69928678651717668</v>
      </c>
      <c r="L412" s="17">
        <f t="shared" si="20"/>
        <v>8.4106041126489461E-3</v>
      </c>
      <c r="M412" t="str">
        <f>VLOOKUP(D412,'Jer-Tip-Emp'!B:E,4,0)</f>
        <v>Bebidas</v>
      </c>
      <c r="N412" t="str">
        <f>VLOOKUP(D412,'Jer-Tip-Emp'!B:F,5,0)</f>
        <v>Bebidas</v>
      </c>
      <c r="O412" t="str">
        <f>VLOOKUP(D412,'Jer-Tip-Emp'!B:G,6,0)</f>
        <v>Bebidas</v>
      </c>
    </row>
    <row r="413" spans="1:15" ht="27.5" customHeight="1" x14ac:dyDescent="0.2">
      <c r="A413">
        <v>2025</v>
      </c>
      <c r="B413" t="s">
        <v>598</v>
      </c>
      <c r="C413" t="s">
        <v>609</v>
      </c>
      <c r="D413" s="19" t="s">
        <v>448</v>
      </c>
      <c r="E413" s="18" t="s">
        <v>552</v>
      </c>
      <c r="F413" s="18">
        <v>34</v>
      </c>
      <c r="G413" s="18">
        <v>0</v>
      </c>
      <c r="H413" s="18">
        <v>0</v>
      </c>
      <c r="I413" s="20">
        <v>178942</v>
      </c>
      <c r="J413" s="8">
        <f t="shared" si="18"/>
        <v>-178942</v>
      </c>
      <c r="K413" s="10">
        <f t="shared" si="19"/>
        <v>0</v>
      </c>
      <c r="L413" s="17">
        <f t="shared" si="20"/>
        <v>0</v>
      </c>
      <c r="M413" t="str">
        <f>VLOOKUP(D413,'Jer-Tip-Emp'!B:E,4,0)</f>
        <v>Arma tu plato</v>
      </c>
      <c r="N413" t="str">
        <f>VLOOKUP(D413,'Jer-Tip-Emp'!B:F,5,0)</f>
        <v>Personal</v>
      </c>
      <c r="O413" t="str">
        <f>VLOOKUP(D413,'Jer-Tip-Emp'!B:G,6,0)</f>
        <v>Caja</v>
      </c>
    </row>
    <row r="414" spans="1:15" ht="27.5" customHeight="1" x14ac:dyDescent="0.2">
      <c r="A414">
        <v>2025</v>
      </c>
      <c r="B414" t="s">
        <v>598</v>
      </c>
      <c r="C414" t="s">
        <v>609</v>
      </c>
      <c r="D414" s="19" t="s">
        <v>257</v>
      </c>
      <c r="E414" s="18" t="s">
        <v>78</v>
      </c>
      <c r="F414" s="18">
        <v>26</v>
      </c>
      <c r="G414" s="20">
        <v>411700</v>
      </c>
      <c r="H414" s="20">
        <v>-53700</v>
      </c>
      <c r="I414" s="18">
        <v>0</v>
      </c>
      <c r="J414" s="8">
        <f t="shared" si="18"/>
        <v>411700</v>
      </c>
      <c r="K414" s="10">
        <f t="shared" si="19"/>
        <v>1</v>
      </c>
      <c r="L414" s="17">
        <f t="shared" si="20"/>
        <v>0.13043478260869565</v>
      </c>
      <c r="M414" t="str">
        <f>VLOOKUP(D414,'Jer-Tip-Emp'!B:E,4,0)</f>
        <v>Bowl</v>
      </c>
      <c r="N414" t="str">
        <f>VLOOKUP(D414,'Jer-Tip-Emp'!B:F,5,0)</f>
        <v>Personal</v>
      </c>
      <c r="O414" t="str">
        <f>VLOOKUP(D414,'Jer-Tip-Emp'!B:G,6,0)</f>
        <v>Bowl</v>
      </c>
    </row>
    <row r="415" spans="1:15" ht="27.5" hidden="1" customHeight="1" x14ac:dyDescent="0.2">
      <c r="A415">
        <v>2025</v>
      </c>
      <c r="B415" t="s">
        <v>598</v>
      </c>
      <c r="C415" t="s">
        <v>609</v>
      </c>
      <c r="D415" s="19" t="s">
        <v>364</v>
      </c>
      <c r="E415" s="18" t="s">
        <v>51</v>
      </c>
      <c r="F415" s="18">
        <v>26</v>
      </c>
      <c r="G415" s="20">
        <v>101400</v>
      </c>
      <c r="H415" s="18">
        <v>0</v>
      </c>
      <c r="I415" s="20">
        <v>33566</v>
      </c>
      <c r="J415" s="8">
        <f t="shared" si="18"/>
        <v>67834</v>
      </c>
      <c r="K415" s="10">
        <f t="shared" si="19"/>
        <v>0.66897435897435897</v>
      </c>
      <c r="L415" s="17">
        <f t="shared" si="20"/>
        <v>0</v>
      </c>
      <c r="M415" t="str">
        <f>VLOOKUP(D415,'Jer-Tip-Emp'!B:E,4,0)</f>
        <v>Bebidas</v>
      </c>
      <c r="N415" t="str">
        <f>VLOOKUP(D415,'Jer-Tip-Emp'!B:F,5,0)</f>
        <v>Bebidas</v>
      </c>
      <c r="O415" t="str">
        <f>VLOOKUP(D415,'Jer-Tip-Emp'!B:G,6,0)</f>
        <v>Bebidas</v>
      </c>
    </row>
    <row r="416" spans="1:15" ht="27.5" hidden="1" customHeight="1" x14ac:dyDescent="0.2">
      <c r="A416">
        <v>2025</v>
      </c>
      <c r="B416" t="s">
        <v>598</v>
      </c>
      <c r="C416" t="s">
        <v>609</v>
      </c>
      <c r="D416" s="19" t="s">
        <v>403</v>
      </c>
      <c r="E416" s="18" t="s">
        <v>45</v>
      </c>
      <c r="F416" s="18">
        <v>26</v>
      </c>
      <c r="G416" s="20">
        <v>178200</v>
      </c>
      <c r="H416" s="20">
        <v>-79200</v>
      </c>
      <c r="I416" s="20">
        <v>117026</v>
      </c>
      <c r="J416" s="8">
        <f t="shared" si="18"/>
        <v>61174</v>
      </c>
      <c r="K416" s="10">
        <f t="shared" si="19"/>
        <v>0.34328843995510661</v>
      </c>
      <c r="L416" s="17">
        <f t="shared" si="20"/>
        <v>0.44444444444444442</v>
      </c>
      <c r="M416" t="str">
        <f>VLOOKUP(D416,'Jer-Tip-Emp'!B:E,4,0)</f>
        <v>Bebidas</v>
      </c>
      <c r="N416" t="str">
        <f>VLOOKUP(D416,'Jer-Tip-Emp'!B:F,5,0)</f>
        <v>Bebidas</v>
      </c>
      <c r="O416" t="str">
        <f>VLOOKUP(D416,'Jer-Tip-Emp'!B:G,6,0)</f>
        <v>Bebidas</v>
      </c>
    </row>
    <row r="417" spans="1:15" ht="27.5" hidden="1" customHeight="1" x14ac:dyDescent="0.2">
      <c r="A417">
        <v>2025</v>
      </c>
      <c r="B417" t="s">
        <v>598</v>
      </c>
      <c r="C417" t="s">
        <v>609</v>
      </c>
      <c r="D417" s="19" t="s">
        <v>268</v>
      </c>
      <c r="E417" s="18" t="s">
        <v>17</v>
      </c>
      <c r="F417" s="18">
        <v>25</v>
      </c>
      <c r="G417" s="20">
        <v>132899</v>
      </c>
      <c r="H417" s="20">
        <v>-14601</v>
      </c>
      <c r="I417" s="20">
        <v>32050</v>
      </c>
      <c r="J417" s="8">
        <f t="shared" si="18"/>
        <v>100849</v>
      </c>
      <c r="K417" s="10">
        <f t="shared" si="19"/>
        <v>0.7588394194087239</v>
      </c>
      <c r="L417" s="17">
        <f t="shared" si="20"/>
        <v>0.10986538649651238</v>
      </c>
      <c r="M417" t="str">
        <f>VLOOKUP(D417,'Jer-Tip-Emp'!B:E,4,0)</f>
        <v>Adición</v>
      </c>
      <c r="N417" t="str">
        <f>VLOOKUP(D417,'Jer-Tip-Emp'!B:F,5,0)</f>
        <v>Adición</v>
      </c>
      <c r="O417" t="str">
        <f>VLOOKUP(D417,'Jer-Tip-Emp'!B:G,6,0)</f>
        <v>Adición</v>
      </c>
    </row>
    <row r="418" spans="1:15" ht="27.5" hidden="1" customHeight="1" x14ac:dyDescent="0.2">
      <c r="A418">
        <v>2025</v>
      </c>
      <c r="B418" t="s">
        <v>598</v>
      </c>
      <c r="C418" t="s">
        <v>609</v>
      </c>
      <c r="D418" s="19" t="s">
        <v>408</v>
      </c>
      <c r="E418" s="18" t="s">
        <v>35</v>
      </c>
      <c r="F418" s="18">
        <v>25</v>
      </c>
      <c r="G418" s="20">
        <v>87500</v>
      </c>
      <c r="H418" s="18">
        <v>0</v>
      </c>
      <c r="I418" s="20">
        <v>21700</v>
      </c>
      <c r="J418" s="8">
        <f t="shared" si="18"/>
        <v>65800</v>
      </c>
      <c r="K418" s="10">
        <f t="shared" si="19"/>
        <v>0.752</v>
      </c>
      <c r="L418" s="17">
        <f t="shared" si="20"/>
        <v>0</v>
      </c>
      <c r="M418" t="str">
        <f>VLOOKUP(D418,'Jer-Tip-Emp'!B:E,4,0)</f>
        <v>Bebidas</v>
      </c>
      <c r="N418" t="str">
        <f>VLOOKUP(D418,'Jer-Tip-Emp'!B:F,5,0)</f>
        <v>Bebidas</v>
      </c>
      <c r="O418" t="str">
        <f>VLOOKUP(D418,'Jer-Tip-Emp'!B:G,6,0)</f>
        <v>Bebidas</v>
      </c>
    </row>
    <row r="419" spans="1:15" ht="27.5" customHeight="1" x14ac:dyDescent="0.2">
      <c r="A419">
        <v>2025</v>
      </c>
      <c r="B419" t="s">
        <v>598</v>
      </c>
      <c r="C419" t="s">
        <v>609</v>
      </c>
      <c r="D419" s="19" t="s">
        <v>224</v>
      </c>
      <c r="E419" s="18" t="s">
        <v>114</v>
      </c>
      <c r="F419" s="18">
        <v>25</v>
      </c>
      <c r="G419" s="20">
        <v>620560</v>
      </c>
      <c r="H419" s="20">
        <v>-1940</v>
      </c>
      <c r="I419" s="20">
        <v>317950</v>
      </c>
      <c r="J419" s="8">
        <f t="shared" si="18"/>
        <v>302610</v>
      </c>
      <c r="K419" s="10">
        <f t="shared" si="19"/>
        <v>0.48764019595204333</v>
      </c>
      <c r="L419" s="17">
        <f t="shared" si="20"/>
        <v>3.1262085857934768E-3</v>
      </c>
      <c r="M419" t="str">
        <f>VLOOKUP(D419,'Jer-Tip-Emp'!B:E,4,0)</f>
        <v>Platos especiales</v>
      </c>
      <c r="N419" t="str">
        <f>VLOOKUP(D419,'Jer-Tip-Emp'!B:F,5,0)</f>
        <v>Personal</v>
      </c>
      <c r="O419" t="str">
        <f>VLOOKUP(D419,'Jer-Tip-Emp'!B:G,6,0)</f>
        <v>Platos especiales</v>
      </c>
    </row>
    <row r="420" spans="1:15" ht="27.5" hidden="1" customHeight="1" x14ac:dyDescent="0.2">
      <c r="A420">
        <v>2025</v>
      </c>
      <c r="B420" t="s">
        <v>598</v>
      </c>
      <c r="C420" t="s">
        <v>609</v>
      </c>
      <c r="D420" s="19" t="s">
        <v>382</v>
      </c>
      <c r="E420" s="18" t="s">
        <v>42</v>
      </c>
      <c r="F420" s="18">
        <v>24</v>
      </c>
      <c r="G420" s="20">
        <v>117600</v>
      </c>
      <c r="H420" s="18">
        <v>0</v>
      </c>
      <c r="I420" s="20">
        <v>32952</v>
      </c>
      <c r="J420" s="8">
        <f t="shared" si="18"/>
        <v>84648</v>
      </c>
      <c r="K420" s="10">
        <f t="shared" si="19"/>
        <v>0.71979591836734691</v>
      </c>
      <c r="L420" s="17">
        <f t="shared" si="20"/>
        <v>0</v>
      </c>
      <c r="M420" t="str">
        <f>VLOOKUP(D420,'Jer-Tip-Emp'!B:E,4,0)</f>
        <v>Bebidas</v>
      </c>
      <c r="N420" t="str">
        <f>VLOOKUP(D420,'Jer-Tip-Emp'!B:F,5,0)</f>
        <v>Bebidas</v>
      </c>
      <c r="O420" t="str">
        <f>VLOOKUP(D420,'Jer-Tip-Emp'!B:G,6,0)</f>
        <v>Bebidas</v>
      </c>
    </row>
    <row r="421" spans="1:15" ht="27.5" hidden="1" customHeight="1" x14ac:dyDescent="0.2">
      <c r="A421">
        <v>2025</v>
      </c>
      <c r="B421" t="s">
        <v>598</v>
      </c>
      <c r="C421" t="s">
        <v>609</v>
      </c>
      <c r="D421" s="19" t="s">
        <v>262</v>
      </c>
      <c r="E421" s="18" t="s">
        <v>102</v>
      </c>
      <c r="F421" s="18">
        <v>22</v>
      </c>
      <c r="G421" s="20">
        <v>371800</v>
      </c>
      <c r="H421" s="18">
        <v>0</v>
      </c>
      <c r="I421" s="20">
        <v>136730</v>
      </c>
      <c r="J421" s="8">
        <f t="shared" si="18"/>
        <v>235070</v>
      </c>
      <c r="K421" s="10">
        <f t="shared" si="19"/>
        <v>0.63224852071005921</v>
      </c>
      <c r="L421" s="17">
        <f t="shared" si="20"/>
        <v>0</v>
      </c>
      <c r="M421" t="str">
        <f>VLOOKUP(D421,'Jer-Tip-Emp'!B:E,4,0)</f>
        <v>Entradas</v>
      </c>
      <c r="N421" t="str">
        <f>VLOOKUP(D421,'Jer-Tip-Emp'!B:F,5,0)</f>
        <v>Otro</v>
      </c>
      <c r="O421" t="str">
        <f>VLOOKUP(D421,'Jer-Tip-Emp'!B:G,6,0)</f>
        <v>Otro</v>
      </c>
    </row>
    <row r="422" spans="1:15" ht="27.5" customHeight="1" x14ac:dyDescent="0.2">
      <c r="A422">
        <v>2025</v>
      </c>
      <c r="B422" t="s">
        <v>598</v>
      </c>
      <c r="C422" t="s">
        <v>609</v>
      </c>
      <c r="D422" s="19" t="s">
        <v>294</v>
      </c>
      <c r="E422" s="18" t="s">
        <v>108</v>
      </c>
      <c r="F422" s="18">
        <v>22</v>
      </c>
      <c r="G422" s="20">
        <v>433900</v>
      </c>
      <c r="H422" s="20">
        <v>-3900</v>
      </c>
      <c r="I422" s="20">
        <v>180026</v>
      </c>
      <c r="J422" s="8">
        <f t="shared" si="18"/>
        <v>253874</v>
      </c>
      <c r="K422" s="10">
        <f t="shared" si="19"/>
        <v>0.5850979488361373</v>
      </c>
      <c r="L422" s="17">
        <f t="shared" si="20"/>
        <v>8.9882461396635169E-3</v>
      </c>
      <c r="M422" t="str">
        <f>VLOOKUP(D422,'Jer-Tip-Emp'!B:E,4,0)</f>
        <v>Mong Express</v>
      </c>
      <c r="N422" t="str">
        <f>VLOOKUP(D422,'Jer-Tip-Emp'!B:F,5,0)</f>
        <v>Personal</v>
      </c>
      <c r="O422" t="str">
        <f>VLOOKUP(D422,'Jer-Tip-Emp'!B:G,6,0)</f>
        <v>Caja</v>
      </c>
    </row>
    <row r="423" spans="1:15" ht="27.5" customHeight="1" x14ac:dyDescent="0.2">
      <c r="A423">
        <v>2025</v>
      </c>
      <c r="B423" t="s">
        <v>598</v>
      </c>
      <c r="C423" t="s">
        <v>609</v>
      </c>
      <c r="D423" s="19" t="s">
        <v>474</v>
      </c>
      <c r="E423" s="18" t="s">
        <v>553</v>
      </c>
      <c r="F423" s="18">
        <v>21</v>
      </c>
      <c r="G423" s="18">
        <v>0</v>
      </c>
      <c r="H423" s="18">
        <v>0</v>
      </c>
      <c r="I423" s="20">
        <v>59829</v>
      </c>
      <c r="J423" s="8">
        <f t="shared" si="18"/>
        <v>-59829</v>
      </c>
      <c r="K423" s="10">
        <f t="shared" si="19"/>
        <v>0</v>
      </c>
      <c r="L423" s="17">
        <f t="shared" si="20"/>
        <v>0</v>
      </c>
      <c r="M423" t="str">
        <f>VLOOKUP(D423,'Jer-Tip-Emp'!B:E,4,0)</f>
        <v>Arma tu plato</v>
      </c>
      <c r="N423" t="str">
        <f>VLOOKUP(D423,'Jer-Tip-Emp'!B:F,5,0)</f>
        <v>Personal</v>
      </c>
      <c r="O423" t="str">
        <f>VLOOKUP(D423,'Jer-Tip-Emp'!B:G,6,0)</f>
        <v>Caja</v>
      </c>
    </row>
    <row r="424" spans="1:15" ht="27.5" hidden="1" customHeight="1" x14ac:dyDescent="0.2">
      <c r="A424">
        <v>2025</v>
      </c>
      <c r="B424" t="s">
        <v>598</v>
      </c>
      <c r="C424" t="s">
        <v>609</v>
      </c>
      <c r="D424" s="19" t="s">
        <v>253</v>
      </c>
      <c r="E424" s="18" t="s">
        <v>105</v>
      </c>
      <c r="F424" s="18">
        <v>20</v>
      </c>
      <c r="G424" s="20">
        <v>99243</v>
      </c>
      <c r="H424" s="18">
        <v>-757</v>
      </c>
      <c r="I424" s="20">
        <v>31380</v>
      </c>
      <c r="J424" s="8">
        <f t="shared" si="18"/>
        <v>67863</v>
      </c>
      <c r="K424" s="10">
        <f t="shared" si="19"/>
        <v>0.68380641455820557</v>
      </c>
      <c r="L424" s="17">
        <f t="shared" si="20"/>
        <v>7.6277420069929365E-3</v>
      </c>
      <c r="M424" t="str">
        <f>VLOOKUP(D424,'Jer-Tip-Emp'!B:E,4,0)</f>
        <v>Entradas</v>
      </c>
      <c r="N424" t="str">
        <f>VLOOKUP(D424,'Jer-Tip-Emp'!B:F,5,0)</f>
        <v>Otro</v>
      </c>
      <c r="O424" t="str">
        <f>VLOOKUP(D424,'Jer-Tip-Emp'!B:G,6,0)</f>
        <v>Otro</v>
      </c>
    </row>
    <row r="425" spans="1:15" ht="27.5" customHeight="1" x14ac:dyDescent="0.2">
      <c r="A425">
        <v>2025</v>
      </c>
      <c r="B425" t="s">
        <v>598</v>
      </c>
      <c r="C425" t="s">
        <v>609</v>
      </c>
      <c r="D425" s="19" t="s">
        <v>246</v>
      </c>
      <c r="E425" s="18" t="s">
        <v>29</v>
      </c>
      <c r="F425" s="18">
        <v>18</v>
      </c>
      <c r="G425" s="20">
        <v>142200</v>
      </c>
      <c r="H425" s="18">
        <v>0</v>
      </c>
      <c r="I425" s="18">
        <v>0</v>
      </c>
      <c r="J425" s="8">
        <f t="shared" si="18"/>
        <v>142200</v>
      </c>
      <c r="K425" s="10">
        <f t="shared" si="19"/>
        <v>1</v>
      </c>
      <c r="L425" s="17">
        <f t="shared" si="20"/>
        <v>0</v>
      </c>
      <c r="M425" t="str">
        <f>VLOOKUP(D425,'Jer-Tip-Emp'!B:E,4,0)</f>
        <v>Armalo en combo</v>
      </c>
      <c r="N425" t="str">
        <f>VLOOKUP(D425,'Jer-Tip-Emp'!B:F,5,0)</f>
        <v>Personal</v>
      </c>
      <c r="O425" t="str">
        <f>VLOOKUP(D425,'Jer-Tip-Emp'!B:G,6,0)</f>
        <v>Combo</v>
      </c>
    </row>
    <row r="426" spans="1:15" ht="27.5" customHeight="1" x14ac:dyDescent="0.2">
      <c r="A426">
        <v>2025</v>
      </c>
      <c r="B426" t="s">
        <v>598</v>
      </c>
      <c r="C426" t="s">
        <v>609</v>
      </c>
      <c r="D426" s="19" t="s">
        <v>214</v>
      </c>
      <c r="E426" s="18" t="s">
        <v>81</v>
      </c>
      <c r="F426" s="18">
        <v>18</v>
      </c>
      <c r="G426" s="20">
        <v>1078200</v>
      </c>
      <c r="H426" s="18">
        <v>0</v>
      </c>
      <c r="I426" s="20">
        <v>425484</v>
      </c>
      <c r="J426" s="8">
        <f t="shared" si="18"/>
        <v>652716</v>
      </c>
      <c r="K426" s="10">
        <f t="shared" si="19"/>
        <v>0.60537562604340567</v>
      </c>
      <c r="L426" s="17">
        <f t="shared" si="20"/>
        <v>0</v>
      </c>
      <c r="M426" t="str">
        <f>VLOOKUP(D426,'Jer-Tip-Emp'!B:E,4,0)</f>
        <v>Combos para compartir</v>
      </c>
      <c r="N426" t="str">
        <f>VLOOKUP(D426,'Jer-Tip-Emp'!B:F,5,0)</f>
        <v>No Personal</v>
      </c>
      <c r="O426" t="str">
        <f>VLOOKUP(D426,'Jer-Tip-Emp'!B:G,6,0)</f>
        <v>Combo</v>
      </c>
    </row>
    <row r="427" spans="1:15" ht="27.5" hidden="1" customHeight="1" x14ac:dyDescent="0.2">
      <c r="A427">
        <v>2025</v>
      </c>
      <c r="B427" t="s">
        <v>598</v>
      </c>
      <c r="C427" t="s">
        <v>609</v>
      </c>
      <c r="D427" s="19" t="s">
        <v>335</v>
      </c>
      <c r="E427" s="18" t="s">
        <v>40</v>
      </c>
      <c r="F427" s="18">
        <v>17</v>
      </c>
      <c r="G427" s="20">
        <v>83300</v>
      </c>
      <c r="H427" s="18">
        <v>0</v>
      </c>
      <c r="I427" s="20">
        <v>23341</v>
      </c>
      <c r="J427" s="8">
        <f t="shared" si="18"/>
        <v>59959</v>
      </c>
      <c r="K427" s="10">
        <f t="shared" si="19"/>
        <v>0.71979591836734691</v>
      </c>
      <c r="L427" s="17">
        <f t="shared" si="20"/>
        <v>0</v>
      </c>
      <c r="M427" t="str">
        <f>VLOOKUP(D427,'Jer-Tip-Emp'!B:E,4,0)</f>
        <v>Bebidas</v>
      </c>
      <c r="N427" t="str">
        <f>VLOOKUP(D427,'Jer-Tip-Emp'!B:F,5,0)</f>
        <v>Bebidas</v>
      </c>
      <c r="O427" t="str">
        <f>VLOOKUP(D427,'Jer-Tip-Emp'!B:G,6,0)</f>
        <v>Bebidas</v>
      </c>
    </row>
    <row r="428" spans="1:15" ht="27.5" hidden="1" customHeight="1" x14ac:dyDescent="0.2">
      <c r="A428">
        <v>2025</v>
      </c>
      <c r="B428" t="s">
        <v>598</v>
      </c>
      <c r="C428" t="s">
        <v>609</v>
      </c>
      <c r="D428" s="19" t="s">
        <v>336</v>
      </c>
      <c r="E428" s="18" t="s">
        <v>60</v>
      </c>
      <c r="F428" s="18">
        <v>17</v>
      </c>
      <c r="G428" s="20">
        <v>83300</v>
      </c>
      <c r="H428" s="18">
        <v>0</v>
      </c>
      <c r="I428" s="20">
        <v>26520</v>
      </c>
      <c r="J428" s="8">
        <f t="shared" si="18"/>
        <v>56780</v>
      </c>
      <c r="K428" s="10">
        <f t="shared" si="19"/>
        <v>0.68163265306122445</v>
      </c>
      <c r="L428" s="17">
        <f t="shared" si="20"/>
        <v>0</v>
      </c>
      <c r="M428" t="str">
        <f>VLOOKUP(D428,'Jer-Tip-Emp'!B:E,4,0)</f>
        <v>Bebidas</v>
      </c>
      <c r="N428" t="str">
        <f>VLOOKUP(D428,'Jer-Tip-Emp'!B:F,5,0)</f>
        <v>Bebidas</v>
      </c>
      <c r="O428" t="str">
        <f>VLOOKUP(D428,'Jer-Tip-Emp'!B:G,6,0)</f>
        <v>Bebidas</v>
      </c>
    </row>
    <row r="429" spans="1:15" ht="27.5" hidden="1" customHeight="1" x14ac:dyDescent="0.2">
      <c r="A429">
        <v>2025</v>
      </c>
      <c r="B429" t="s">
        <v>598</v>
      </c>
      <c r="C429" t="s">
        <v>609</v>
      </c>
      <c r="D429" s="19" t="s">
        <v>397</v>
      </c>
      <c r="E429" s="18" t="s">
        <v>61</v>
      </c>
      <c r="F429" s="18">
        <v>17</v>
      </c>
      <c r="G429" s="20">
        <v>83300</v>
      </c>
      <c r="H429" s="18">
        <v>0</v>
      </c>
      <c r="I429" s="20">
        <v>32232</v>
      </c>
      <c r="J429" s="8">
        <f t="shared" si="18"/>
        <v>51068</v>
      </c>
      <c r="K429" s="10">
        <f t="shared" si="19"/>
        <v>0.61306122448979594</v>
      </c>
      <c r="L429" s="17">
        <f t="shared" si="20"/>
        <v>0</v>
      </c>
      <c r="M429" t="str">
        <f>VLOOKUP(D429,'Jer-Tip-Emp'!B:E,4,0)</f>
        <v>Bebidas</v>
      </c>
      <c r="N429" t="str">
        <f>VLOOKUP(D429,'Jer-Tip-Emp'!B:F,5,0)</f>
        <v>Bebidas</v>
      </c>
      <c r="O429" t="str">
        <f>VLOOKUP(D429,'Jer-Tip-Emp'!B:G,6,0)</f>
        <v>Bebidas</v>
      </c>
    </row>
    <row r="430" spans="1:15" ht="27.5" customHeight="1" x14ac:dyDescent="0.2">
      <c r="A430">
        <v>2025</v>
      </c>
      <c r="B430" t="s">
        <v>598</v>
      </c>
      <c r="C430" t="s">
        <v>609</v>
      </c>
      <c r="D430" s="19" t="s">
        <v>185</v>
      </c>
      <c r="E430" s="18" t="s">
        <v>137</v>
      </c>
      <c r="F430" s="18">
        <v>17</v>
      </c>
      <c r="G430" s="20">
        <v>797300</v>
      </c>
      <c r="H430" s="18">
        <v>0</v>
      </c>
      <c r="I430" s="20">
        <v>340901</v>
      </c>
      <c r="J430" s="8">
        <f t="shared" si="18"/>
        <v>456399</v>
      </c>
      <c r="K430" s="10">
        <f t="shared" si="19"/>
        <v>0.57243070362473347</v>
      </c>
      <c r="L430" s="17">
        <f t="shared" si="20"/>
        <v>0</v>
      </c>
      <c r="M430" t="str">
        <f>VLOOKUP(D430,'Jer-Tip-Emp'!B:E,4,0)</f>
        <v>Platos mong</v>
      </c>
      <c r="N430" t="str">
        <f>VLOOKUP(D430,'Jer-Tip-Emp'!B:F,5,0)</f>
        <v>No Personal</v>
      </c>
      <c r="O430" t="str">
        <f>VLOOKUP(D430,'Jer-Tip-Emp'!B:G,6,0)</f>
        <v>Platos Especiales</v>
      </c>
    </row>
    <row r="431" spans="1:15" ht="27.5" hidden="1" customHeight="1" x14ac:dyDescent="0.2">
      <c r="A431">
        <v>2025</v>
      </c>
      <c r="B431" t="s">
        <v>598</v>
      </c>
      <c r="C431" t="s">
        <v>609</v>
      </c>
      <c r="D431" s="19" t="s">
        <v>218</v>
      </c>
      <c r="E431" s="18" t="s">
        <v>33</v>
      </c>
      <c r="F431" s="18">
        <v>16</v>
      </c>
      <c r="G431" s="20">
        <v>126400</v>
      </c>
      <c r="H431" s="18">
        <v>0</v>
      </c>
      <c r="I431" s="18">
        <v>0</v>
      </c>
      <c r="J431" s="8">
        <f t="shared" si="18"/>
        <v>126400</v>
      </c>
      <c r="K431" s="10">
        <f t="shared" si="19"/>
        <v>1</v>
      </c>
      <c r="L431" s="17">
        <f t="shared" si="20"/>
        <v>0</v>
      </c>
      <c r="M431" t="str">
        <f>VLOOKUP(D431,'Jer-Tip-Emp'!B:E,4,0)</f>
        <v>Adición</v>
      </c>
      <c r="N431" t="str">
        <f>VLOOKUP(D431,'Jer-Tip-Emp'!B:F,5,0)</f>
        <v>Adición</v>
      </c>
      <c r="O431" t="str">
        <f>VLOOKUP(D431,'Jer-Tip-Emp'!B:G,6,0)</f>
        <v>Adición</v>
      </c>
    </row>
    <row r="432" spans="1:15" ht="27.5" customHeight="1" x14ac:dyDescent="0.2">
      <c r="A432">
        <v>2025</v>
      </c>
      <c r="B432" t="s">
        <v>598</v>
      </c>
      <c r="C432" t="s">
        <v>609</v>
      </c>
      <c r="D432" s="19" t="s">
        <v>244</v>
      </c>
      <c r="E432" s="18" t="s">
        <v>113</v>
      </c>
      <c r="F432" s="18">
        <v>16</v>
      </c>
      <c r="G432" s="20">
        <v>462400</v>
      </c>
      <c r="H432" s="18">
        <v>0</v>
      </c>
      <c r="I432" s="20">
        <v>121680</v>
      </c>
      <c r="J432" s="8">
        <f t="shared" si="18"/>
        <v>340720</v>
      </c>
      <c r="K432" s="10">
        <f t="shared" si="19"/>
        <v>0.73685121107266438</v>
      </c>
      <c r="L432" s="17">
        <f t="shared" si="20"/>
        <v>0</v>
      </c>
      <c r="M432" t="str">
        <f>VLOOKUP(D432,'Jer-Tip-Emp'!B:E,4,0)</f>
        <v>Platos especiales</v>
      </c>
      <c r="N432" t="str">
        <f>VLOOKUP(D432,'Jer-Tip-Emp'!B:F,5,0)</f>
        <v>Personal</v>
      </c>
      <c r="O432" t="str">
        <f>VLOOKUP(D432,'Jer-Tip-Emp'!B:G,6,0)</f>
        <v>Platos especiales</v>
      </c>
    </row>
    <row r="433" spans="1:15" ht="27.5" customHeight="1" x14ac:dyDescent="0.2">
      <c r="A433">
        <v>2025</v>
      </c>
      <c r="B433" t="s">
        <v>598</v>
      </c>
      <c r="C433" t="s">
        <v>609</v>
      </c>
      <c r="D433" s="19" t="s">
        <v>303</v>
      </c>
      <c r="E433" s="18" t="s">
        <v>120</v>
      </c>
      <c r="F433" s="18">
        <v>16</v>
      </c>
      <c r="G433" s="20">
        <v>366400</v>
      </c>
      <c r="H433" s="18">
        <v>0</v>
      </c>
      <c r="I433" s="20">
        <v>120224</v>
      </c>
      <c r="J433" s="8">
        <f t="shared" si="18"/>
        <v>246176</v>
      </c>
      <c r="K433" s="10">
        <f t="shared" si="19"/>
        <v>0.67187772925764189</v>
      </c>
      <c r="L433" s="17">
        <f t="shared" si="20"/>
        <v>0</v>
      </c>
      <c r="M433" t="str">
        <f>VLOOKUP(D433,'Jer-Tip-Emp'!B:E,4,0)</f>
        <v>Platos mong</v>
      </c>
      <c r="N433" t="str">
        <f>VLOOKUP(D433,'Jer-Tip-Emp'!B:F,5,0)</f>
        <v>Personal</v>
      </c>
      <c r="O433" t="str">
        <f>VLOOKUP(D433,'Jer-Tip-Emp'!B:G,6,0)</f>
        <v>Caja</v>
      </c>
    </row>
    <row r="434" spans="1:15" ht="27.5" hidden="1" customHeight="1" x14ac:dyDescent="0.2">
      <c r="A434">
        <v>2025</v>
      </c>
      <c r="B434" t="s">
        <v>598</v>
      </c>
      <c r="C434" t="s">
        <v>609</v>
      </c>
      <c r="D434" s="19" t="s">
        <v>337</v>
      </c>
      <c r="E434" s="18" t="s">
        <v>58</v>
      </c>
      <c r="F434" s="18">
        <v>15</v>
      </c>
      <c r="G434" s="20">
        <v>71836</v>
      </c>
      <c r="H434" s="20">
        <v>-1664</v>
      </c>
      <c r="I434" s="20">
        <v>23400</v>
      </c>
      <c r="J434" s="8">
        <f t="shared" si="18"/>
        <v>48436</v>
      </c>
      <c r="K434" s="10">
        <f t="shared" si="19"/>
        <v>0.67425803218442004</v>
      </c>
      <c r="L434" s="17">
        <f t="shared" si="20"/>
        <v>2.3163873266885685E-2</v>
      </c>
      <c r="M434" t="str">
        <f>VLOOKUP(D434,'Jer-Tip-Emp'!B:E,4,0)</f>
        <v>Bebidas</v>
      </c>
      <c r="N434" t="str">
        <f>VLOOKUP(D434,'Jer-Tip-Emp'!B:F,5,0)</f>
        <v>Bebidas</v>
      </c>
      <c r="O434" t="str">
        <f>VLOOKUP(D434,'Jer-Tip-Emp'!B:G,6,0)</f>
        <v>Bebidas</v>
      </c>
    </row>
    <row r="435" spans="1:15" ht="27.5" customHeight="1" x14ac:dyDescent="0.2">
      <c r="A435">
        <v>2025</v>
      </c>
      <c r="B435" t="s">
        <v>598</v>
      </c>
      <c r="C435" t="s">
        <v>609</v>
      </c>
      <c r="D435" s="19" t="s">
        <v>179</v>
      </c>
      <c r="E435" s="18" t="s">
        <v>76</v>
      </c>
      <c r="F435" s="18">
        <v>14</v>
      </c>
      <c r="G435" s="20">
        <v>264600</v>
      </c>
      <c r="H435" s="18">
        <v>0</v>
      </c>
      <c r="I435" s="18">
        <v>0</v>
      </c>
      <c r="J435" s="8">
        <f t="shared" si="18"/>
        <v>264600</v>
      </c>
      <c r="K435" s="10">
        <f t="shared" si="19"/>
        <v>1</v>
      </c>
      <c r="L435" s="17">
        <f t="shared" si="20"/>
        <v>0</v>
      </c>
      <c r="M435" t="str">
        <f>VLOOKUP(D435,'Jer-Tip-Emp'!B:E,4,0)</f>
        <v>Bowl</v>
      </c>
      <c r="N435" t="str">
        <f>VLOOKUP(D435,'Jer-Tip-Emp'!B:F,5,0)</f>
        <v>Personal</v>
      </c>
      <c r="O435" t="str">
        <f>VLOOKUP(D435,'Jer-Tip-Emp'!B:G,6,0)</f>
        <v>Bowl</v>
      </c>
    </row>
    <row r="436" spans="1:15" ht="27.5" hidden="1" customHeight="1" x14ac:dyDescent="0.2">
      <c r="A436">
        <v>2025</v>
      </c>
      <c r="B436" t="s">
        <v>598</v>
      </c>
      <c r="C436" t="s">
        <v>609</v>
      </c>
      <c r="D436" s="19" t="s">
        <v>193</v>
      </c>
      <c r="E436" s="18" t="s">
        <v>18</v>
      </c>
      <c r="F436" s="18">
        <v>14</v>
      </c>
      <c r="G436" s="20">
        <v>95916</v>
      </c>
      <c r="H436" s="18">
        <v>-684</v>
      </c>
      <c r="I436" s="20">
        <v>43512</v>
      </c>
      <c r="J436" s="8">
        <f t="shared" si="18"/>
        <v>52404</v>
      </c>
      <c r="K436" s="10">
        <f t="shared" si="19"/>
        <v>0.54635305892656072</v>
      </c>
      <c r="L436" s="17">
        <f t="shared" si="20"/>
        <v>7.1312398348554983E-3</v>
      </c>
      <c r="M436" t="str">
        <f>VLOOKUP(D436,'Jer-Tip-Emp'!B:E,4,0)</f>
        <v>Adición</v>
      </c>
      <c r="N436" t="str">
        <f>VLOOKUP(D436,'Jer-Tip-Emp'!B:F,5,0)</f>
        <v>Adición</v>
      </c>
      <c r="O436" t="str">
        <f>VLOOKUP(D436,'Jer-Tip-Emp'!B:G,6,0)</f>
        <v>Adición</v>
      </c>
    </row>
    <row r="437" spans="1:15" ht="27.5" hidden="1" customHeight="1" x14ac:dyDescent="0.2">
      <c r="A437">
        <v>2025</v>
      </c>
      <c r="B437" t="s">
        <v>598</v>
      </c>
      <c r="C437" t="s">
        <v>609</v>
      </c>
      <c r="D437" s="19" t="s">
        <v>330</v>
      </c>
      <c r="E437" s="18" t="s">
        <v>38</v>
      </c>
      <c r="F437" s="18">
        <v>13</v>
      </c>
      <c r="G437" s="20">
        <v>63700</v>
      </c>
      <c r="H437" s="18">
        <v>0</v>
      </c>
      <c r="I437" s="20">
        <v>16744</v>
      </c>
      <c r="J437" s="8">
        <f t="shared" si="18"/>
        <v>46956</v>
      </c>
      <c r="K437" s="10">
        <f t="shared" si="19"/>
        <v>0.7371428571428571</v>
      </c>
      <c r="L437" s="17">
        <f t="shared" si="20"/>
        <v>0</v>
      </c>
      <c r="M437" t="str">
        <f>VLOOKUP(D437,'Jer-Tip-Emp'!B:E,4,0)</f>
        <v>Bebidas</v>
      </c>
      <c r="N437" t="str">
        <f>VLOOKUP(D437,'Jer-Tip-Emp'!B:F,5,0)</f>
        <v>Bebidas</v>
      </c>
      <c r="O437" t="str">
        <f>VLOOKUP(D437,'Jer-Tip-Emp'!B:G,6,0)</f>
        <v>Bebidas</v>
      </c>
    </row>
    <row r="438" spans="1:15" ht="27.5" customHeight="1" x14ac:dyDescent="0.2">
      <c r="A438">
        <v>2025</v>
      </c>
      <c r="B438" t="s">
        <v>598</v>
      </c>
      <c r="C438" t="s">
        <v>609</v>
      </c>
      <c r="D438" s="19" t="s">
        <v>228</v>
      </c>
      <c r="E438" s="18" t="s">
        <v>96</v>
      </c>
      <c r="F438" s="18">
        <v>13</v>
      </c>
      <c r="G438" s="20">
        <v>388700</v>
      </c>
      <c r="H438" s="18">
        <v>0</v>
      </c>
      <c r="I438" s="20">
        <v>133211</v>
      </c>
      <c r="J438" s="8">
        <f t="shared" si="18"/>
        <v>255489</v>
      </c>
      <c r="K438" s="10">
        <f t="shared" si="19"/>
        <v>0.65729096989966551</v>
      </c>
      <c r="L438" s="17">
        <f t="shared" si="20"/>
        <v>0</v>
      </c>
      <c r="M438" t="str">
        <f>VLOOKUP(D438,'Jer-Tip-Emp'!B:E,4,0)</f>
        <v>Combos personales</v>
      </c>
      <c r="N438" t="str">
        <f>VLOOKUP(D438,'Jer-Tip-Emp'!B:F,5,0)</f>
        <v>Personal</v>
      </c>
      <c r="O438" t="str">
        <f>VLOOKUP(D438,'Jer-Tip-Emp'!B:G,6,0)</f>
        <v>Combo</v>
      </c>
    </row>
    <row r="439" spans="1:15" ht="27.5" customHeight="1" x14ac:dyDescent="0.2">
      <c r="A439">
        <v>2025</v>
      </c>
      <c r="B439" t="s">
        <v>598</v>
      </c>
      <c r="C439" t="s">
        <v>609</v>
      </c>
      <c r="D439" s="19" t="s">
        <v>232</v>
      </c>
      <c r="E439" s="18" t="s">
        <v>94</v>
      </c>
      <c r="F439" s="18">
        <v>12</v>
      </c>
      <c r="G439" s="20">
        <v>265443</v>
      </c>
      <c r="H439" s="20">
        <v>-9357</v>
      </c>
      <c r="I439" s="20">
        <v>112848</v>
      </c>
      <c r="J439" s="8">
        <f t="shared" si="18"/>
        <v>152595</v>
      </c>
      <c r="K439" s="10">
        <f t="shared" si="19"/>
        <v>0.57486918095410311</v>
      </c>
      <c r="L439" s="17">
        <f t="shared" si="20"/>
        <v>3.5250505758298391E-2</v>
      </c>
      <c r="M439" t="str">
        <f>VLOOKUP(D439,'Jer-Tip-Emp'!B:E,4,0)</f>
        <v>Platos mong</v>
      </c>
      <c r="N439" t="str">
        <f>VLOOKUP(D439,'Jer-Tip-Emp'!B:F,5,0)</f>
        <v>Personal</v>
      </c>
      <c r="O439" t="str">
        <f>VLOOKUP(D439,'Jer-Tip-Emp'!B:G,6,0)</f>
        <v>Caja</v>
      </c>
    </row>
    <row r="440" spans="1:15" ht="27.5" hidden="1" customHeight="1" x14ac:dyDescent="0.2">
      <c r="A440">
        <v>2025</v>
      </c>
      <c r="B440" t="s">
        <v>598</v>
      </c>
      <c r="C440" t="s">
        <v>609</v>
      </c>
      <c r="D440" s="19" t="s">
        <v>326</v>
      </c>
      <c r="E440" s="18" t="s">
        <v>69</v>
      </c>
      <c r="F440" s="18">
        <v>12</v>
      </c>
      <c r="G440" s="20">
        <v>58534</v>
      </c>
      <c r="H440" s="18">
        <v>-266</v>
      </c>
      <c r="I440" s="20">
        <v>15960</v>
      </c>
      <c r="J440" s="8">
        <f t="shared" si="18"/>
        <v>42574</v>
      </c>
      <c r="K440" s="10">
        <f t="shared" si="19"/>
        <v>0.72733795742645302</v>
      </c>
      <c r="L440" s="17">
        <f t="shared" si="20"/>
        <v>4.5443673762257837E-3</v>
      </c>
      <c r="M440" t="str">
        <f>VLOOKUP(D440,'Jer-Tip-Emp'!B:E,4,0)</f>
        <v>Bebidas</v>
      </c>
      <c r="N440" t="str">
        <f>VLOOKUP(D440,'Jer-Tip-Emp'!B:F,5,0)</f>
        <v>Bebidas</v>
      </c>
      <c r="O440" t="str">
        <f>VLOOKUP(D440,'Jer-Tip-Emp'!B:G,6,0)</f>
        <v>Bebidas</v>
      </c>
    </row>
    <row r="441" spans="1:15" ht="27.5" hidden="1" customHeight="1" x14ac:dyDescent="0.2">
      <c r="A441">
        <v>2025</v>
      </c>
      <c r="B441" t="s">
        <v>598</v>
      </c>
      <c r="C441" t="s">
        <v>609</v>
      </c>
      <c r="D441" s="19" t="s">
        <v>369</v>
      </c>
      <c r="E441" s="18" t="s">
        <v>68</v>
      </c>
      <c r="F441" s="18">
        <v>12</v>
      </c>
      <c r="G441" s="20">
        <v>58314</v>
      </c>
      <c r="H441" s="18">
        <v>-486</v>
      </c>
      <c r="I441" s="20">
        <v>15960</v>
      </c>
      <c r="J441" s="8">
        <f t="shared" si="18"/>
        <v>42354</v>
      </c>
      <c r="K441" s="10">
        <f t="shared" si="19"/>
        <v>0.72630929107932918</v>
      </c>
      <c r="L441" s="17">
        <f t="shared" si="20"/>
        <v>8.3341907603662925E-3</v>
      </c>
      <c r="M441" t="str">
        <f>VLOOKUP(D441,'Jer-Tip-Emp'!B:E,4,0)</f>
        <v>Bebidas</v>
      </c>
      <c r="N441" t="str">
        <f>VLOOKUP(D441,'Jer-Tip-Emp'!B:F,5,0)</f>
        <v>Bebidas</v>
      </c>
      <c r="O441" t="str">
        <f>VLOOKUP(D441,'Jer-Tip-Emp'!B:G,6,0)</f>
        <v>Bebidas</v>
      </c>
    </row>
    <row r="442" spans="1:15" ht="27.5" customHeight="1" x14ac:dyDescent="0.2">
      <c r="A442">
        <v>2025</v>
      </c>
      <c r="B442" t="s">
        <v>598</v>
      </c>
      <c r="C442" t="s">
        <v>609</v>
      </c>
      <c r="D442" s="19" t="s">
        <v>205</v>
      </c>
      <c r="E442" s="18" t="s">
        <v>141</v>
      </c>
      <c r="F442" s="18">
        <v>11</v>
      </c>
      <c r="G442" s="20">
        <v>157200</v>
      </c>
      <c r="H442" s="20">
        <v>-17700</v>
      </c>
      <c r="I442" s="20">
        <v>66704</v>
      </c>
      <c r="J442" s="8">
        <f t="shared" si="18"/>
        <v>90496</v>
      </c>
      <c r="K442" s="10">
        <f t="shared" si="19"/>
        <v>0.57567430025445288</v>
      </c>
      <c r="L442" s="17">
        <f t="shared" si="20"/>
        <v>0.11259541984732824</v>
      </c>
      <c r="M442" t="str">
        <f>VLOOKUP(D442,'Jer-Tip-Emp'!B:E,4,0)</f>
        <v>Platos mong</v>
      </c>
      <c r="N442" t="str">
        <f>VLOOKUP(D442,'Jer-Tip-Emp'!B:F,5,0)</f>
        <v>Personal</v>
      </c>
      <c r="O442" t="str">
        <f>VLOOKUP(D442,'Jer-Tip-Emp'!B:G,6,0)</f>
        <v>Caja</v>
      </c>
    </row>
    <row r="443" spans="1:15" ht="27.5" customHeight="1" x14ac:dyDescent="0.2">
      <c r="A443">
        <v>2025</v>
      </c>
      <c r="B443" t="s">
        <v>598</v>
      </c>
      <c r="C443" t="s">
        <v>609</v>
      </c>
      <c r="D443" s="19" t="s">
        <v>285</v>
      </c>
      <c r="E443" s="18" t="s">
        <v>146</v>
      </c>
      <c r="F443" s="18">
        <v>11</v>
      </c>
      <c r="G443" s="20">
        <v>240900</v>
      </c>
      <c r="H443" s="18">
        <v>0</v>
      </c>
      <c r="I443" s="20">
        <v>93104</v>
      </c>
      <c r="J443" s="8">
        <f t="shared" si="18"/>
        <v>147796</v>
      </c>
      <c r="K443" s="10">
        <f t="shared" si="19"/>
        <v>0.61351598173515987</v>
      </c>
      <c r="L443" s="17">
        <f t="shared" si="20"/>
        <v>0</v>
      </c>
      <c r="M443" t="str">
        <f>VLOOKUP(D443,'Jer-Tip-Emp'!B:E,4,0)</f>
        <v>Platos mong</v>
      </c>
      <c r="N443" t="str">
        <f>VLOOKUP(D443,'Jer-Tip-Emp'!B:F,5,0)</f>
        <v>Personal</v>
      </c>
      <c r="O443" t="str">
        <f>VLOOKUP(D443,'Jer-Tip-Emp'!B:G,6,0)</f>
        <v>Caja</v>
      </c>
    </row>
    <row r="444" spans="1:15" ht="27.5" customHeight="1" x14ac:dyDescent="0.2">
      <c r="A444">
        <v>2025</v>
      </c>
      <c r="B444" t="s">
        <v>598</v>
      </c>
      <c r="C444" t="s">
        <v>609</v>
      </c>
      <c r="D444" s="19" t="s">
        <v>235</v>
      </c>
      <c r="E444" s="18" t="s">
        <v>147</v>
      </c>
      <c r="F444" s="18">
        <v>10</v>
      </c>
      <c r="G444" s="20">
        <v>589000</v>
      </c>
      <c r="H444" s="18">
        <v>0</v>
      </c>
      <c r="I444" s="20">
        <v>188180</v>
      </c>
      <c r="J444" s="8">
        <f t="shared" si="18"/>
        <v>400820</v>
      </c>
      <c r="K444" s="10">
        <f t="shared" si="19"/>
        <v>0.68050933786078094</v>
      </c>
      <c r="L444" s="17">
        <f t="shared" si="20"/>
        <v>0</v>
      </c>
      <c r="M444" t="str">
        <f>VLOOKUP(D444,'Jer-Tip-Emp'!B:E,4,0)</f>
        <v>Platos mong</v>
      </c>
      <c r="N444" t="str">
        <f>VLOOKUP(D444,'Jer-Tip-Emp'!B:F,5,0)</f>
        <v>No Personal</v>
      </c>
      <c r="O444" t="str">
        <f>VLOOKUP(D444,'Jer-Tip-Emp'!B:G,6,0)</f>
        <v>Caja</v>
      </c>
    </row>
    <row r="445" spans="1:15" ht="27.5" customHeight="1" x14ac:dyDescent="0.2">
      <c r="A445">
        <v>2025</v>
      </c>
      <c r="B445" t="s">
        <v>598</v>
      </c>
      <c r="C445" t="s">
        <v>609</v>
      </c>
      <c r="D445" s="19" t="s">
        <v>295</v>
      </c>
      <c r="E445" s="18" t="s">
        <v>110</v>
      </c>
      <c r="F445" s="18">
        <v>10</v>
      </c>
      <c r="G445" s="20">
        <v>199000</v>
      </c>
      <c r="H445" s="18">
        <v>0</v>
      </c>
      <c r="I445" s="20">
        <v>67680</v>
      </c>
      <c r="J445" s="8">
        <f t="shared" si="18"/>
        <v>131320</v>
      </c>
      <c r="K445" s="10">
        <f t="shared" si="19"/>
        <v>0.65989949748743715</v>
      </c>
      <c r="L445" s="17">
        <f t="shared" si="20"/>
        <v>0</v>
      </c>
      <c r="M445" t="str">
        <f>VLOOKUP(D445,'Jer-Tip-Emp'!B:E,4,0)</f>
        <v>Platos mong</v>
      </c>
      <c r="N445" t="str">
        <f>VLOOKUP(D445,'Jer-Tip-Emp'!B:F,5,0)</f>
        <v>Personal</v>
      </c>
      <c r="O445" t="str">
        <f>VLOOKUP(D445,'Jer-Tip-Emp'!B:G,6,0)</f>
        <v>Caja</v>
      </c>
    </row>
    <row r="446" spans="1:15" ht="27.5" hidden="1" customHeight="1" x14ac:dyDescent="0.2">
      <c r="A446">
        <v>2025</v>
      </c>
      <c r="B446" t="s">
        <v>598</v>
      </c>
      <c r="C446" t="s">
        <v>609</v>
      </c>
      <c r="D446" s="19" t="s">
        <v>409</v>
      </c>
      <c r="E446" s="18" t="s">
        <v>64</v>
      </c>
      <c r="F446" s="18">
        <v>9</v>
      </c>
      <c r="G446" s="20">
        <v>72000</v>
      </c>
      <c r="H446" s="18">
        <v>0</v>
      </c>
      <c r="I446" s="18">
        <v>0</v>
      </c>
      <c r="J446" s="8">
        <f t="shared" si="18"/>
        <v>72000</v>
      </c>
      <c r="K446" s="10">
        <f t="shared" si="19"/>
        <v>1</v>
      </c>
      <c r="L446" s="17">
        <f t="shared" si="20"/>
        <v>0</v>
      </c>
      <c r="M446" t="str">
        <f>VLOOKUP(D446,'Jer-Tip-Emp'!B:E,4,0)</f>
        <v>Bebidas</v>
      </c>
      <c r="N446" t="str">
        <f>VLOOKUP(D446,'Jer-Tip-Emp'!B:F,5,0)</f>
        <v>Bebidas</v>
      </c>
      <c r="O446" t="str">
        <f>VLOOKUP(D446,'Jer-Tip-Emp'!B:G,6,0)</f>
        <v>Bebidas</v>
      </c>
    </row>
    <row r="447" spans="1:15" ht="27.5" hidden="1" customHeight="1" x14ac:dyDescent="0.2">
      <c r="A447">
        <v>2025</v>
      </c>
      <c r="B447" t="s">
        <v>598</v>
      </c>
      <c r="C447" t="s">
        <v>609</v>
      </c>
      <c r="D447" s="19" t="s">
        <v>183</v>
      </c>
      <c r="E447" s="18" t="s">
        <v>104</v>
      </c>
      <c r="F447" s="18">
        <v>9</v>
      </c>
      <c r="G447" s="20">
        <v>143100</v>
      </c>
      <c r="H447" s="18">
        <v>0</v>
      </c>
      <c r="I447" s="20">
        <v>90252</v>
      </c>
      <c r="J447" s="8">
        <f t="shared" si="18"/>
        <v>52848</v>
      </c>
      <c r="K447" s="10">
        <f t="shared" si="19"/>
        <v>0.36930817610062894</v>
      </c>
      <c r="L447" s="17">
        <f t="shared" si="20"/>
        <v>0</v>
      </c>
      <c r="M447" t="str">
        <f>VLOOKUP(D447,'Jer-Tip-Emp'!B:E,4,0)</f>
        <v>Entradas</v>
      </c>
      <c r="N447" t="str">
        <f>VLOOKUP(D447,'Jer-Tip-Emp'!B:F,5,0)</f>
        <v>Otro</v>
      </c>
      <c r="O447" t="str">
        <f>VLOOKUP(D447,'Jer-Tip-Emp'!B:G,6,0)</f>
        <v>Otro</v>
      </c>
    </row>
    <row r="448" spans="1:15" ht="27.5" hidden="1" customHeight="1" x14ac:dyDescent="0.2">
      <c r="A448">
        <v>2025</v>
      </c>
      <c r="B448" t="s">
        <v>598</v>
      </c>
      <c r="C448" t="s">
        <v>609</v>
      </c>
      <c r="D448" s="19" t="s">
        <v>350</v>
      </c>
      <c r="E448" s="18" t="s">
        <v>66</v>
      </c>
      <c r="F448" s="18">
        <v>9</v>
      </c>
      <c r="G448" s="20">
        <v>44100</v>
      </c>
      <c r="H448" s="18">
        <v>0</v>
      </c>
      <c r="I448" s="20">
        <v>14040</v>
      </c>
      <c r="J448" s="8">
        <f t="shared" si="18"/>
        <v>30060</v>
      </c>
      <c r="K448" s="10">
        <f t="shared" si="19"/>
        <v>0.68163265306122445</v>
      </c>
      <c r="L448" s="17">
        <f t="shared" si="20"/>
        <v>0</v>
      </c>
      <c r="M448" t="str">
        <f>VLOOKUP(D448,'Jer-Tip-Emp'!B:E,4,0)</f>
        <v>Bebidas</v>
      </c>
      <c r="N448" t="str">
        <f>VLOOKUP(D448,'Jer-Tip-Emp'!B:F,5,0)</f>
        <v>Bebidas</v>
      </c>
      <c r="O448" t="str">
        <f>VLOOKUP(D448,'Jer-Tip-Emp'!B:G,6,0)</f>
        <v>Bebidas</v>
      </c>
    </row>
    <row r="449" spans="1:15" ht="27.5" hidden="1" customHeight="1" x14ac:dyDescent="0.2">
      <c r="A449">
        <v>2025</v>
      </c>
      <c r="B449" t="s">
        <v>598</v>
      </c>
      <c r="C449" t="s">
        <v>609</v>
      </c>
      <c r="D449" s="19" t="s">
        <v>410</v>
      </c>
      <c r="E449" s="18" t="s">
        <v>559</v>
      </c>
      <c r="F449" s="18">
        <v>8</v>
      </c>
      <c r="G449" s="20">
        <v>18400</v>
      </c>
      <c r="H449" s="18">
        <v>0</v>
      </c>
      <c r="I449" s="20">
        <v>17880</v>
      </c>
      <c r="J449" s="8">
        <f t="shared" si="18"/>
        <v>520</v>
      </c>
      <c r="K449" s="10">
        <f t="shared" si="19"/>
        <v>2.8260869565217391E-2</v>
      </c>
      <c r="L449" s="17">
        <f t="shared" si="20"/>
        <v>0</v>
      </c>
      <c r="M449" t="str">
        <f>VLOOKUP(D449,'Jer-Tip-Emp'!B:E,4,0)</f>
        <v>Bebidas</v>
      </c>
      <c r="N449" t="str">
        <f>VLOOKUP(D449,'Jer-Tip-Emp'!B:F,5,0)</f>
        <v>Bebidas Cambio de bebida</v>
      </c>
      <c r="O449" t="str">
        <f>VLOOKUP(D449,'Jer-Tip-Emp'!B:G,6,0)</f>
        <v>Bebidas</v>
      </c>
    </row>
    <row r="450" spans="1:15" ht="27.5" customHeight="1" x14ac:dyDescent="0.2">
      <c r="A450">
        <v>2025</v>
      </c>
      <c r="B450" t="s">
        <v>598</v>
      </c>
      <c r="C450" t="s">
        <v>609</v>
      </c>
      <c r="D450" s="19" t="s">
        <v>290</v>
      </c>
      <c r="E450" s="18" t="s">
        <v>86</v>
      </c>
      <c r="F450" s="18">
        <v>8</v>
      </c>
      <c r="G450" s="20">
        <v>775200</v>
      </c>
      <c r="H450" s="18">
        <v>0</v>
      </c>
      <c r="I450" s="20">
        <v>374240</v>
      </c>
      <c r="J450" s="8">
        <f t="shared" ref="J450:J513" si="21">G450-I450</f>
        <v>400960</v>
      </c>
      <c r="K450" s="10">
        <f t="shared" ref="K450:K513" si="22">IFERROR(J450/G450,0)</f>
        <v>0.51723426212590295</v>
      </c>
      <c r="L450" s="17">
        <f t="shared" ref="L450:L513" si="23">IFERROR((H450/G450)*-1,0)</f>
        <v>0</v>
      </c>
      <c r="M450" t="str">
        <f>VLOOKUP(D450,'Jer-Tip-Emp'!B:E,4,0)</f>
        <v>Combos para compartir</v>
      </c>
      <c r="N450" t="str">
        <f>VLOOKUP(D450,'Jer-Tip-Emp'!B:F,5,0)</f>
        <v>No Personal</v>
      </c>
      <c r="O450" t="str">
        <f>VLOOKUP(D450,'Jer-Tip-Emp'!B:G,6,0)</f>
        <v>Combo</v>
      </c>
    </row>
    <row r="451" spans="1:15" ht="27.5" customHeight="1" x14ac:dyDescent="0.2">
      <c r="A451">
        <v>2025</v>
      </c>
      <c r="B451" t="s">
        <v>598</v>
      </c>
      <c r="C451" t="s">
        <v>609</v>
      </c>
      <c r="D451" s="19" t="s">
        <v>180</v>
      </c>
      <c r="E451" s="18" t="s">
        <v>128</v>
      </c>
      <c r="F451" s="18">
        <v>8</v>
      </c>
      <c r="G451" s="20">
        <v>167200</v>
      </c>
      <c r="H451" s="18">
        <v>0</v>
      </c>
      <c r="I451" s="20">
        <v>54704</v>
      </c>
      <c r="J451" s="8">
        <f t="shared" si="21"/>
        <v>112496</v>
      </c>
      <c r="K451" s="10">
        <f t="shared" si="22"/>
        <v>0.67282296650717699</v>
      </c>
      <c r="L451" s="17">
        <f t="shared" si="23"/>
        <v>0</v>
      </c>
      <c r="M451" t="str">
        <f>VLOOKUP(D451,'Jer-Tip-Emp'!B:E,4,0)</f>
        <v>Platos mong</v>
      </c>
      <c r="N451" t="str">
        <f>VLOOKUP(D451,'Jer-Tip-Emp'!B:F,5,0)</f>
        <v>Personal</v>
      </c>
      <c r="O451" t="str">
        <f>VLOOKUP(D451,'Jer-Tip-Emp'!B:G,6,0)</f>
        <v>Caja</v>
      </c>
    </row>
    <row r="452" spans="1:15" ht="27.5" hidden="1" customHeight="1" x14ac:dyDescent="0.2">
      <c r="A452">
        <v>2025</v>
      </c>
      <c r="B452" t="s">
        <v>598</v>
      </c>
      <c r="C452" t="s">
        <v>609</v>
      </c>
      <c r="D452" s="19" t="s">
        <v>402</v>
      </c>
      <c r="E452" s="18" t="s">
        <v>63</v>
      </c>
      <c r="F452" s="18">
        <v>8</v>
      </c>
      <c r="G452" s="20">
        <v>39200</v>
      </c>
      <c r="H452" s="18">
        <v>0</v>
      </c>
      <c r="I452" s="20">
        <v>12480</v>
      </c>
      <c r="J452" s="8">
        <f t="shared" si="21"/>
        <v>26720</v>
      </c>
      <c r="K452" s="10">
        <f t="shared" si="22"/>
        <v>0.68163265306122445</v>
      </c>
      <c r="L452" s="17">
        <f t="shared" si="23"/>
        <v>0</v>
      </c>
      <c r="M452" t="str">
        <f>VLOOKUP(D452,'Jer-Tip-Emp'!B:E,4,0)</f>
        <v>Bebidas</v>
      </c>
      <c r="N452" t="str">
        <f>VLOOKUP(D452,'Jer-Tip-Emp'!B:F,5,0)</f>
        <v>Bebidas</v>
      </c>
      <c r="O452" t="str">
        <f>VLOOKUP(D452,'Jer-Tip-Emp'!B:G,6,0)</f>
        <v>Bebidas</v>
      </c>
    </row>
    <row r="453" spans="1:15" ht="27.5" hidden="1" customHeight="1" x14ac:dyDescent="0.2">
      <c r="A453">
        <v>2025</v>
      </c>
      <c r="B453" t="s">
        <v>598</v>
      </c>
      <c r="C453" t="s">
        <v>609</v>
      </c>
      <c r="D453" s="19" t="s">
        <v>189</v>
      </c>
      <c r="E453" s="18" t="s">
        <v>21</v>
      </c>
      <c r="F453" s="18">
        <v>8</v>
      </c>
      <c r="G453" s="20">
        <v>53598</v>
      </c>
      <c r="H453" s="20">
        <v>-1602</v>
      </c>
      <c r="I453" s="20">
        <v>19712</v>
      </c>
      <c r="J453" s="8">
        <f t="shared" si="21"/>
        <v>33886</v>
      </c>
      <c r="K453" s="10">
        <f t="shared" si="22"/>
        <v>0.63222508302548608</v>
      </c>
      <c r="L453" s="17">
        <f t="shared" si="23"/>
        <v>2.9889174969215268E-2</v>
      </c>
      <c r="M453" t="str">
        <f>VLOOKUP(D453,'Jer-Tip-Emp'!B:E,4,0)</f>
        <v>Adición</v>
      </c>
      <c r="N453" t="str">
        <f>VLOOKUP(D453,'Jer-Tip-Emp'!B:F,5,0)</f>
        <v>Adición</v>
      </c>
      <c r="O453" t="str">
        <f>VLOOKUP(D453,'Jer-Tip-Emp'!B:G,6,0)</f>
        <v>Adición</v>
      </c>
    </row>
    <row r="454" spans="1:15" ht="27.5" customHeight="1" x14ac:dyDescent="0.2">
      <c r="A454">
        <v>2025</v>
      </c>
      <c r="B454" t="s">
        <v>598</v>
      </c>
      <c r="C454" t="s">
        <v>609</v>
      </c>
      <c r="D454" s="19" t="s">
        <v>267</v>
      </c>
      <c r="E454" s="18" t="s">
        <v>77</v>
      </c>
      <c r="F454" s="18">
        <v>7</v>
      </c>
      <c r="G454" s="20">
        <v>125300</v>
      </c>
      <c r="H454" s="18">
        <v>0</v>
      </c>
      <c r="I454" s="18">
        <v>0</v>
      </c>
      <c r="J454" s="8">
        <f t="shared" si="21"/>
        <v>125300</v>
      </c>
      <c r="K454" s="10">
        <f t="shared" si="22"/>
        <v>1</v>
      </c>
      <c r="L454" s="17">
        <f t="shared" si="23"/>
        <v>0</v>
      </c>
      <c r="M454" t="str">
        <f>VLOOKUP(D454,'Jer-Tip-Emp'!B:E,4,0)</f>
        <v>Bowl</v>
      </c>
      <c r="N454" t="str">
        <f>VLOOKUP(D454,'Jer-Tip-Emp'!B:F,5,0)</f>
        <v>Personal</v>
      </c>
      <c r="O454" t="str">
        <f>VLOOKUP(D454,'Jer-Tip-Emp'!B:G,6,0)</f>
        <v>Bowl</v>
      </c>
    </row>
    <row r="455" spans="1:15" ht="27.5" customHeight="1" x14ac:dyDescent="0.2">
      <c r="A455">
        <v>2025</v>
      </c>
      <c r="B455" t="s">
        <v>598</v>
      </c>
      <c r="C455" t="s">
        <v>609</v>
      </c>
      <c r="D455" s="19" t="s">
        <v>297</v>
      </c>
      <c r="E455" s="18" t="s">
        <v>131</v>
      </c>
      <c r="F455" s="18">
        <v>7</v>
      </c>
      <c r="G455" s="20">
        <v>132300</v>
      </c>
      <c r="H455" s="18">
        <v>0</v>
      </c>
      <c r="I455" s="20">
        <v>38227</v>
      </c>
      <c r="J455" s="8">
        <f t="shared" si="21"/>
        <v>94073</v>
      </c>
      <c r="K455" s="10">
        <f t="shared" si="22"/>
        <v>0.71105820105820106</v>
      </c>
      <c r="L455" s="17">
        <f t="shared" si="23"/>
        <v>0</v>
      </c>
      <c r="M455" t="str">
        <f>VLOOKUP(D455,'Jer-Tip-Emp'!B:E,4,0)</f>
        <v>Platos mong</v>
      </c>
      <c r="N455" t="str">
        <f>VLOOKUP(D455,'Jer-Tip-Emp'!B:F,5,0)</f>
        <v>Personal</v>
      </c>
      <c r="O455" t="str">
        <f>VLOOKUP(D455,'Jer-Tip-Emp'!B:G,6,0)</f>
        <v>Caja</v>
      </c>
    </row>
    <row r="456" spans="1:15" ht="27.5" customHeight="1" x14ac:dyDescent="0.2">
      <c r="A456">
        <v>2025</v>
      </c>
      <c r="B456" t="s">
        <v>598</v>
      </c>
      <c r="C456" t="s">
        <v>609</v>
      </c>
      <c r="D456" s="19" t="s">
        <v>197</v>
      </c>
      <c r="E456" s="18" t="s">
        <v>31</v>
      </c>
      <c r="F456" s="18">
        <v>7</v>
      </c>
      <c r="G456" s="20">
        <v>55300</v>
      </c>
      <c r="H456" s="18">
        <v>0</v>
      </c>
      <c r="I456" s="20">
        <v>22484</v>
      </c>
      <c r="J456" s="8">
        <f t="shared" si="21"/>
        <v>32816</v>
      </c>
      <c r="K456" s="10">
        <f t="shared" si="22"/>
        <v>0.59341772151898731</v>
      </c>
      <c r="L456" s="17">
        <f t="shared" si="23"/>
        <v>0</v>
      </c>
      <c r="M456" t="str">
        <f>VLOOKUP(D456,'Jer-Tip-Emp'!B:E,4,0)</f>
        <v>Armalo en combo</v>
      </c>
      <c r="N456" t="str">
        <f>VLOOKUP(D456,'Jer-Tip-Emp'!B:F,5,0)</f>
        <v>Personal</v>
      </c>
      <c r="O456" t="str">
        <f>VLOOKUP(D456,'Jer-Tip-Emp'!B:G,6,0)</f>
        <v>Combo</v>
      </c>
    </row>
    <row r="457" spans="1:15" ht="27.5" customHeight="1" x14ac:dyDescent="0.2">
      <c r="A457">
        <v>2025</v>
      </c>
      <c r="B457" t="s">
        <v>598</v>
      </c>
      <c r="C457" t="s">
        <v>609</v>
      </c>
      <c r="D457" s="19" t="s">
        <v>182</v>
      </c>
      <c r="E457" s="18" t="s">
        <v>118</v>
      </c>
      <c r="F457" s="18">
        <v>6</v>
      </c>
      <c r="G457" s="20">
        <v>155400</v>
      </c>
      <c r="H457" s="18">
        <v>0</v>
      </c>
      <c r="I457" s="20">
        <v>56868</v>
      </c>
      <c r="J457" s="8">
        <f t="shared" si="21"/>
        <v>98532</v>
      </c>
      <c r="K457" s="10">
        <f t="shared" si="22"/>
        <v>0.63405405405405402</v>
      </c>
      <c r="L457" s="17">
        <f t="shared" si="23"/>
        <v>0</v>
      </c>
      <c r="M457" t="str">
        <f>VLOOKUP(D457,'Jer-Tip-Emp'!B:E,4,0)</f>
        <v>Platos mong</v>
      </c>
      <c r="N457" t="str">
        <f>VLOOKUP(D457,'Jer-Tip-Emp'!B:F,5,0)</f>
        <v>Personal</v>
      </c>
      <c r="O457" t="str">
        <f>VLOOKUP(D457,'Jer-Tip-Emp'!B:G,6,0)</f>
        <v>Caja</v>
      </c>
    </row>
    <row r="458" spans="1:15" ht="27.5" customHeight="1" x14ac:dyDescent="0.2">
      <c r="A458">
        <v>2025</v>
      </c>
      <c r="B458" t="s">
        <v>598</v>
      </c>
      <c r="C458" t="s">
        <v>609</v>
      </c>
      <c r="D458" s="19" t="s">
        <v>198</v>
      </c>
      <c r="E458" s="18" t="s">
        <v>124</v>
      </c>
      <c r="F458" s="18">
        <v>6</v>
      </c>
      <c r="G458" s="20">
        <v>143400</v>
      </c>
      <c r="H458" s="18">
        <v>0</v>
      </c>
      <c r="I458" s="20">
        <v>52542</v>
      </c>
      <c r="J458" s="8">
        <f t="shared" si="21"/>
        <v>90858</v>
      </c>
      <c r="K458" s="10">
        <f t="shared" si="22"/>
        <v>0.6335983263598326</v>
      </c>
      <c r="L458" s="17">
        <f t="shared" si="23"/>
        <v>0</v>
      </c>
      <c r="M458" t="str">
        <f>VLOOKUP(D458,'Jer-Tip-Emp'!B:E,4,0)</f>
        <v>Platos mong</v>
      </c>
      <c r="N458" t="str">
        <f>VLOOKUP(D458,'Jer-Tip-Emp'!B:F,5,0)</f>
        <v>Personal</v>
      </c>
      <c r="O458" t="str">
        <f>VLOOKUP(D458,'Jer-Tip-Emp'!B:G,6,0)</f>
        <v>Caja</v>
      </c>
    </row>
    <row r="459" spans="1:15" ht="27.5" customHeight="1" x14ac:dyDescent="0.2">
      <c r="A459">
        <v>2025</v>
      </c>
      <c r="B459" t="s">
        <v>598</v>
      </c>
      <c r="C459" t="s">
        <v>609</v>
      </c>
      <c r="D459" s="19" t="s">
        <v>206</v>
      </c>
      <c r="E459" s="18" t="s">
        <v>117</v>
      </c>
      <c r="F459" s="18">
        <v>6</v>
      </c>
      <c r="G459" s="20">
        <v>84500</v>
      </c>
      <c r="H459" s="20">
        <v>-16900</v>
      </c>
      <c r="I459" s="20">
        <v>42750</v>
      </c>
      <c r="J459" s="8">
        <f t="shared" si="21"/>
        <v>41750</v>
      </c>
      <c r="K459" s="10">
        <f t="shared" si="22"/>
        <v>0.49408284023668642</v>
      </c>
      <c r="L459" s="17">
        <f t="shared" si="23"/>
        <v>0.2</v>
      </c>
      <c r="M459" t="str">
        <f>VLOOKUP(D459,'Jer-Tip-Emp'!B:E,4,0)</f>
        <v>Platos especiales</v>
      </c>
      <c r="N459" t="str">
        <f>VLOOKUP(D459,'Jer-Tip-Emp'!B:F,5,0)</f>
        <v>Personal</v>
      </c>
      <c r="O459" t="str">
        <f>VLOOKUP(D459,'Jer-Tip-Emp'!B:G,6,0)</f>
        <v>Platos especiales</v>
      </c>
    </row>
    <row r="460" spans="1:15" ht="27.5" hidden="1" customHeight="1" x14ac:dyDescent="0.2">
      <c r="A460">
        <v>2025</v>
      </c>
      <c r="B460" t="s">
        <v>598</v>
      </c>
      <c r="C460" t="s">
        <v>609</v>
      </c>
      <c r="D460" s="19" t="s">
        <v>296</v>
      </c>
      <c r="E460" s="18" t="s">
        <v>22</v>
      </c>
      <c r="F460" s="18">
        <v>6</v>
      </c>
      <c r="G460" s="20">
        <v>41400</v>
      </c>
      <c r="H460" s="18">
        <v>0</v>
      </c>
      <c r="I460" s="20">
        <v>4134</v>
      </c>
      <c r="J460" s="8">
        <f t="shared" si="21"/>
        <v>37266</v>
      </c>
      <c r="K460" s="10">
        <f t="shared" si="22"/>
        <v>0.90014492753623188</v>
      </c>
      <c r="L460" s="17">
        <f t="shared" si="23"/>
        <v>0</v>
      </c>
      <c r="M460" t="str">
        <f>VLOOKUP(D460,'Jer-Tip-Emp'!B:E,4,0)</f>
        <v>Adición</v>
      </c>
      <c r="N460" t="str">
        <f>VLOOKUP(D460,'Jer-Tip-Emp'!B:F,5,0)</f>
        <v>Adición</v>
      </c>
      <c r="O460" t="str">
        <f>VLOOKUP(D460,'Jer-Tip-Emp'!B:G,6,0)</f>
        <v>Adición</v>
      </c>
    </row>
    <row r="461" spans="1:15" ht="27.5" customHeight="1" x14ac:dyDescent="0.2">
      <c r="A461">
        <v>2025</v>
      </c>
      <c r="B461" t="s">
        <v>598</v>
      </c>
      <c r="C461" t="s">
        <v>609</v>
      </c>
      <c r="D461" s="19" t="s">
        <v>202</v>
      </c>
      <c r="E461" s="18" t="s">
        <v>142</v>
      </c>
      <c r="F461" s="18">
        <v>6</v>
      </c>
      <c r="G461" s="20">
        <v>239400</v>
      </c>
      <c r="H461" s="18">
        <v>0</v>
      </c>
      <c r="I461" s="20">
        <v>85386</v>
      </c>
      <c r="J461" s="8">
        <f t="shared" si="21"/>
        <v>154014</v>
      </c>
      <c r="K461" s="10">
        <f t="shared" si="22"/>
        <v>0.64333333333333331</v>
      </c>
      <c r="L461" s="17">
        <f t="shared" si="23"/>
        <v>0</v>
      </c>
      <c r="M461" t="str">
        <f>VLOOKUP(D461,'Jer-Tip-Emp'!B:E,4,0)</f>
        <v>Platos mong</v>
      </c>
      <c r="N461" t="str">
        <f>VLOOKUP(D461,'Jer-Tip-Emp'!B:F,5,0)</f>
        <v>No Personal</v>
      </c>
      <c r="O461" t="str">
        <f>VLOOKUP(D461,'Jer-Tip-Emp'!B:G,6,0)</f>
        <v>Caja</v>
      </c>
    </row>
    <row r="462" spans="1:15" ht="27.5" hidden="1" customHeight="1" x14ac:dyDescent="0.2">
      <c r="A462">
        <v>2025</v>
      </c>
      <c r="B462" t="s">
        <v>598</v>
      </c>
      <c r="C462" t="s">
        <v>609</v>
      </c>
      <c r="D462" s="19" t="s">
        <v>444</v>
      </c>
      <c r="E462" s="18" t="s">
        <v>562</v>
      </c>
      <c r="F462" s="18">
        <v>6</v>
      </c>
      <c r="G462" s="20">
        <v>9600</v>
      </c>
      <c r="H462" s="18">
        <v>0</v>
      </c>
      <c r="I462" s="20">
        <v>9660</v>
      </c>
      <c r="J462" s="8">
        <f t="shared" si="21"/>
        <v>-60</v>
      </c>
      <c r="K462" s="10">
        <f t="shared" si="22"/>
        <v>-6.2500000000000003E-3</v>
      </c>
      <c r="L462" s="17">
        <f t="shared" si="23"/>
        <v>0</v>
      </c>
      <c r="M462" t="str">
        <f>VLOOKUP(D462,'Jer-Tip-Emp'!B:E,4,0)</f>
        <v>Bebidas</v>
      </c>
      <c r="N462" t="str">
        <f>VLOOKUP(D462,'Jer-Tip-Emp'!B:F,5,0)</f>
        <v>Bebidas Cambio de bebida</v>
      </c>
      <c r="O462" t="str">
        <f>VLOOKUP(D462,'Jer-Tip-Emp'!B:G,6,0)</f>
        <v>Bebidas</v>
      </c>
    </row>
    <row r="463" spans="1:15" ht="27.5" customHeight="1" x14ac:dyDescent="0.2">
      <c r="A463">
        <v>2025</v>
      </c>
      <c r="B463" t="s">
        <v>598</v>
      </c>
      <c r="C463" t="s">
        <v>609</v>
      </c>
      <c r="D463" s="19" t="s">
        <v>266</v>
      </c>
      <c r="E463" s="18" t="s">
        <v>85</v>
      </c>
      <c r="F463" s="18">
        <v>6</v>
      </c>
      <c r="G463" s="20">
        <v>497400</v>
      </c>
      <c r="H463" s="18">
        <v>0</v>
      </c>
      <c r="I463" s="20">
        <v>235326</v>
      </c>
      <c r="J463" s="8">
        <f t="shared" si="21"/>
        <v>262074</v>
      </c>
      <c r="K463" s="10">
        <f t="shared" si="22"/>
        <v>0.52688781664656215</v>
      </c>
      <c r="L463" s="17">
        <f t="shared" si="23"/>
        <v>0</v>
      </c>
      <c r="M463" t="str">
        <f>VLOOKUP(D463,'Jer-Tip-Emp'!B:E,4,0)</f>
        <v>Combos para compartir</v>
      </c>
      <c r="N463" t="str">
        <f>VLOOKUP(D463,'Jer-Tip-Emp'!B:F,5,0)</f>
        <v>No Personal</v>
      </c>
      <c r="O463" t="str">
        <f>VLOOKUP(D463,'Jer-Tip-Emp'!B:G,6,0)</f>
        <v>Combo</v>
      </c>
    </row>
    <row r="464" spans="1:15" ht="27.5" hidden="1" customHeight="1" x14ac:dyDescent="0.2">
      <c r="A464">
        <v>2025</v>
      </c>
      <c r="B464" t="s">
        <v>598</v>
      </c>
      <c r="C464" t="s">
        <v>609</v>
      </c>
      <c r="D464" s="19" t="s">
        <v>321</v>
      </c>
      <c r="E464" s="18" t="s">
        <v>72</v>
      </c>
      <c r="F464" s="18">
        <v>6</v>
      </c>
      <c r="G464" s="20">
        <v>29400</v>
      </c>
      <c r="H464" s="18">
        <v>0</v>
      </c>
      <c r="I464" s="20">
        <v>7980</v>
      </c>
      <c r="J464" s="8">
        <f t="shared" si="21"/>
        <v>21420</v>
      </c>
      <c r="K464" s="10">
        <f t="shared" si="22"/>
        <v>0.72857142857142854</v>
      </c>
      <c r="L464" s="17">
        <f t="shared" si="23"/>
        <v>0</v>
      </c>
      <c r="M464" t="str">
        <f>VLOOKUP(D464,'Jer-Tip-Emp'!B:E,4,0)</f>
        <v>Bebidas</v>
      </c>
      <c r="N464" t="str">
        <f>VLOOKUP(D464,'Jer-Tip-Emp'!B:F,5,0)</f>
        <v>Bebidas</v>
      </c>
      <c r="O464" t="str">
        <f>VLOOKUP(D464,'Jer-Tip-Emp'!B:G,6,0)</f>
        <v>Bebidas</v>
      </c>
    </row>
    <row r="465" spans="1:15" ht="27.5" hidden="1" customHeight="1" x14ac:dyDescent="0.2">
      <c r="A465">
        <v>2025</v>
      </c>
      <c r="B465" t="s">
        <v>598</v>
      </c>
      <c r="C465" t="s">
        <v>609</v>
      </c>
      <c r="D465" s="19" t="s">
        <v>495</v>
      </c>
      <c r="E465" s="18" t="s">
        <v>572</v>
      </c>
      <c r="F465" s="18">
        <v>5</v>
      </c>
      <c r="G465" s="20">
        <v>8000</v>
      </c>
      <c r="H465" s="18">
        <v>0</v>
      </c>
      <c r="I465" s="20">
        <v>9480</v>
      </c>
      <c r="J465" s="8">
        <f t="shared" si="21"/>
        <v>-1480</v>
      </c>
      <c r="K465" s="10">
        <f t="shared" si="22"/>
        <v>-0.185</v>
      </c>
      <c r="L465" s="17">
        <f t="shared" si="23"/>
        <v>0</v>
      </c>
      <c r="M465" t="str">
        <f>VLOOKUP(D465,'Jer-Tip-Emp'!B:E,4,0)</f>
        <v>Bebidas</v>
      </c>
      <c r="N465" t="str">
        <f>VLOOKUP(D465,'Jer-Tip-Emp'!B:F,5,0)</f>
        <v>Bebidas Cambio de bebida</v>
      </c>
      <c r="O465" t="str">
        <f>VLOOKUP(D465,'Jer-Tip-Emp'!B:G,6,0)</f>
        <v>Bebidas</v>
      </c>
    </row>
    <row r="466" spans="1:15" ht="27.5" hidden="1" customHeight="1" x14ac:dyDescent="0.2">
      <c r="A466">
        <v>2025</v>
      </c>
      <c r="B466" t="s">
        <v>598</v>
      </c>
      <c r="C466" t="s">
        <v>609</v>
      </c>
      <c r="D466" s="19" t="s">
        <v>339</v>
      </c>
      <c r="E466" s="18" t="s">
        <v>65</v>
      </c>
      <c r="F466" s="18">
        <v>5</v>
      </c>
      <c r="G466" s="20">
        <v>24500</v>
      </c>
      <c r="H466" s="18">
        <v>0</v>
      </c>
      <c r="I466" s="20">
        <v>7800</v>
      </c>
      <c r="J466" s="8">
        <f t="shared" si="21"/>
        <v>16700</v>
      </c>
      <c r="K466" s="10">
        <f t="shared" si="22"/>
        <v>0.68163265306122445</v>
      </c>
      <c r="L466" s="17">
        <f t="shared" si="23"/>
        <v>0</v>
      </c>
      <c r="M466" t="str">
        <f>VLOOKUP(D466,'Jer-Tip-Emp'!B:E,4,0)</f>
        <v>Bebidas</v>
      </c>
      <c r="N466" t="str">
        <f>VLOOKUP(D466,'Jer-Tip-Emp'!B:F,5,0)</f>
        <v>Bebidas</v>
      </c>
      <c r="O466" t="str">
        <f>VLOOKUP(D466,'Jer-Tip-Emp'!B:G,6,0)</f>
        <v>Bebidas</v>
      </c>
    </row>
    <row r="467" spans="1:15" ht="27.5" customHeight="1" x14ac:dyDescent="0.2">
      <c r="A467">
        <v>2025</v>
      </c>
      <c r="B467" t="s">
        <v>598</v>
      </c>
      <c r="C467" t="s">
        <v>609</v>
      </c>
      <c r="D467" s="19" t="s">
        <v>298</v>
      </c>
      <c r="E467" s="18" t="s">
        <v>153</v>
      </c>
      <c r="F467" s="18">
        <v>4</v>
      </c>
      <c r="G467" s="20">
        <v>83600</v>
      </c>
      <c r="H467" s="18">
        <v>0</v>
      </c>
      <c r="I467" s="20">
        <v>34084</v>
      </c>
      <c r="J467" s="8">
        <f t="shared" si="21"/>
        <v>49516</v>
      </c>
      <c r="K467" s="10">
        <f t="shared" si="22"/>
        <v>0.59229665071770332</v>
      </c>
      <c r="L467" s="17">
        <f t="shared" si="23"/>
        <v>0</v>
      </c>
      <c r="M467" t="str">
        <f>VLOOKUP(D467,'Jer-Tip-Emp'!B:E,4,0)</f>
        <v>Platos mong</v>
      </c>
      <c r="N467" t="str">
        <f>VLOOKUP(D467,'Jer-Tip-Emp'!B:F,5,0)</f>
        <v>Personal</v>
      </c>
      <c r="O467" t="str">
        <f>VLOOKUP(D467,'Jer-Tip-Emp'!B:G,6,0)</f>
        <v>Caja</v>
      </c>
    </row>
    <row r="468" spans="1:15" ht="27.5" customHeight="1" x14ac:dyDescent="0.2">
      <c r="A468">
        <v>2025</v>
      </c>
      <c r="B468" t="s">
        <v>598</v>
      </c>
      <c r="C468" t="s">
        <v>609</v>
      </c>
      <c r="D468" s="19" t="s">
        <v>225</v>
      </c>
      <c r="E468" s="18" t="s">
        <v>157</v>
      </c>
      <c r="F468" s="18">
        <v>4</v>
      </c>
      <c r="G468" s="20">
        <v>71600</v>
      </c>
      <c r="H468" s="18">
        <v>0</v>
      </c>
      <c r="I468" s="20">
        <v>28564</v>
      </c>
      <c r="J468" s="8">
        <f t="shared" si="21"/>
        <v>43036</v>
      </c>
      <c r="K468" s="10">
        <f t="shared" si="22"/>
        <v>0.60106145251396648</v>
      </c>
      <c r="L468" s="17">
        <f t="shared" si="23"/>
        <v>0</v>
      </c>
      <c r="M468" t="str">
        <f>VLOOKUP(D468,'Jer-Tip-Emp'!B:E,4,0)</f>
        <v>Platos mong</v>
      </c>
      <c r="N468" t="str">
        <f>VLOOKUP(D468,'Jer-Tip-Emp'!B:F,5,0)</f>
        <v>Personal</v>
      </c>
      <c r="O468" t="str">
        <f>VLOOKUP(D468,'Jer-Tip-Emp'!B:G,6,0)</f>
        <v>Caja</v>
      </c>
    </row>
    <row r="469" spans="1:15" ht="27.5" customHeight="1" x14ac:dyDescent="0.2">
      <c r="A469">
        <v>2025</v>
      </c>
      <c r="B469" t="s">
        <v>598</v>
      </c>
      <c r="C469" t="s">
        <v>609</v>
      </c>
      <c r="D469" s="19" t="s">
        <v>261</v>
      </c>
      <c r="E469" s="18" t="s">
        <v>135</v>
      </c>
      <c r="F469" s="18">
        <v>4</v>
      </c>
      <c r="G469" s="20">
        <v>71600</v>
      </c>
      <c r="H469" s="18">
        <v>0</v>
      </c>
      <c r="I469" s="20">
        <v>21864</v>
      </c>
      <c r="J469" s="8">
        <f t="shared" si="21"/>
        <v>49736</v>
      </c>
      <c r="K469" s="10">
        <f t="shared" si="22"/>
        <v>0.69463687150837994</v>
      </c>
      <c r="L469" s="17">
        <f t="shared" si="23"/>
        <v>0</v>
      </c>
      <c r="M469" t="str">
        <f>VLOOKUP(D469,'Jer-Tip-Emp'!B:E,4,0)</f>
        <v>Platos mong</v>
      </c>
      <c r="N469" t="str">
        <f>VLOOKUP(D469,'Jer-Tip-Emp'!B:F,5,0)</f>
        <v>Personal</v>
      </c>
      <c r="O469" t="str">
        <f>VLOOKUP(D469,'Jer-Tip-Emp'!B:G,6,0)</f>
        <v>Caja</v>
      </c>
    </row>
    <row r="470" spans="1:15" ht="27.5" hidden="1" customHeight="1" x14ac:dyDescent="0.2">
      <c r="A470">
        <v>2025</v>
      </c>
      <c r="B470" t="s">
        <v>598</v>
      </c>
      <c r="C470" t="s">
        <v>609</v>
      </c>
      <c r="D470" s="19" t="s">
        <v>314</v>
      </c>
      <c r="E470" s="18" t="s">
        <v>67</v>
      </c>
      <c r="F470" s="18">
        <v>4</v>
      </c>
      <c r="G470" s="20">
        <v>19600</v>
      </c>
      <c r="H470" s="18">
        <v>0</v>
      </c>
      <c r="I470" s="20">
        <v>5320</v>
      </c>
      <c r="J470" s="8">
        <f t="shared" si="21"/>
        <v>14280</v>
      </c>
      <c r="K470" s="10">
        <f t="shared" si="22"/>
        <v>0.72857142857142854</v>
      </c>
      <c r="L470" s="17">
        <f t="shared" si="23"/>
        <v>0</v>
      </c>
      <c r="M470" t="str">
        <f>VLOOKUP(D470,'Jer-Tip-Emp'!B:E,4,0)</f>
        <v>Bebidas</v>
      </c>
      <c r="N470" t="str">
        <f>VLOOKUP(D470,'Jer-Tip-Emp'!B:F,5,0)</f>
        <v>Bebidas</v>
      </c>
      <c r="O470" t="str">
        <f>VLOOKUP(D470,'Jer-Tip-Emp'!B:G,6,0)</f>
        <v>Bebidas</v>
      </c>
    </row>
    <row r="471" spans="1:15" ht="27.5" customHeight="1" x14ac:dyDescent="0.2">
      <c r="A471">
        <v>2025</v>
      </c>
      <c r="B471" t="s">
        <v>598</v>
      </c>
      <c r="C471" t="s">
        <v>609</v>
      </c>
      <c r="D471" s="19" t="s">
        <v>252</v>
      </c>
      <c r="E471" s="18" t="s">
        <v>100</v>
      </c>
      <c r="F471" s="18">
        <v>4</v>
      </c>
      <c r="G471" s="20">
        <v>267600</v>
      </c>
      <c r="H471" s="18">
        <v>0</v>
      </c>
      <c r="I471" s="20">
        <v>129404</v>
      </c>
      <c r="J471" s="8">
        <f t="shared" si="21"/>
        <v>138196</v>
      </c>
      <c r="K471" s="10">
        <f t="shared" si="22"/>
        <v>0.51642750373692081</v>
      </c>
      <c r="L471" s="17">
        <f t="shared" si="23"/>
        <v>0</v>
      </c>
      <c r="M471" t="str">
        <f>VLOOKUP(D471,'Jer-Tip-Emp'!B:E,4,0)</f>
        <v>Platos mong</v>
      </c>
      <c r="N471" t="str">
        <f>VLOOKUP(D471,'Jer-Tip-Emp'!B:F,5,0)</f>
        <v>No Personal</v>
      </c>
      <c r="O471" t="str">
        <f>VLOOKUP(D471,'Jer-Tip-Emp'!B:G,6,0)</f>
        <v>Caja</v>
      </c>
    </row>
    <row r="472" spans="1:15" ht="27.5" customHeight="1" x14ac:dyDescent="0.2">
      <c r="A472">
        <v>2025</v>
      </c>
      <c r="B472" t="s">
        <v>598</v>
      </c>
      <c r="C472" t="s">
        <v>609</v>
      </c>
      <c r="D472" s="19" t="s">
        <v>286</v>
      </c>
      <c r="E472" s="18" t="s">
        <v>144</v>
      </c>
      <c r="F472" s="18">
        <v>4</v>
      </c>
      <c r="G472" s="20">
        <v>307600</v>
      </c>
      <c r="H472" s="18">
        <v>0</v>
      </c>
      <c r="I472" s="20">
        <v>138620</v>
      </c>
      <c r="J472" s="8">
        <f t="shared" si="21"/>
        <v>168980</v>
      </c>
      <c r="K472" s="10">
        <f t="shared" si="22"/>
        <v>0.54934980494148244</v>
      </c>
      <c r="L472" s="17">
        <f t="shared" si="23"/>
        <v>0</v>
      </c>
      <c r="M472" t="str">
        <f>VLOOKUP(D472,'Jer-Tip-Emp'!B:E,4,0)</f>
        <v>Platos mong</v>
      </c>
      <c r="N472" t="str">
        <f>VLOOKUP(D472,'Jer-Tip-Emp'!B:F,5,0)</f>
        <v>No Personal</v>
      </c>
      <c r="O472" t="str">
        <f>VLOOKUP(D472,'Jer-Tip-Emp'!B:G,6,0)</f>
        <v>Caja</v>
      </c>
    </row>
    <row r="473" spans="1:15" ht="27.5" hidden="1" customHeight="1" x14ac:dyDescent="0.2">
      <c r="A473">
        <v>2025</v>
      </c>
      <c r="B473" t="s">
        <v>598</v>
      </c>
      <c r="C473" t="s">
        <v>609</v>
      </c>
      <c r="D473" s="19" t="s">
        <v>494</v>
      </c>
      <c r="E473" s="18" t="s">
        <v>568</v>
      </c>
      <c r="F473" s="18">
        <v>4</v>
      </c>
      <c r="G473" s="20">
        <v>6400</v>
      </c>
      <c r="H473" s="18">
        <v>0</v>
      </c>
      <c r="I473" s="20">
        <v>8556</v>
      </c>
      <c r="J473" s="8">
        <f t="shared" si="21"/>
        <v>-2156</v>
      </c>
      <c r="K473" s="10">
        <f t="shared" si="22"/>
        <v>-0.33687499999999998</v>
      </c>
      <c r="L473" s="17">
        <f t="shared" si="23"/>
        <v>0</v>
      </c>
      <c r="M473" t="str">
        <f>VLOOKUP(D473,'Jer-Tip-Emp'!B:E,4,0)</f>
        <v>Bebidas</v>
      </c>
      <c r="N473" t="str">
        <f>VLOOKUP(D473,'Jer-Tip-Emp'!B:F,5,0)</f>
        <v>Bebidas Cambio de bebida</v>
      </c>
      <c r="O473" t="str">
        <f>VLOOKUP(D473,'Jer-Tip-Emp'!B:G,6,0)</f>
        <v>Bebidas</v>
      </c>
    </row>
    <row r="474" spans="1:15" ht="27.5" hidden="1" customHeight="1" x14ac:dyDescent="0.2">
      <c r="A474">
        <v>2025</v>
      </c>
      <c r="B474" t="s">
        <v>598</v>
      </c>
      <c r="C474" t="s">
        <v>609</v>
      </c>
      <c r="D474" s="19" t="s">
        <v>492</v>
      </c>
      <c r="E474" s="18" t="s">
        <v>577</v>
      </c>
      <c r="F474" s="18">
        <v>3</v>
      </c>
      <c r="G474" s="20">
        <v>4800</v>
      </c>
      <c r="H474" s="18">
        <v>0</v>
      </c>
      <c r="I474" s="20">
        <v>5685</v>
      </c>
      <c r="J474" s="8">
        <f t="shared" si="21"/>
        <v>-885</v>
      </c>
      <c r="K474" s="10">
        <f t="shared" si="22"/>
        <v>-0.18437500000000001</v>
      </c>
      <c r="L474" s="17">
        <f t="shared" si="23"/>
        <v>0</v>
      </c>
      <c r="M474" t="str">
        <f>VLOOKUP(D474,'Jer-Tip-Emp'!B:E,4,0)</f>
        <v>Bebidas</v>
      </c>
      <c r="N474" t="str">
        <f>VLOOKUP(D474,'Jer-Tip-Emp'!B:F,5,0)</f>
        <v>Bebidas Cambio de bebida</v>
      </c>
      <c r="O474" t="str">
        <f>VLOOKUP(D474,'Jer-Tip-Emp'!B:G,6,0)</f>
        <v>Bebidas</v>
      </c>
    </row>
    <row r="475" spans="1:15" ht="27.5" hidden="1" customHeight="1" x14ac:dyDescent="0.2">
      <c r="A475">
        <v>2025</v>
      </c>
      <c r="B475" t="s">
        <v>598</v>
      </c>
      <c r="C475" t="s">
        <v>609</v>
      </c>
      <c r="D475" s="19" t="s">
        <v>254</v>
      </c>
      <c r="E475" s="18" t="s">
        <v>20</v>
      </c>
      <c r="F475" s="18">
        <v>3</v>
      </c>
      <c r="G475" s="20">
        <v>14700</v>
      </c>
      <c r="H475" s="18">
        <v>0</v>
      </c>
      <c r="I475" s="20">
        <v>9030</v>
      </c>
      <c r="J475" s="8">
        <f t="shared" si="21"/>
        <v>5670</v>
      </c>
      <c r="K475" s="10">
        <f t="shared" si="22"/>
        <v>0.38571428571428573</v>
      </c>
      <c r="L475" s="17">
        <f t="shared" si="23"/>
        <v>0</v>
      </c>
      <c r="M475" t="str">
        <f>VLOOKUP(D475,'Jer-Tip-Emp'!B:E,4,0)</f>
        <v>Adición</v>
      </c>
      <c r="N475" t="str">
        <f>VLOOKUP(D475,'Jer-Tip-Emp'!B:F,5,0)</f>
        <v>Adición</v>
      </c>
      <c r="O475" t="str">
        <f>VLOOKUP(D475,'Jer-Tip-Emp'!B:G,6,0)</f>
        <v>Adición</v>
      </c>
    </row>
    <row r="476" spans="1:15" ht="27.5" hidden="1" customHeight="1" x14ac:dyDescent="0.2">
      <c r="A476">
        <v>2025</v>
      </c>
      <c r="B476" t="s">
        <v>598</v>
      </c>
      <c r="C476" t="s">
        <v>609</v>
      </c>
      <c r="D476" s="19" t="s">
        <v>452</v>
      </c>
      <c r="E476" s="18" t="s">
        <v>573</v>
      </c>
      <c r="F476" s="18">
        <v>3</v>
      </c>
      <c r="G476" s="20">
        <v>4800</v>
      </c>
      <c r="H476" s="18">
        <v>0</v>
      </c>
      <c r="I476" s="20">
        <v>5622</v>
      </c>
      <c r="J476" s="8">
        <f t="shared" si="21"/>
        <v>-822</v>
      </c>
      <c r="K476" s="10">
        <f t="shared" si="22"/>
        <v>-0.17125000000000001</v>
      </c>
      <c r="L476" s="17">
        <f t="shared" si="23"/>
        <v>0</v>
      </c>
      <c r="M476" t="str">
        <f>VLOOKUP(D476,'Jer-Tip-Emp'!B:E,4,0)</f>
        <v>Bebidas</v>
      </c>
      <c r="N476" t="str">
        <f>VLOOKUP(D476,'Jer-Tip-Emp'!B:F,5,0)</f>
        <v>Bebidas Cambio de bebida</v>
      </c>
      <c r="O476" t="str">
        <f>VLOOKUP(D476,'Jer-Tip-Emp'!B:G,6,0)</f>
        <v>Bebidas</v>
      </c>
    </row>
    <row r="477" spans="1:15" ht="27.5" customHeight="1" x14ac:dyDescent="0.2">
      <c r="A477">
        <v>2025</v>
      </c>
      <c r="B477" t="s">
        <v>598</v>
      </c>
      <c r="C477" t="s">
        <v>609</v>
      </c>
      <c r="D477" s="19" t="s">
        <v>221</v>
      </c>
      <c r="E477" s="18" t="s">
        <v>27</v>
      </c>
      <c r="F477" s="18">
        <v>3</v>
      </c>
      <c r="G477" s="20">
        <v>23700</v>
      </c>
      <c r="H477" s="18">
        <v>0</v>
      </c>
      <c r="I477" s="18">
        <v>0</v>
      </c>
      <c r="J477" s="8">
        <f t="shared" si="21"/>
        <v>23700</v>
      </c>
      <c r="K477" s="10">
        <f t="shared" si="22"/>
        <v>1</v>
      </c>
      <c r="L477" s="17">
        <f t="shared" si="23"/>
        <v>0</v>
      </c>
      <c r="M477" t="str">
        <f>VLOOKUP(D477,'Jer-Tip-Emp'!B:E,4,0)</f>
        <v>Armalo en combo</v>
      </c>
      <c r="N477" t="str">
        <f>VLOOKUP(D477,'Jer-Tip-Emp'!B:F,5,0)</f>
        <v>Personal</v>
      </c>
      <c r="O477" t="str">
        <f>VLOOKUP(D477,'Jer-Tip-Emp'!B:G,6,0)</f>
        <v>Combo</v>
      </c>
    </row>
    <row r="478" spans="1:15" ht="27.5" customHeight="1" x14ac:dyDescent="0.2">
      <c r="A478">
        <v>2025</v>
      </c>
      <c r="B478" t="s">
        <v>598</v>
      </c>
      <c r="C478" t="s">
        <v>609</v>
      </c>
      <c r="D478" s="19" t="s">
        <v>278</v>
      </c>
      <c r="E478" s="18" t="s">
        <v>84</v>
      </c>
      <c r="F478" s="18">
        <v>3</v>
      </c>
      <c r="G478" s="20">
        <v>62700</v>
      </c>
      <c r="H478" s="18">
        <v>0</v>
      </c>
      <c r="I478" s="20">
        <v>23919</v>
      </c>
      <c r="J478" s="8">
        <f t="shared" si="21"/>
        <v>38781</v>
      </c>
      <c r="K478" s="10">
        <f t="shared" si="22"/>
        <v>0.61851674641148324</v>
      </c>
      <c r="L478" s="17">
        <f t="shared" si="23"/>
        <v>0</v>
      </c>
      <c r="M478" t="str">
        <f>VLOOKUP(D478,'Jer-Tip-Emp'!B:E,4,0)</f>
        <v>Combos para compartir</v>
      </c>
      <c r="N478" t="str">
        <f>VLOOKUP(D478,'Jer-Tip-Emp'!B:F,5,0)</f>
        <v>No Personal</v>
      </c>
      <c r="O478" t="str">
        <f>VLOOKUP(D478,'Jer-Tip-Emp'!B:G,6,0)</f>
        <v>Combo</v>
      </c>
    </row>
    <row r="479" spans="1:15" ht="27.5" hidden="1" customHeight="1" x14ac:dyDescent="0.2">
      <c r="A479">
        <v>2025</v>
      </c>
      <c r="B479" t="s">
        <v>598</v>
      </c>
      <c r="C479" t="s">
        <v>609</v>
      </c>
      <c r="D479" s="19" t="s">
        <v>445</v>
      </c>
      <c r="E479" s="18" t="s">
        <v>570</v>
      </c>
      <c r="F479" s="18">
        <v>2</v>
      </c>
      <c r="G479" s="20">
        <v>3200</v>
      </c>
      <c r="H479" s="18">
        <v>0</v>
      </c>
      <c r="I479" s="20">
        <v>3422</v>
      </c>
      <c r="J479" s="8">
        <f t="shared" si="21"/>
        <v>-222</v>
      </c>
      <c r="K479" s="10">
        <f t="shared" si="22"/>
        <v>-6.9375000000000006E-2</v>
      </c>
      <c r="L479" s="17">
        <f t="shared" si="23"/>
        <v>0</v>
      </c>
      <c r="M479" t="str">
        <f>VLOOKUP(D479,'Jer-Tip-Emp'!B:E,4,0)</f>
        <v>Bebidas</v>
      </c>
      <c r="N479" t="str">
        <f>VLOOKUP(D479,'Jer-Tip-Emp'!B:F,5,0)</f>
        <v>Bebidas Cambio de bebida</v>
      </c>
      <c r="O479" t="str">
        <f>VLOOKUP(D479,'Jer-Tip-Emp'!B:G,6,0)</f>
        <v>Bebidas</v>
      </c>
    </row>
    <row r="480" spans="1:15" ht="27.5" hidden="1" customHeight="1" x14ac:dyDescent="0.2">
      <c r="A480">
        <v>2025</v>
      </c>
      <c r="B480" t="s">
        <v>598</v>
      </c>
      <c r="C480" t="s">
        <v>609</v>
      </c>
      <c r="D480" s="19" t="s">
        <v>450</v>
      </c>
      <c r="E480" s="18" t="s">
        <v>565</v>
      </c>
      <c r="F480" s="18">
        <v>2</v>
      </c>
      <c r="G480" s="20">
        <v>3200</v>
      </c>
      <c r="H480" s="18">
        <v>0</v>
      </c>
      <c r="I480" s="20">
        <v>3748</v>
      </c>
      <c r="J480" s="8">
        <f t="shared" si="21"/>
        <v>-548</v>
      </c>
      <c r="K480" s="10">
        <f t="shared" si="22"/>
        <v>-0.17125000000000001</v>
      </c>
      <c r="L480" s="17">
        <f t="shared" si="23"/>
        <v>0</v>
      </c>
      <c r="M480" t="str">
        <f>VLOOKUP(D480,'Jer-Tip-Emp'!B:E,4,0)</f>
        <v>Bebidas</v>
      </c>
      <c r="N480" t="str">
        <f>VLOOKUP(D480,'Jer-Tip-Emp'!B:F,5,0)</f>
        <v>Bebidas Cambio de bebida</v>
      </c>
      <c r="O480" t="str">
        <f>VLOOKUP(D480,'Jer-Tip-Emp'!B:G,6,0)</f>
        <v>Bebidas</v>
      </c>
    </row>
    <row r="481" spans="1:15" ht="27.5" hidden="1" customHeight="1" x14ac:dyDescent="0.2">
      <c r="A481">
        <v>2025</v>
      </c>
      <c r="B481" t="s">
        <v>598</v>
      </c>
      <c r="C481" t="s">
        <v>609</v>
      </c>
      <c r="D481" s="19" t="s">
        <v>465</v>
      </c>
      <c r="E481" s="18" t="s">
        <v>578</v>
      </c>
      <c r="F481" s="18">
        <v>2</v>
      </c>
      <c r="G481" s="20">
        <v>4600</v>
      </c>
      <c r="H481" s="18">
        <v>0</v>
      </c>
      <c r="I481" s="20">
        <v>4478</v>
      </c>
      <c r="J481" s="8">
        <f t="shared" si="21"/>
        <v>122</v>
      </c>
      <c r="K481" s="10">
        <f t="shared" si="22"/>
        <v>2.6521739130434784E-2</v>
      </c>
      <c r="L481" s="17">
        <f t="shared" si="23"/>
        <v>0</v>
      </c>
      <c r="M481" t="str">
        <f>VLOOKUP(D481,'Jer-Tip-Emp'!B:E,4,0)</f>
        <v>Bebidas</v>
      </c>
      <c r="N481" t="str">
        <f>VLOOKUP(D481,'Jer-Tip-Emp'!B:F,5,0)</f>
        <v>Bebidas Cambio de bebida</v>
      </c>
      <c r="O481" t="str">
        <f>VLOOKUP(D481,'Jer-Tip-Emp'!B:G,6,0)</f>
        <v>Bebidas</v>
      </c>
    </row>
    <row r="482" spans="1:15" ht="27.5" customHeight="1" x14ac:dyDescent="0.2">
      <c r="A482">
        <v>2025</v>
      </c>
      <c r="B482" t="s">
        <v>598</v>
      </c>
      <c r="C482" t="s">
        <v>609</v>
      </c>
      <c r="D482" s="19" t="s">
        <v>220</v>
      </c>
      <c r="E482" s="18" t="s">
        <v>161</v>
      </c>
      <c r="F482" s="18">
        <v>2</v>
      </c>
      <c r="G482" s="20">
        <v>45800</v>
      </c>
      <c r="H482" s="18">
        <v>0</v>
      </c>
      <c r="I482" s="20">
        <v>16502</v>
      </c>
      <c r="J482" s="8">
        <f t="shared" si="21"/>
        <v>29298</v>
      </c>
      <c r="K482" s="10">
        <f t="shared" si="22"/>
        <v>0.63969432314410479</v>
      </c>
      <c r="L482" s="17">
        <f t="shared" si="23"/>
        <v>0</v>
      </c>
      <c r="M482" t="str">
        <f>VLOOKUP(D482,'Jer-Tip-Emp'!B:E,4,0)</f>
        <v>Combos personales</v>
      </c>
      <c r="N482" t="str">
        <f>VLOOKUP(D482,'Jer-Tip-Emp'!B:F,5,0)</f>
        <v>Personal</v>
      </c>
      <c r="O482" t="str">
        <f>VLOOKUP(D482,'Jer-Tip-Emp'!B:G,6,0)</f>
        <v>Combo</v>
      </c>
    </row>
    <row r="483" spans="1:15" ht="27.5" customHeight="1" x14ac:dyDescent="0.2">
      <c r="A483">
        <v>2025</v>
      </c>
      <c r="B483" t="s">
        <v>598</v>
      </c>
      <c r="C483" t="s">
        <v>609</v>
      </c>
      <c r="D483" s="19" t="s">
        <v>240</v>
      </c>
      <c r="E483" s="18" t="s">
        <v>139</v>
      </c>
      <c r="F483" s="18">
        <v>2</v>
      </c>
      <c r="G483" s="20">
        <v>111800</v>
      </c>
      <c r="H483" s="18">
        <v>0</v>
      </c>
      <c r="I483" s="20">
        <v>48510</v>
      </c>
      <c r="J483" s="8">
        <f t="shared" si="21"/>
        <v>63290</v>
      </c>
      <c r="K483" s="10">
        <f t="shared" si="22"/>
        <v>0.5661001788908766</v>
      </c>
      <c r="L483" s="17">
        <f t="shared" si="23"/>
        <v>0</v>
      </c>
      <c r="M483" t="str">
        <f>VLOOKUP(D483,'Jer-Tip-Emp'!B:E,4,0)</f>
        <v>Platos mong</v>
      </c>
      <c r="N483" t="str">
        <f>VLOOKUP(D483,'Jer-Tip-Emp'!B:F,5,0)</f>
        <v>No Personal</v>
      </c>
      <c r="O483" t="str">
        <f>VLOOKUP(D483,'Jer-Tip-Emp'!B:G,6,0)</f>
        <v>Caja</v>
      </c>
    </row>
    <row r="484" spans="1:15" ht="27.5" customHeight="1" x14ac:dyDescent="0.2">
      <c r="A484">
        <v>2025</v>
      </c>
      <c r="B484" t="s">
        <v>598</v>
      </c>
      <c r="C484" t="s">
        <v>609</v>
      </c>
      <c r="D484" s="19" t="s">
        <v>299</v>
      </c>
      <c r="E484" s="18" t="s">
        <v>129</v>
      </c>
      <c r="F484" s="18">
        <v>2</v>
      </c>
      <c r="G484" s="20">
        <v>93800</v>
      </c>
      <c r="H484" s="18">
        <v>0</v>
      </c>
      <c r="I484" s="20">
        <v>22664</v>
      </c>
      <c r="J484" s="8">
        <f t="shared" si="21"/>
        <v>71136</v>
      </c>
      <c r="K484" s="10">
        <f t="shared" si="22"/>
        <v>0.7583795309168444</v>
      </c>
      <c r="L484" s="17">
        <f t="shared" si="23"/>
        <v>0</v>
      </c>
      <c r="M484" t="str">
        <f>VLOOKUP(D484,'Jer-Tip-Emp'!B:E,4,0)</f>
        <v>Platos mong</v>
      </c>
      <c r="N484" t="str">
        <f>VLOOKUP(D484,'Jer-Tip-Emp'!B:F,5,0)</f>
        <v>No Personal</v>
      </c>
      <c r="O484" t="str">
        <f>VLOOKUP(D484,'Jer-Tip-Emp'!B:G,6,0)</f>
        <v>Caja</v>
      </c>
    </row>
    <row r="485" spans="1:15" ht="27.5" hidden="1" customHeight="1" x14ac:dyDescent="0.2">
      <c r="A485">
        <v>2025</v>
      </c>
      <c r="B485" t="s">
        <v>598</v>
      </c>
      <c r="C485" t="s">
        <v>609</v>
      </c>
      <c r="D485" s="19" t="s">
        <v>300</v>
      </c>
      <c r="E485" s="18" t="s">
        <v>26</v>
      </c>
      <c r="F485" s="18">
        <v>2</v>
      </c>
      <c r="G485" s="20">
        <v>15800</v>
      </c>
      <c r="H485" s="18">
        <v>0</v>
      </c>
      <c r="I485" s="18">
        <v>0</v>
      </c>
      <c r="J485" s="8">
        <f t="shared" si="21"/>
        <v>15800</v>
      </c>
      <c r="K485" s="10">
        <f t="shared" si="22"/>
        <v>1</v>
      </c>
      <c r="L485" s="17">
        <f t="shared" si="23"/>
        <v>0</v>
      </c>
      <c r="M485" t="str">
        <f>VLOOKUP(D485,'Jer-Tip-Emp'!B:E,4,0)</f>
        <v>Adición</v>
      </c>
      <c r="N485" t="str">
        <f>VLOOKUP(D485,'Jer-Tip-Emp'!B:F,5,0)</f>
        <v>Adición</v>
      </c>
      <c r="O485" t="str">
        <f>VLOOKUP(D485,'Jer-Tip-Emp'!B:G,6,0)</f>
        <v>Adición</v>
      </c>
    </row>
    <row r="486" spans="1:15" ht="27.5" customHeight="1" x14ac:dyDescent="0.2">
      <c r="A486">
        <v>2025</v>
      </c>
      <c r="B486" t="s">
        <v>598</v>
      </c>
      <c r="C486" t="s">
        <v>609</v>
      </c>
      <c r="D486" s="19" t="s">
        <v>248</v>
      </c>
      <c r="E486" s="18" t="s">
        <v>134</v>
      </c>
      <c r="F486" s="18">
        <v>2</v>
      </c>
      <c r="G486" s="20">
        <v>99800</v>
      </c>
      <c r="H486" s="18">
        <v>0</v>
      </c>
      <c r="I486" s="20">
        <v>39978</v>
      </c>
      <c r="J486" s="8">
        <f t="shared" si="21"/>
        <v>59822</v>
      </c>
      <c r="K486" s="10">
        <f t="shared" si="22"/>
        <v>0.59941883767535065</v>
      </c>
      <c r="L486" s="17">
        <f t="shared" si="23"/>
        <v>0</v>
      </c>
      <c r="M486" t="str">
        <f>VLOOKUP(D486,'Jer-Tip-Emp'!B:E,4,0)</f>
        <v>Platos mong</v>
      </c>
      <c r="N486" t="str">
        <f>VLOOKUP(D486,'Jer-Tip-Emp'!B:F,5,0)</f>
        <v>No Personal</v>
      </c>
      <c r="O486" t="str">
        <f>VLOOKUP(D486,'Jer-Tip-Emp'!B:G,6,0)</f>
        <v>Caja</v>
      </c>
    </row>
    <row r="487" spans="1:15" ht="27.5" hidden="1" customHeight="1" x14ac:dyDescent="0.2">
      <c r="A487">
        <v>2025</v>
      </c>
      <c r="B487" t="s">
        <v>598</v>
      </c>
      <c r="C487" t="s">
        <v>609</v>
      </c>
      <c r="D487" s="19" t="s">
        <v>490</v>
      </c>
      <c r="E487" s="18" t="s">
        <v>554</v>
      </c>
      <c r="F487" s="18">
        <v>2</v>
      </c>
      <c r="G487" s="18">
        <v>0</v>
      </c>
      <c r="H487" s="18">
        <v>0</v>
      </c>
      <c r="I487" s="20">
        <v>4098</v>
      </c>
      <c r="J487" s="8">
        <f t="shared" si="21"/>
        <v>-4098</v>
      </c>
      <c r="K487" s="10">
        <f t="shared" si="22"/>
        <v>0</v>
      </c>
      <c r="L487" s="17">
        <f t="shared" si="23"/>
        <v>0</v>
      </c>
      <c r="M487" t="str">
        <f>VLOOKUP(D487,'Jer-Tip-Emp'!B:E,4,0)</f>
        <v>Adición</v>
      </c>
      <c r="N487" t="str">
        <f>VLOOKUP(D487,'Jer-Tip-Emp'!B:F,5,0)</f>
        <v>Otro</v>
      </c>
      <c r="O487" t="str">
        <f>VLOOKUP(D487,'Jer-Tip-Emp'!B:G,6,0)</f>
        <v>Otro</v>
      </c>
    </row>
    <row r="488" spans="1:15" ht="27.5" customHeight="1" x14ac:dyDescent="0.2">
      <c r="A488">
        <v>2025</v>
      </c>
      <c r="B488" t="s">
        <v>598</v>
      </c>
      <c r="C488" t="s">
        <v>609</v>
      </c>
      <c r="D488" s="19" t="s">
        <v>283</v>
      </c>
      <c r="E488" s="18" t="s">
        <v>80</v>
      </c>
      <c r="F488" s="18">
        <v>1</v>
      </c>
      <c r="G488" s="20">
        <v>21900</v>
      </c>
      <c r="H488" s="18">
        <v>0</v>
      </c>
      <c r="I488" s="18">
        <v>0</v>
      </c>
      <c r="J488" s="8">
        <f t="shared" si="21"/>
        <v>21900</v>
      </c>
      <c r="K488" s="10">
        <f t="shared" si="22"/>
        <v>1</v>
      </c>
      <c r="L488" s="17">
        <f t="shared" si="23"/>
        <v>0</v>
      </c>
      <c r="M488" t="str">
        <f>VLOOKUP(D488,'Jer-Tip-Emp'!B:E,4,0)</f>
        <v>Bowl</v>
      </c>
      <c r="N488" t="str">
        <f>VLOOKUP(D488,'Jer-Tip-Emp'!B:F,5,0)</f>
        <v>Personal</v>
      </c>
      <c r="O488" t="str">
        <f>VLOOKUP(D488,'Jer-Tip-Emp'!B:G,6,0)</f>
        <v>Bowl</v>
      </c>
    </row>
    <row r="489" spans="1:15" ht="27.5" customHeight="1" x14ac:dyDescent="0.2">
      <c r="A489">
        <v>2025</v>
      </c>
      <c r="B489" t="s">
        <v>598</v>
      </c>
      <c r="C489" t="s">
        <v>609</v>
      </c>
      <c r="D489" s="19" t="s">
        <v>200</v>
      </c>
      <c r="E489" s="18" t="s">
        <v>149</v>
      </c>
      <c r="F489" s="18">
        <v>1</v>
      </c>
      <c r="G489" s="20">
        <v>24900</v>
      </c>
      <c r="H489" s="18">
        <v>0</v>
      </c>
      <c r="I489" s="20">
        <v>10481</v>
      </c>
      <c r="J489" s="8">
        <f t="shared" si="21"/>
        <v>14419</v>
      </c>
      <c r="K489" s="10">
        <f t="shared" si="22"/>
        <v>0.57907630522088349</v>
      </c>
      <c r="L489" s="17">
        <f t="shared" si="23"/>
        <v>0</v>
      </c>
      <c r="M489" t="str">
        <f>VLOOKUP(D489,'Jer-Tip-Emp'!B:E,4,0)</f>
        <v>Platos mong</v>
      </c>
      <c r="N489" t="str">
        <f>VLOOKUP(D489,'Jer-Tip-Emp'!B:F,5,0)</f>
        <v>Personal</v>
      </c>
      <c r="O489" t="str">
        <f>VLOOKUP(D489,'Jer-Tip-Emp'!B:G,6,0)</f>
        <v>Caja</v>
      </c>
    </row>
    <row r="490" spans="1:15" ht="27.5" customHeight="1" x14ac:dyDescent="0.2">
      <c r="A490">
        <v>2025</v>
      </c>
      <c r="B490" t="s">
        <v>598</v>
      </c>
      <c r="C490" t="s">
        <v>609</v>
      </c>
      <c r="D490" s="19" t="s">
        <v>201</v>
      </c>
      <c r="E490" s="18" t="s">
        <v>79</v>
      </c>
      <c r="F490" s="18">
        <v>1</v>
      </c>
      <c r="G490" s="20">
        <v>21900</v>
      </c>
      <c r="H490" s="18">
        <v>0</v>
      </c>
      <c r="I490" s="18">
        <v>0</v>
      </c>
      <c r="J490" s="8">
        <f t="shared" si="21"/>
        <v>21900</v>
      </c>
      <c r="K490" s="10">
        <f t="shared" si="22"/>
        <v>1</v>
      </c>
      <c r="L490" s="17">
        <f t="shared" si="23"/>
        <v>0</v>
      </c>
      <c r="M490" t="str">
        <f>VLOOKUP(D490,'Jer-Tip-Emp'!B:E,4,0)</f>
        <v>Bowl</v>
      </c>
      <c r="N490" t="str">
        <f>VLOOKUP(D490,'Jer-Tip-Emp'!B:F,5,0)</f>
        <v>Personal</v>
      </c>
      <c r="O490" t="str">
        <f>VLOOKUP(D490,'Jer-Tip-Emp'!B:G,6,0)</f>
        <v>Bowl</v>
      </c>
    </row>
    <row r="491" spans="1:15" ht="27.5" hidden="1" customHeight="1" x14ac:dyDescent="0.2">
      <c r="A491">
        <v>2025</v>
      </c>
      <c r="B491" t="s">
        <v>598</v>
      </c>
      <c r="C491" t="s">
        <v>609</v>
      </c>
      <c r="D491" s="19" t="s">
        <v>173</v>
      </c>
      <c r="E491" s="18" t="s">
        <v>542</v>
      </c>
      <c r="F491" s="18">
        <v>1</v>
      </c>
      <c r="G491" s="18">
        <v>0</v>
      </c>
      <c r="H491" s="18">
        <v>0</v>
      </c>
      <c r="I491" s="18">
        <v>0</v>
      </c>
      <c r="J491" s="8">
        <f t="shared" si="21"/>
        <v>0</v>
      </c>
      <c r="K491" s="10">
        <f t="shared" si="22"/>
        <v>0</v>
      </c>
      <c r="L491" s="17">
        <f t="shared" si="23"/>
        <v>0</v>
      </c>
      <c r="M491" t="str">
        <f>VLOOKUP(D491,'Jer-Tip-Emp'!B:E,4,0)</f>
        <v>Bebidas</v>
      </c>
      <c r="N491" t="str">
        <f>VLOOKUP(D491,'Jer-Tip-Emp'!B:F,5,0)</f>
        <v>Bebidas Cambio de bebida</v>
      </c>
      <c r="O491" t="str">
        <f>VLOOKUP(D491,'Jer-Tip-Emp'!B:G,6,0)</f>
        <v>Bebidas</v>
      </c>
    </row>
    <row r="492" spans="1:15" ht="27.5" hidden="1" customHeight="1" x14ac:dyDescent="0.2">
      <c r="A492">
        <v>2025</v>
      </c>
      <c r="B492" t="s">
        <v>598</v>
      </c>
      <c r="C492" t="s">
        <v>609</v>
      </c>
      <c r="D492" s="19" t="s">
        <v>426</v>
      </c>
      <c r="E492" s="18" t="s">
        <v>561</v>
      </c>
      <c r="F492" s="18">
        <v>1</v>
      </c>
      <c r="G492" s="20">
        <v>1600</v>
      </c>
      <c r="H492" s="18">
        <v>0</v>
      </c>
      <c r="I492" s="20">
        <v>1516</v>
      </c>
      <c r="J492" s="8">
        <f t="shared" si="21"/>
        <v>84</v>
      </c>
      <c r="K492" s="10">
        <f t="shared" si="22"/>
        <v>5.2499999999999998E-2</v>
      </c>
      <c r="L492" s="17">
        <f t="shared" si="23"/>
        <v>0</v>
      </c>
      <c r="M492" t="str">
        <f>VLOOKUP(D492,'Jer-Tip-Emp'!B:E,4,0)</f>
        <v>Bebidas</v>
      </c>
      <c r="N492" t="str">
        <f>VLOOKUP(D492,'Jer-Tip-Emp'!B:F,5,0)</f>
        <v>Bebidas Cambio de bebida</v>
      </c>
      <c r="O492" t="str">
        <f>VLOOKUP(D492,'Jer-Tip-Emp'!B:G,6,0)</f>
        <v>Bebidas</v>
      </c>
    </row>
    <row r="493" spans="1:15" ht="27.5" customHeight="1" x14ac:dyDescent="0.2">
      <c r="A493">
        <v>2025</v>
      </c>
      <c r="B493" t="s">
        <v>598</v>
      </c>
      <c r="C493" t="s">
        <v>609</v>
      </c>
      <c r="D493" s="19" t="s">
        <v>260</v>
      </c>
      <c r="E493" s="18" t="s">
        <v>97</v>
      </c>
      <c r="F493" s="18">
        <v>1</v>
      </c>
      <c r="G493" s="20">
        <v>56900</v>
      </c>
      <c r="H493" s="18">
        <v>0</v>
      </c>
      <c r="I493" s="20">
        <v>20911</v>
      </c>
      <c r="J493" s="8">
        <f t="shared" si="21"/>
        <v>35989</v>
      </c>
      <c r="K493" s="10">
        <f t="shared" si="22"/>
        <v>0.63249560632688928</v>
      </c>
      <c r="L493" s="17">
        <f t="shared" si="23"/>
        <v>0</v>
      </c>
      <c r="M493" t="str">
        <f>VLOOKUP(D493,'Jer-Tip-Emp'!B:E,4,0)</f>
        <v>Platos mong</v>
      </c>
      <c r="N493" t="str">
        <f>VLOOKUP(D493,'Jer-Tip-Emp'!B:F,5,0)</f>
        <v>No Personal</v>
      </c>
      <c r="O493" t="str">
        <f>VLOOKUP(D493,'Jer-Tip-Emp'!B:G,6,0)</f>
        <v>Caja</v>
      </c>
    </row>
    <row r="494" spans="1:15" ht="27.5" hidden="1" customHeight="1" x14ac:dyDescent="0.2">
      <c r="A494">
        <v>2025</v>
      </c>
      <c r="B494" t="s">
        <v>598</v>
      </c>
      <c r="C494" t="s">
        <v>609</v>
      </c>
      <c r="D494" s="19" t="s">
        <v>432</v>
      </c>
      <c r="E494" s="18" t="s">
        <v>576</v>
      </c>
      <c r="F494" s="18">
        <v>1</v>
      </c>
      <c r="G494" s="20">
        <v>1600</v>
      </c>
      <c r="H494" s="18">
        <v>0</v>
      </c>
      <c r="I494" s="20">
        <v>1368</v>
      </c>
      <c r="J494" s="8">
        <f t="shared" si="21"/>
        <v>232</v>
      </c>
      <c r="K494" s="10">
        <f t="shared" si="22"/>
        <v>0.14499999999999999</v>
      </c>
      <c r="L494" s="17">
        <f t="shared" si="23"/>
        <v>0</v>
      </c>
      <c r="M494" t="str">
        <f>VLOOKUP(D494,'Jer-Tip-Emp'!B:E,4,0)</f>
        <v>Bebidas</v>
      </c>
      <c r="N494" t="str">
        <f>VLOOKUP(D494,'Jer-Tip-Emp'!B:F,5,0)</f>
        <v>Bebidas Cambio de bebida</v>
      </c>
      <c r="O494" t="str">
        <f>VLOOKUP(D494,'Jer-Tip-Emp'!B:G,6,0)</f>
        <v>Bebidas</v>
      </c>
    </row>
    <row r="495" spans="1:15" ht="27.5" customHeight="1" x14ac:dyDescent="0.2">
      <c r="A495">
        <v>2025</v>
      </c>
      <c r="B495" t="s">
        <v>598</v>
      </c>
      <c r="C495" t="s">
        <v>609</v>
      </c>
      <c r="D495" s="19" t="s">
        <v>293</v>
      </c>
      <c r="E495" s="18" t="s">
        <v>127</v>
      </c>
      <c r="F495" s="18">
        <v>1</v>
      </c>
      <c r="G495" s="20">
        <v>77900</v>
      </c>
      <c r="H495" s="18">
        <v>0</v>
      </c>
      <c r="I495" s="20">
        <v>28057</v>
      </c>
      <c r="J495" s="8">
        <f t="shared" si="21"/>
        <v>49843</v>
      </c>
      <c r="K495" s="10">
        <f t="shared" si="22"/>
        <v>0.63983311938382537</v>
      </c>
      <c r="L495" s="17">
        <f t="shared" si="23"/>
        <v>0</v>
      </c>
      <c r="M495" t="str">
        <f>VLOOKUP(D495,'Jer-Tip-Emp'!B:E,4,0)</f>
        <v>Platos mong</v>
      </c>
      <c r="N495" t="str">
        <f>VLOOKUP(D495,'Jer-Tip-Emp'!B:F,5,0)</f>
        <v>No Personal</v>
      </c>
      <c r="O495" t="str">
        <f>VLOOKUP(D495,'Jer-Tip-Emp'!B:G,6,0)</f>
        <v>Caja</v>
      </c>
    </row>
    <row r="496" spans="1:15" ht="27.5" hidden="1" customHeight="1" x14ac:dyDescent="0.2">
      <c r="A496">
        <v>2025</v>
      </c>
      <c r="B496" t="s">
        <v>598</v>
      </c>
      <c r="C496" t="s">
        <v>609</v>
      </c>
      <c r="D496" s="19" t="s">
        <v>275</v>
      </c>
      <c r="E496" s="18" t="s">
        <v>16</v>
      </c>
      <c r="F496" s="18">
        <v>1</v>
      </c>
      <c r="G496" s="20">
        <v>6900</v>
      </c>
      <c r="H496" s="18">
        <v>0</v>
      </c>
      <c r="I496" s="20">
        <v>2245</v>
      </c>
      <c r="J496" s="8">
        <f t="shared" si="21"/>
        <v>4655</v>
      </c>
      <c r="K496" s="10">
        <f t="shared" si="22"/>
        <v>0.67463768115942024</v>
      </c>
      <c r="L496" s="17">
        <f t="shared" si="23"/>
        <v>0</v>
      </c>
      <c r="M496" t="str">
        <f>VLOOKUP(D496,'Jer-Tip-Emp'!B:E,4,0)</f>
        <v>Adición</v>
      </c>
      <c r="N496" t="str">
        <f>VLOOKUP(D496,'Jer-Tip-Emp'!B:F,5,0)</f>
        <v>Adición</v>
      </c>
      <c r="O496" t="str">
        <f>VLOOKUP(D496,'Jer-Tip-Emp'!B:G,6,0)</f>
        <v>Adición</v>
      </c>
    </row>
    <row r="497" spans="1:15" ht="27.5" customHeight="1" x14ac:dyDescent="0.2">
      <c r="A497">
        <v>2025</v>
      </c>
      <c r="B497" t="s">
        <v>598</v>
      </c>
      <c r="C497" t="s">
        <v>609</v>
      </c>
      <c r="D497" s="19" t="s">
        <v>178</v>
      </c>
      <c r="E497" s="18" t="s">
        <v>145</v>
      </c>
      <c r="F497" s="18">
        <v>1</v>
      </c>
      <c r="G497" s="20">
        <v>113900</v>
      </c>
      <c r="H497" s="18">
        <v>0</v>
      </c>
      <c r="I497" s="20">
        <v>48608</v>
      </c>
      <c r="J497" s="8">
        <f t="shared" si="21"/>
        <v>65292</v>
      </c>
      <c r="K497" s="10">
        <f t="shared" si="22"/>
        <v>0.57323968393327485</v>
      </c>
      <c r="L497" s="17">
        <f t="shared" si="23"/>
        <v>0</v>
      </c>
      <c r="M497" t="str">
        <f>VLOOKUP(D497,'Jer-Tip-Emp'!B:E,4,0)</f>
        <v>Platos mong</v>
      </c>
      <c r="N497" t="str">
        <f>VLOOKUP(D497,'Jer-Tip-Emp'!B:F,5,0)</f>
        <v>No Personal</v>
      </c>
      <c r="O497" t="str">
        <f>VLOOKUP(D497,'Jer-Tip-Emp'!B:G,6,0)</f>
        <v>Caja</v>
      </c>
    </row>
    <row r="498" spans="1:15" ht="27.5" customHeight="1" x14ac:dyDescent="0.2">
      <c r="A498">
        <v>2025</v>
      </c>
      <c r="B498" t="s">
        <v>604</v>
      </c>
      <c r="C498" t="s">
        <v>609</v>
      </c>
      <c r="D498" s="19" t="s">
        <v>207</v>
      </c>
      <c r="E498" s="18" t="s">
        <v>92</v>
      </c>
      <c r="F498" s="18">
        <v>247</v>
      </c>
      <c r="G498" s="20">
        <v>5892666</v>
      </c>
      <c r="H498" s="20">
        <v>-10634</v>
      </c>
      <c r="I498" s="20">
        <v>2377869</v>
      </c>
      <c r="J498" s="8">
        <f t="shared" si="21"/>
        <v>3514797</v>
      </c>
      <c r="K498" s="10">
        <f t="shared" si="22"/>
        <v>0.59646974730962188</v>
      </c>
      <c r="L498" s="17">
        <f t="shared" si="23"/>
        <v>1.8046161109419743E-3</v>
      </c>
      <c r="M498" t="str">
        <f>VLOOKUP(D498,'Jer-Tip-Emp'!B:E,4,0)</f>
        <v>Combos personales</v>
      </c>
      <c r="N498" t="str">
        <f>VLOOKUP(D498,'Jer-Tip-Emp'!B:F,5,0)</f>
        <v>Personal</v>
      </c>
      <c r="O498" t="str">
        <f>VLOOKUP(D498,'Jer-Tip-Emp'!B:G,6,0)</f>
        <v>Combo</v>
      </c>
    </row>
    <row r="499" spans="1:15" ht="27.5" customHeight="1" x14ac:dyDescent="0.2">
      <c r="A499">
        <v>2025</v>
      </c>
      <c r="B499" t="s">
        <v>604</v>
      </c>
      <c r="C499" t="s">
        <v>609</v>
      </c>
      <c r="D499" s="19" t="s">
        <v>273</v>
      </c>
      <c r="E499" s="18" t="s">
        <v>23</v>
      </c>
      <c r="F499" s="18">
        <v>202</v>
      </c>
      <c r="G499" s="20">
        <v>5015303</v>
      </c>
      <c r="H499" s="20">
        <v>-14497</v>
      </c>
      <c r="I499" s="18">
        <v>0</v>
      </c>
      <c r="J499" s="8">
        <f t="shared" si="21"/>
        <v>5015303</v>
      </c>
      <c r="K499" s="10">
        <f t="shared" si="22"/>
        <v>1</v>
      </c>
      <c r="L499" s="17">
        <f t="shared" si="23"/>
        <v>2.8905531729588423E-3</v>
      </c>
      <c r="M499" t="str">
        <f>VLOOKUP(D499,'Jer-Tip-Emp'!B:E,4,0)</f>
        <v>Arma tu plato</v>
      </c>
      <c r="N499" t="str">
        <f>VLOOKUP(D499,'Jer-Tip-Emp'!B:F,5,0)</f>
        <v>Personal</v>
      </c>
      <c r="O499" t="str">
        <f>VLOOKUP(D499,'Jer-Tip-Emp'!B:G,6,0)</f>
        <v>Caja</v>
      </c>
    </row>
    <row r="500" spans="1:15" ht="27.5" customHeight="1" x14ac:dyDescent="0.2">
      <c r="A500">
        <v>2025</v>
      </c>
      <c r="B500" t="s">
        <v>604</v>
      </c>
      <c r="C500" t="s">
        <v>609</v>
      </c>
      <c r="D500" s="19" t="s">
        <v>313</v>
      </c>
      <c r="E500" s="18" t="s">
        <v>540</v>
      </c>
      <c r="F500" s="18">
        <v>127</v>
      </c>
      <c r="G500" s="18">
        <v>0</v>
      </c>
      <c r="H500" s="18">
        <v>0</v>
      </c>
      <c r="I500" s="20">
        <v>697357</v>
      </c>
      <c r="J500" s="8">
        <f t="shared" si="21"/>
        <v>-697357</v>
      </c>
      <c r="K500" s="10">
        <f t="shared" si="22"/>
        <v>0</v>
      </c>
      <c r="L500" s="17">
        <f t="shared" si="23"/>
        <v>0</v>
      </c>
      <c r="M500" t="str">
        <f>VLOOKUP(D500,'Jer-Tip-Emp'!B:E,4,0)</f>
        <v>Arma tu plato</v>
      </c>
      <c r="N500" t="str">
        <f>VLOOKUP(D500,'Jer-Tip-Emp'!B:F,5,0)</f>
        <v>Personal</v>
      </c>
      <c r="O500" t="str">
        <f>VLOOKUP(D500,'Jer-Tip-Emp'!B:G,6,0)</f>
        <v>Caja</v>
      </c>
    </row>
    <row r="501" spans="1:15" ht="27.5" customHeight="1" x14ac:dyDescent="0.2">
      <c r="A501">
        <v>2025</v>
      </c>
      <c r="B501" t="s">
        <v>604</v>
      </c>
      <c r="C501" t="s">
        <v>609</v>
      </c>
      <c r="D501" s="19" t="s">
        <v>389</v>
      </c>
      <c r="E501" s="18" t="s">
        <v>541</v>
      </c>
      <c r="F501" s="18">
        <v>99</v>
      </c>
      <c r="G501" s="18">
        <v>0</v>
      </c>
      <c r="H501" s="18">
        <v>0</v>
      </c>
      <c r="I501" s="20">
        <v>541233</v>
      </c>
      <c r="J501" s="8">
        <f t="shared" si="21"/>
        <v>-541233</v>
      </c>
      <c r="K501" s="10">
        <f t="shared" si="22"/>
        <v>0</v>
      </c>
      <c r="L501" s="17">
        <f t="shared" si="23"/>
        <v>0</v>
      </c>
      <c r="M501" t="str">
        <f>VLOOKUP(D501,'Jer-Tip-Emp'!B:E,4,0)</f>
        <v>Arma tu plato</v>
      </c>
      <c r="N501" t="str">
        <f>VLOOKUP(D501,'Jer-Tip-Emp'!B:F,5,0)</f>
        <v>Personal</v>
      </c>
      <c r="O501" t="str">
        <f>VLOOKUP(D501,'Jer-Tip-Emp'!B:G,6,0)</f>
        <v>Caja</v>
      </c>
    </row>
    <row r="502" spans="1:15" ht="27.5" hidden="1" customHeight="1" x14ac:dyDescent="0.2">
      <c r="A502">
        <v>2025</v>
      </c>
      <c r="B502" t="s">
        <v>604</v>
      </c>
      <c r="C502" t="s">
        <v>609</v>
      </c>
      <c r="D502" s="19" t="s">
        <v>284</v>
      </c>
      <c r="E502" s="18" t="s">
        <v>106</v>
      </c>
      <c r="F502" s="18">
        <v>96</v>
      </c>
      <c r="G502" s="20">
        <v>852528</v>
      </c>
      <c r="H502" s="20">
        <v>-1872</v>
      </c>
      <c r="I502" s="20">
        <v>301344</v>
      </c>
      <c r="J502" s="8">
        <f t="shared" si="21"/>
        <v>551184</v>
      </c>
      <c r="K502" s="10">
        <f t="shared" si="22"/>
        <v>0.64652891166037951</v>
      </c>
      <c r="L502" s="17">
        <f t="shared" si="23"/>
        <v>2.1958223073025168E-3</v>
      </c>
      <c r="M502" t="str">
        <f>VLOOKUP(D502,'Jer-Tip-Emp'!B:E,4,0)</f>
        <v>Entradas</v>
      </c>
      <c r="N502" t="str">
        <f>VLOOKUP(D502,'Jer-Tip-Emp'!B:F,5,0)</f>
        <v>Otro</v>
      </c>
      <c r="O502" t="str">
        <f>VLOOKUP(D502,'Jer-Tip-Emp'!B:G,6,0)</f>
        <v>Otro</v>
      </c>
    </row>
    <row r="503" spans="1:15" ht="27.5" customHeight="1" x14ac:dyDescent="0.2">
      <c r="A503">
        <v>2025</v>
      </c>
      <c r="B503" t="s">
        <v>604</v>
      </c>
      <c r="C503" t="s">
        <v>609</v>
      </c>
      <c r="D503" s="19" t="s">
        <v>196</v>
      </c>
      <c r="E503" s="18" t="s">
        <v>159</v>
      </c>
      <c r="F503" s="18">
        <v>77</v>
      </c>
      <c r="G503" s="20">
        <v>1988307</v>
      </c>
      <c r="H503" s="20">
        <v>-5993</v>
      </c>
      <c r="I503" s="20">
        <v>731577</v>
      </c>
      <c r="J503" s="8">
        <f t="shared" si="21"/>
        <v>1256730</v>
      </c>
      <c r="K503" s="10">
        <f t="shared" si="22"/>
        <v>0.63206034078238416</v>
      </c>
      <c r="L503" s="17">
        <f t="shared" si="23"/>
        <v>3.0141220646509818E-3</v>
      </c>
      <c r="M503" t="str">
        <f>VLOOKUP(D503,'Jer-Tip-Emp'!B:E,4,0)</f>
        <v>Combos personales</v>
      </c>
      <c r="N503" t="str">
        <f>VLOOKUP(D503,'Jer-Tip-Emp'!B:F,5,0)</f>
        <v>Personal</v>
      </c>
      <c r="O503" t="str">
        <f>VLOOKUP(D503,'Jer-Tip-Emp'!B:G,6,0)</f>
        <v>Combo</v>
      </c>
    </row>
    <row r="504" spans="1:15" ht="27.5" hidden="1" customHeight="1" x14ac:dyDescent="0.2">
      <c r="A504">
        <v>2025</v>
      </c>
      <c r="B504" t="s">
        <v>604</v>
      </c>
      <c r="C504" t="s">
        <v>609</v>
      </c>
      <c r="D504" s="19" t="s">
        <v>310</v>
      </c>
      <c r="E504" s="18" t="s">
        <v>53</v>
      </c>
      <c r="F504" s="18">
        <v>74</v>
      </c>
      <c r="G504" s="20">
        <v>435974</v>
      </c>
      <c r="H504" s="18">
        <v>-626</v>
      </c>
      <c r="I504" s="20">
        <v>125430</v>
      </c>
      <c r="J504" s="8">
        <f t="shared" si="21"/>
        <v>310544</v>
      </c>
      <c r="K504" s="10">
        <f t="shared" si="22"/>
        <v>0.71229935730112348</v>
      </c>
      <c r="L504" s="17">
        <f t="shared" si="23"/>
        <v>1.4358654415171548E-3</v>
      </c>
      <c r="M504" t="str">
        <f>VLOOKUP(D504,'Jer-Tip-Emp'!B:E,4,0)</f>
        <v>Bebidas</v>
      </c>
      <c r="N504" t="str">
        <f>VLOOKUP(D504,'Jer-Tip-Emp'!B:F,5,0)</f>
        <v>Bebidas</v>
      </c>
      <c r="O504" t="str">
        <f>VLOOKUP(D504,'Jer-Tip-Emp'!B:G,6,0)</f>
        <v>Bebidas</v>
      </c>
    </row>
    <row r="505" spans="1:15" ht="27.5" customHeight="1" x14ac:dyDescent="0.2">
      <c r="A505">
        <v>2025</v>
      </c>
      <c r="B505" t="s">
        <v>604</v>
      </c>
      <c r="C505" t="s">
        <v>609</v>
      </c>
      <c r="D505" s="19" t="s">
        <v>186</v>
      </c>
      <c r="E505" s="18" t="s">
        <v>95</v>
      </c>
      <c r="F505" s="18">
        <v>73</v>
      </c>
      <c r="G505" s="20">
        <v>2106900</v>
      </c>
      <c r="H505" s="20">
        <v>-2800</v>
      </c>
      <c r="I505" s="20">
        <v>698610</v>
      </c>
      <c r="J505" s="8">
        <f t="shared" si="21"/>
        <v>1408290</v>
      </c>
      <c r="K505" s="10">
        <f t="shared" si="22"/>
        <v>0.66841805496226681</v>
      </c>
      <c r="L505" s="17">
        <f t="shared" si="23"/>
        <v>1.3289667283686933E-3</v>
      </c>
      <c r="M505" t="str">
        <f>VLOOKUP(D505,'Jer-Tip-Emp'!B:E,4,0)</f>
        <v>Combos personales</v>
      </c>
      <c r="N505" t="str">
        <f>VLOOKUP(D505,'Jer-Tip-Emp'!B:F,5,0)</f>
        <v>Personal</v>
      </c>
      <c r="O505" t="str">
        <f>VLOOKUP(D505,'Jer-Tip-Emp'!B:G,6,0)</f>
        <v>Combo</v>
      </c>
    </row>
    <row r="506" spans="1:15" ht="27.5" customHeight="1" x14ac:dyDescent="0.2">
      <c r="A506">
        <v>2025</v>
      </c>
      <c r="B506" t="s">
        <v>604</v>
      </c>
      <c r="C506" t="s">
        <v>609</v>
      </c>
      <c r="D506" s="19" t="s">
        <v>212</v>
      </c>
      <c r="E506" s="18" t="s">
        <v>160</v>
      </c>
      <c r="F506" s="18">
        <v>73</v>
      </c>
      <c r="G506" s="20">
        <v>2101731</v>
      </c>
      <c r="H506" s="20">
        <v>-7969</v>
      </c>
      <c r="I506" s="20">
        <v>821469</v>
      </c>
      <c r="J506" s="8">
        <f t="shared" si="21"/>
        <v>1280262</v>
      </c>
      <c r="K506" s="10">
        <f t="shared" si="22"/>
        <v>0.60914646070310619</v>
      </c>
      <c r="L506" s="17">
        <f t="shared" si="23"/>
        <v>3.7916365129505155E-3</v>
      </c>
      <c r="M506" t="str">
        <f>VLOOKUP(D506,'Jer-Tip-Emp'!B:E,4,0)</f>
        <v>Combos personales</v>
      </c>
      <c r="N506" t="str">
        <f>VLOOKUP(D506,'Jer-Tip-Emp'!B:F,5,0)</f>
        <v>Personal</v>
      </c>
      <c r="O506" t="str">
        <f>VLOOKUP(D506,'Jer-Tip-Emp'!B:G,6,0)</f>
        <v>Combo</v>
      </c>
    </row>
    <row r="507" spans="1:15" ht="27.5" customHeight="1" x14ac:dyDescent="0.2">
      <c r="A507">
        <v>2025</v>
      </c>
      <c r="B507" t="s">
        <v>604</v>
      </c>
      <c r="C507" t="s">
        <v>609</v>
      </c>
      <c r="D507" s="19" t="s">
        <v>322</v>
      </c>
      <c r="E507" s="18" t="s">
        <v>545</v>
      </c>
      <c r="F507" s="18">
        <v>66</v>
      </c>
      <c r="G507" s="20">
        <v>131310</v>
      </c>
      <c r="H507" s="18">
        <v>-690</v>
      </c>
      <c r="I507" s="20">
        <v>205128</v>
      </c>
      <c r="J507" s="8">
        <f t="shared" si="21"/>
        <v>-73818</v>
      </c>
      <c r="K507" s="10">
        <f t="shared" si="22"/>
        <v>-0.56216586703221383</v>
      </c>
      <c r="L507" s="17">
        <f t="shared" si="23"/>
        <v>5.2547406899702996E-3</v>
      </c>
      <c r="M507" t="str">
        <f>VLOOKUP(D507,'Jer-Tip-Emp'!B:E,4,0)</f>
        <v>Arma tu plato</v>
      </c>
      <c r="N507" t="str">
        <f>VLOOKUP(D507,'Jer-Tip-Emp'!B:F,5,0)</f>
        <v>Personal</v>
      </c>
      <c r="O507" t="str">
        <f>VLOOKUP(D507,'Jer-Tip-Emp'!B:G,6,0)</f>
        <v>Caja</v>
      </c>
    </row>
    <row r="508" spans="1:15" ht="27.5" hidden="1" customHeight="1" x14ac:dyDescent="0.2">
      <c r="A508">
        <v>2025</v>
      </c>
      <c r="B508" t="s">
        <v>604</v>
      </c>
      <c r="C508" t="s">
        <v>609</v>
      </c>
      <c r="D508" s="19" t="s">
        <v>500</v>
      </c>
      <c r="E508" s="18" t="s">
        <v>546</v>
      </c>
      <c r="F508" s="18">
        <v>64</v>
      </c>
      <c r="G508" s="18">
        <v>0</v>
      </c>
      <c r="H508" s="18">
        <v>0</v>
      </c>
      <c r="I508" s="20">
        <v>55552</v>
      </c>
      <c r="J508" s="8">
        <f t="shared" si="21"/>
        <v>-55552</v>
      </c>
      <c r="K508" s="10">
        <f t="shared" si="22"/>
        <v>0</v>
      </c>
      <c r="L508" s="17">
        <f t="shared" si="23"/>
        <v>0</v>
      </c>
      <c r="M508" t="str">
        <f>VLOOKUP(D508,'Jer-Tip-Emp'!B:E,4,0)</f>
        <v>Bebidas</v>
      </c>
      <c r="N508" t="str">
        <f>VLOOKUP(D508,'Jer-Tip-Emp'!B:F,5,0)</f>
        <v>Bebidas Cambio de bebida</v>
      </c>
      <c r="O508" t="str">
        <f>VLOOKUP(D508,'Jer-Tip-Emp'!B:G,6,0)</f>
        <v>Bebidas</v>
      </c>
    </row>
    <row r="509" spans="1:15" ht="27.5" hidden="1" customHeight="1" x14ac:dyDescent="0.2">
      <c r="A509">
        <v>2025</v>
      </c>
      <c r="B509" t="s">
        <v>604</v>
      </c>
      <c r="C509" t="s">
        <v>609</v>
      </c>
      <c r="D509" s="19" t="s">
        <v>176</v>
      </c>
      <c r="E509" s="18" t="s">
        <v>544</v>
      </c>
      <c r="F509" s="18">
        <v>63</v>
      </c>
      <c r="G509" s="20">
        <v>62709</v>
      </c>
      <c r="H509" s="18">
        <v>-291</v>
      </c>
      <c r="I509" s="20">
        <v>122535</v>
      </c>
      <c r="J509" s="8">
        <f t="shared" si="21"/>
        <v>-59826</v>
      </c>
      <c r="K509" s="10">
        <f t="shared" si="22"/>
        <v>-0.95402573793235423</v>
      </c>
      <c r="L509" s="17">
        <f t="shared" si="23"/>
        <v>4.6404822274314691E-3</v>
      </c>
      <c r="M509" t="str">
        <f>VLOOKUP(D509,'Jer-Tip-Emp'!B:E,4,0)</f>
        <v>Bebidas</v>
      </c>
      <c r="N509" t="str">
        <f>VLOOKUP(D509,'Jer-Tip-Emp'!B:F,5,0)</f>
        <v>Bebidas Cambio de bebida</v>
      </c>
      <c r="O509" t="str">
        <f>VLOOKUP(D509,'Jer-Tip-Emp'!B:G,6,0)</f>
        <v>Bebidas</v>
      </c>
    </row>
    <row r="510" spans="1:15" ht="27.5" customHeight="1" x14ac:dyDescent="0.2">
      <c r="A510">
        <v>2025</v>
      </c>
      <c r="B510" t="s">
        <v>604</v>
      </c>
      <c r="C510" t="s">
        <v>609</v>
      </c>
      <c r="D510" s="19" t="s">
        <v>223</v>
      </c>
      <c r="E510" s="18" t="s">
        <v>116</v>
      </c>
      <c r="F510" s="18">
        <v>61</v>
      </c>
      <c r="G510" s="20">
        <v>1640900</v>
      </c>
      <c r="H510" s="18">
        <v>0</v>
      </c>
      <c r="I510" s="20">
        <v>831918</v>
      </c>
      <c r="J510" s="8">
        <f t="shared" si="21"/>
        <v>808982</v>
      </c>
      <c r="K510" s="10">
        <f t="shared" si="22"/>
        <v>0.4930111524163569</v>
      </c>
      <c r="L510" s="17">
        <f t="shared" si="23"/>
        <v>0</v>
      </c>
      <c r="M510" t="str">
        <f>VLOOKUP(D510,'Jer-Tip-Emp'!B:E,4,0)</f>
        <v>Platos especiales</v>
      </c>
      <c r="N510" t="str">
        <f>VLOOKUP(D510,'Jer-Tip-Emp'!B:F,5,0)</f>
        <v>Personal</v>
      </c>
      <c r="O510" t="str">
        <f>VLOOKUP(D510,'Jer-Tip-Emp'!B:G,6,0)</f>
        <v>Platos especiales</v>
      </c>
    </row>
    <row r="511" spans="1:15" ht="27.5" customHeight="1" x14ac:dyDescent="0.2">
      <c r="A511">
        <v>2025</v>
      </c>
      <c r="B511" t="s">
        <v>604</v>
      </c>
      <c r="C511" t="s">
        <v>609</v>
      </c>
      <c r="D511" s="19" t="s">
        <v>376</v>
      </c>
      <c r="E511" s="18" t="s">
        <v>543</v>
      </c>
      <c r="F511" s="18">
        <v>60</v>
      </c>
      <c r="G511" s="18">
        <v>0</v>
      </c>
      <c r="H511" s="18">
        <v>0</v>
      </c>
      <c r="I511" s="20">
        <v>76920</v>
      </c>
      <c r="J511" s="8">
        <f t="shared" si="21"/>
        <v>-76920</v>
      </c>
      <c r="K511" s="10">
        <f t="shared" si="22"/>
        <v>0</v>
      </c>
      <c r="L511" s="17">
        <f t="shared" si="23"/>
        <v>0</v>
      </c>
      <c r="M511" t="str">
        <f>VLOOKUP(D511,'Jer-Tip-Emp'!B:E,4,0)</f>
        <v>Arma tu plato</v>
      </c>
      <c r="N511" t="str">
        <f>VLOOKUP(D511,'Jer-Tip-Emp'!B:F,5,0)</f>
        <v>Personal</v>
      </c>
      <c r="O511" t="str">
        <f>VLOOKUP(D511,'Jer-Tip-Emp'!B:G,6,0)</f>
        <v>Caja</v>
      </c>
    </row>
    <row r="512" spans="1:15" ht="27.5" customHeight="1" x14ac:dyDescent="0.2">
      <c r="A512">
        <v>2025</v>
      </c>
      <c r="B512" t="s">
        <v>604</v>
      </c>
      <c r="C512" t="s">
        <v>609</v>
      </c>
      <c r="D512" s="19" t="s">
        <v>393</v>
      </c>
      <c r="E512" s="18" t="s">
        <v>549</v>
      </c>
      <c r="F512" s="18">
        <v>55</v>
      </c>
      <c r="G512" s="20">
        <v>109526</v>
      </c>
      <c r="H512" s="18">
        <v>-474</v>
      </c>
      <c r="I512" s="20">
        <v>111925</v>
      </c>
      <c r="J512" s="8">
        <f t="shared" si="21"/>
        <v>-2399</v>
      </c>
      <c r="K512" s="10">
        <f t="shared" si="22"/>
        <v>-2.1903474973978782E-2</v>
      </c>
      <c r="L512" s="17">
        <f t="shared" si="23"/>
        <v>4.3277395321658788E-3</v>
      </c>
      <c r="M512" t="str">
        <f>VLOOKUP(D512,'Jer-Tip-Emp'!B:E,4,0)</f>
        <v>Arma tu plato</v>
      </c>
      <c r="N512" t="str">
        <f>VLOOKUP(D512,'Jer-Tip-Emp'!B:F,5,0)</f>
        <v>Personal</v>
      </c>
      <c r="O512" t="str">
        <f>VLOOKUP(D512,'Jer-Tip-Emp'!B:G,6,0)</f>
        <v>Caja</v>
      </c>
    </row>
    <row r="513" spans="1:15" ht="27.5" customHeight="1" x14ac:dyDescent="0.2">
      <c r="A513">
        <v>2025</v>
      </c>
      <c r="B513" t="s">
        <v>604</v>
      </c>
      <c r="C513" t="s">
        <v>609</v>
      </c>
      <c r="D513" s="19" t="s">
        <v>333</v>
      </c>
      <c r="E513" s="18" t="s">
        <v>547</v>
      </c>
      <c r="F513" s="18">
        <v>51</v>
      </c>
      <c r="G513" s="18">
        <v>0</v>
      </c>
      <c r="H513" s="18">
        <v>0</v>
      </c>
      <c r="I513" s="20">
        <v>169422</v>
      </c>
      <c r="J513" s="8">
        <f t="shared" si="21"/>
        <v>-169422</v>
      </c>
      <c r="K513" s="10">
        <f t="shared" si="22"/>
        <v>0</v>
      </c>
      <c r="L513" s="17">
        <f t="shared" si="23"/>
        <v>0</v>
      </c>
      <c r="M513" t="str">
        <f>VLOOKUP(D513,'Jer-Tip-Emp'!B:E,4,0)</f>
        <v>Arma tu plato</v>
      </c>
      <c r="N513" t="str">
        <f>VLOOKUP(D513,'Jer-Tip-Emp'!B:F,5,0)</f>
        <v>Personal</v>
      </c>
      <c r="O513" t="str">
        <f>VLOOKUP(D513,'Jer-Tip-Emp'!B:G,6,0)</f>
        <v>Caja</v>
      </c>
    </row>
    <row r="514" spans="1:15" ht="27.5" customHeight="1" x14ac:dyDescent="0.2">
      <c r="A514">
        <v>2025</v>
      </c>
      <c r="B514" t="s">
        <v>604</v>
      </c>
      <c r="C514" t="s">
        <v>609</v>
      </c>
      <c r="D514" s="19" t="s">
        <v>354</v>
      </c>
      <c r="E514" s="18" t="s">
        <v>548</v>
      </c>
      <c r="F514" s="18">
        <v>47</v>
      </c>
      <c r="G514" s="18">
        <v>0</v>
      </c>
      <c r="H514" s="18">
        <v>0</v>
      </c>
      <c r="I514" s="20">
        <v>123798</v>
      </c>
      <c r="J514" s="8">
        <f t="shared" ref="J514:J577" si="24">G514-I514</f>
        <v>-123798</v>
      </c>
      <c r="K514" s="10">
        <f t="shared" ref="K514:K577" si="25">IFERROR(J514/G514,0)</f>
        <v>0</v>
      </c>
      <c r="L514" s="17">
        <f t="shared" ref="L514:L577" si="26">IFERROR((H514/G514)*-1,0)</f>
        <v>0</v>
      </c>
      <c r="M514" t="str">
        <f>VLOOKUP(D514,'Jer-Tip-Emp'!B:E,4,0)</f>
        <v>Arma tu plato</v>
      </c>
      <c r="N514" t="str">
        <f>VLOOKUP(D514,'Jer-Tip-Emp'!B:F,5,0)</f>
        <v>Personal</v>
      </c>
      <c r="O514" t="str">
        <f>VLOOKUP(D514,'Jer-Tip-Emp'!B:G,6,0)</f>
        <v>Caja</v>
      </c>
    </row>
    <row r="515" spans="1:15" ht="27.5" hidden="1" customHeight="1" x14ac:dyDescent="0.2">
      <c r="A515">
        <v>2025</v>
      </c>
      <c r="B515" t="s">
        <v>604</v>
      </c>
      <c r="C515" t="s">
        <v>609</v>
      </c>
      <c r="D515" s="19" t="s">
        <v>327</v>
      </c>
      <c r="E515" s="18" t="s">
        <v>44</v>
      </c>
      <c r="F515" s="18">
        <v>44</v>
      </c>
      <c r="G515" s="20">
        <v>215600</v>
      </c>
      <c r="H515" s="18">
        <v>0</v>
      </c>
      <c r="I515" s="20">
        <v>48180</v>
      </c>
      <c r="J515" s="8">
        <f t="shared" si="24"/>
        <v>167420</v>
      </c>
      <c r="K515" s="10">
        <f t="shared" si="25"/>
        <v>0.77653061224489794</v>
      </c>
      <c r="L515" s="17">
        <f t="shared" si="26"/>
        <v>0</v>
      </c>
      <c r="M515" t="str">
        <f>VLOOKUP(D515,'Jer-Tip-Emp'!B:E,4,0)</f>
        <v>Bebidas</v>
      </c>
      <c r="N515" t="str">
        <f>VLOOKUP(D515,'Jer-Tip-Emp'!B:F,5,0)</f>
        <v>Bebidas</v>
      </c>
      <c r="O515" t="str">
        <f>VLOOKUP(D515,'Jer-Tip-Emp'!B:G,6,0)</f>
        <v>Bebidas</v>
      </c>
    </row>
    <row r="516" spans="1:15" ht="27.5" hidden="1" customHeight="1" x14ac:dyDescent="0.2">
      <c r="A516">
        <v>2025</v>
      </c>
      <c r="B516" t="s">
        <v>604</v>
      </c>
      <c r="C516" t="s">
        <v>609</v>
      </c>
      <c r="D516" s="19" t="s">
        <v>309</v>
      </c>
      <c r="E516" s="18" t="s">
        <v>48</v>
      </c>
      <c r="F516" s="18">
        <v>40</v>
      </c>
      <c r="G516" s="20">
        <v>154667</v>
      </c>
      <c r="H516" s="20">
        <v>-1333</v>
      </c>
      <c r="I516" s="20">
        <v>46520</v>
      </c>
      <c r="J516" s="8">
        <f t="shared" si="24"/>
        <v>108147</v>
      </c>
      <c r="K516" s="10">
        <f t="shared" si="25"/>
        <v>0.69922478615347816</v>
      </c>
      <c r="L516" s="17">
        <f t="shared" si="26"/>
        <v>8.6185159083708874E-3</v>
      </c>
      <c r="M516" t="str">
        <f>VLOOKUP(D516,'Jer-Tip-Emp'!B:E,4,0)</f>
        <v>Bebidas</v>
      </c>
      <c r="N516" t="str">
        <f>VLOOKUP(D516,'Jer-Tip-Emp'!B:F,5,0)</f>
        <v>Bebidas</v>
      </c>
      <c r="O516" t="str">
        <f>VLOOKUP(D516,'Jer-Tip-Emp'!B:G,6,0)</f>
        <v>Bebidas</v>
      </c>
    </row>
    <row r="517" spans="1:15" ht="27.5" customHeight="1" x14ac:dyDescent="0.2">
      <c r="A517">
        <v>2025</v>
      </c>
      <c r="B517" t="s">
        <v>604</v>
      </c>
      <c r="C517" t="s">
        <v>609</v>
      </c>
      <c r="D517" s="19" t="s">
        <v>245</v>
      </c>
      <c r="E517" s="18" t="s">
        <v>167</v>
      </c>
      <c r="F517" s="18">
        <v>40</v>
      </c>
      <c r="G517" s="20">
        <v>769954</v>
      </c>
      <c r="H517" s="20">
        <v>-26046</v>
      </c>
      <c r="I517" s="18">
        <v>0</v>
      </c>
      <c r="J517" s="8">
        <f t="shared" si="24"/>
        <v>769954</v>
      </c>
      <c r="K517" s="10">
        <f t="shared" si="25"/>
        <v>1</v>
      </c>
      <c r="L517" s="17">
        <f t="shared" si="26"/>
        <v>3.3827994919176992E-2</v>
      </c>
      <c r="M517" t="str">
        <f>VLOOKUP(D517,'Jer-Tip-Emp'!B:E,4,0)</f>
        <v>Mong Express</v>
      </c>
      <c r="N517" t="str">
        <f>VLOOKUP(D517,'Jer-Tip-Emp'!B:F,5,0)</f>
        <v>Personal</v>
      </c>
      <c r="O517" t="str">
        <f>VLOOKUP(D517,'Jer-Tip-Emp'!B:G,6,0)</f>
        <v>Caja</v>
      </c>
    </row>
    <row r="518" spans="1:15" ht="27.5" customHeight="1" x14ac:dyDescent="0.2">
      <c r="A518">
        <v>2025</v>
      </c>
      <c r="B518" t="s">
        <v>604</v>
      </c>
      <c r="C518" t="s">
        <v>609</v>
      </c>
      <c r="D518" s="19" t="s">
        <v>470</v>
      </c>
      <c r="E518" s="18" t="s">
        <v>550</v>
      </c>
      <c r="F518" s="18">
        <v>40</v>
      </c>
      <c r="G518" s="18">
        <v>0</v>
      </c>
      <c r="H518" s="18">
        <v>0</v>
      </c>
      <c r="I518" s="20">
        <v>123880</v>
      </c>
      <c r="J518" s="8">
        <f t="shared" si="24"/>
        <v>-123880</v>
      </c>
      <c r="K518" s="10">
        <f t="shared" si="25"/>
        <v>0</v>
      </c>
      <c r="L518" s="17">
        <f t="shared" si="26"/>
        <v>0</v>
      </c>
      <c r="M518" t="str">
        <f>VLOOKUP(D518,'Jer-Tip-Emp'!B:E,4,0)</f>
        <v>Arma tu plato</v>
      </c>
      <c r="N518" t="str">
        <f>VLOOKUP(D518,'Jer-Tip-Emp'!B:F,5,0)</f>
        <v>Personal</v>
      </c>
      <c r="O518" t="str">
        <f>VLOOKUP(D518,'Jer-Tip-Emp'!B:G,6,0)</f>
        <v>Caja</v>
      </c>
    </row>
    <row r="519" spans="1:15" ht="27.5" customHeight="1" x14ac:dyDescent="0.2">
      <c r="A519">
        <v>2025</v>
      </c>
      <c r="B519" t="s">
        <v>604</v>
      </c>
      <c r="C519" t="s">
        <v>609</v>
      </c>
      <c r="D519" s="19" t="s">
        <v>224</v>
      </c>
      <c r="E519" s="18" t="s">
        <v>114</v>
      </c>
      <c r="F519" s="18">
        <v>31</v>
      </c>
      <c r="G519" s="20">
        <v>722100</v>
      </c>
      <c r="H519" s="20">
        <v>-49800</v>
      </c>
      <c r="I519" s="20">
        <v>394258</v>
      </c>
      <c r="J519" s="8">
        <f t="shared" si="24"/>
        <v>327842</v>
      </c>
      <c r="K519" s="10">
        <f t="shared" si="25"/>
        <v>0.4540119097077967</v>
      </c>
      <c r="L519" s="17">
        <f t="shared" si="26"/>
        <v>6.8965517241379309E-2</v>
      </c>
      <c r="M519" t="str">
        <f>VLOOKUP(D519,'Jer-Tip-Emp'!B:E,4,0)</f>
        <v>Platos especiales</v>
      </c>
      <c r="N519" t="str">
        <f>VLOOKUP(D519,'Jer-Tip-Emp'!B:F,5,0)</f>
        <v>Personal</v>
      </c>
      <c r="O519" t="str">
        <f>VLOOKUP(D519,'Jer-Tip-Emp'!B:G,6,0)</f>
        <v>Platos especiales</v>
      </c>
    </row>
    <row r="520" spans="1:15" ht="27.5" customHeight="1" x14ac:dyDescent="0.2">
      <c r="A520">
        <v>2025</v>
      </c>
      <c r="B520" t="s">
        <v>604</v>
      </c>
      <c r="C520" t="s">
        <v>609</v>
      </c>
      <c r="D520" s="19" t="s">
        <v>448</v>
      </c>
      <c r="E520" s="18" t="s">
        <v>552</v>
      </c>
      <c r="F520" s="18">
        <v>29</v>
      </c>
      <c r="G520" s="18">
        <v>0</v>
      </c>
      <c r="H520" s="18">
        <v>0</v>
      </c>
      <c r="I520" s="20">
        <v>152627</v>
      </c>
      <c r="J520" s="8">
        <f t="shared" si="24"/>
        <v>-152627</v>
      </c>
      <c r="K520" s="10">
        <f t="shared" si="25"/>
        <v>0</v>
      </c>
      <c r="L520" s="17">
        <f t="shared" si="26"/>
        <v>0</v>
      </c>
      <c r="M520" t="str">
        <f>VLOOKUP(D520,'Jer-Tip-Emp'!B:E,4,0)</f>
        <v>Arma tu plato</v>
      </c>
      <c r="N520" t="str">
        <f>VLOOKUP(D520,'Jer-Tip-Emp'!B:F,5,0)</f>
        <v>Personal</v>
      </c>
      <c r="O520" t="str">
        <f>VLOOKUP(D520,'Jer-Tip-Emp'!B:G,6,0)</f>
        <v>Caja</v>
      </c>
    </row>
    <row r="521" spans="1:15" ht="27.5" hidden="1" customHeight="1" x14ac:dyDescent="0.2">
      <c r="A521">
        <v>2025</v>
      </c>
      <c r="B521" t="s">
        <v>604</v>
      </c>
      <c r="C521" t="s">
        <v>609</v>
      </c>
      <c r="D521" s="19" t="s">
        <v>282</v>
      </c>
      <c r="E521" s="18" t="s">
        <v>19</v>
      </c>
      <c r="F521" s="18">
        <v>26</v>
      </c>
      <c r="G521" s="20">
        <v>148900</v>
      </c>
      <c r="H521" s="20">
        <v>-4500</v>
      </c>
      <c r="I521" s="20">
        <v>106548</v>
      </c>
      <c r="J521" s="8">
        <f t="shared" si="24"/>
        <v>42352</v>
      </c>
      <c r="K521" s="10">
        <f t="shared" si="25"/>
        <v>0.28443250503693757</v>
      </c>
      <c r="L521" s="17">
        <f t="shared" si="26"/>
        <v>3.0221625251846879E-2</v>
      </c>
      <c r="M521" t="str">
        <f>VLOOKUP(D521,'Jer-Tip-Emp'!B:E,4,0)</f>
        <v>Adición</v>
      </c>
      <c r="N521" t="str">
        <f>VLOOKUP(D521,'Jer-Tip-Emp'!B:F,5,0)</f>
        <v>Adición</v>
      </c>
      <c r="O521" t="str">
        <f>VLOOKUP(D521,'Jer-Tip-Emp'!B:G,6,0)</f>
        <v>Adición</v>
      </c>
    </row>
    <row r="522" spans="1:15" ht="27.5" customHeight="1" x14ac:dyDescent="0.2">
      <c r="A522">
        <v>2025</v>
      </c>
      <c r="B522" t="s">
        <v>604</v>
      </c>
      <c r="C522" t="s">
        <v>609</v>
      </c>
      <c r="D522" s="19" t="s">
        <v>294</v>
      </c>
      <c r="E522" s="18" t="s">
        <v>108</v>
      </c>
      <c r="F522" s="18">
        <v>25</v>
      </c>
      <c r="G522" s="20">
        <v>473600</v>
      </c>
      <c r="H522" s="20">
        <v>-23900</v>
      </c>
      <c r="I522" s="20">
        <v>204575</v>
      </c>
      <c r="J522" s="8">
        <f t="shared" si="24"/>
        <v>269025</v>
      </c>
      <c r="K522" s="10">
        <f t="shared" si="25"/>
        <v>0.56804265202702697</v>
      </c>
      <c r="L522" s="17">
        <f t="shared" si="26"/>
        <v>5.0464527027027029E-2</v>
      </c>
      <c r="M522" t="str">
        <f>VLOOKUP(D522,'Jer-Tip-Emp'!B:E,4,0)</f>
        <v>Mong Express</v>
      </c>
      <c r="N522" t="str">
        <f>VLOOKUP(D522,'Jer-Tip-Emp'!B:F,5,0)</f>
        <v>Personal</v>
      </c>
      <c r="O522" t="str">
        <f>VLOOKUP(D522,'Jer-Tip-Emp'!B:G,6,0)</f>
        <v>Caja</v>
      </c>
    </row>
    <row r="523" spans="1:15" ht="27.5" hidden="1" customHeight="1" x14ac:dyDescent="0.2">
      <c r="A523">
        <v>2025</v>
      </c>
      <c r="B523" t="s">
        <v>604</v>
      </c>
      <c r="C523" t="s">
        <v>609</v>
      </c>
      <c r="D523" s="19" t="s">
        <v>351</v>
      </c>
      <c r="E523" s="18" t="s">
        <v>55</v>
      </c>
      <c r="F523" s="18">
        <v>24</v>
      </c>
      <c r="G523" s="20">
        <v>141600</v>
      </c>
      <c r="H523" s="18">
        <v>0</v>
      </c>
      <c r="I523" s="20">
        <v>34752</v>
      </c>
      <c r="J523" s="8">
        <f t="shared" si="24"/>
        <v>106848</v>
      </c>
      <c r="K523" s="10">
        <f t="shared" si="25"/>
        <v>0.75457627118644066</v>
      </c>
      <c r="L523" s="17">
        <f t="shared" si="26"/>
        <v>0</v>
      </c>
      <c r="M523" t="str">
        <f>VLOOKUP(D523,'Jer-Tip-Emp'!B:E,4,0)</f>
        <v>Bebidas</v>
      </c>
      <c r="N523" t="str">
        <f>VLOOKUP(D523,'Jer-Tip-Emp'!B:F,5,0)</f>
        <v>Bebidas</v>
      </c>
      <c r="O523" t="str">
        <f>VLOOKUP(D523,'Jer-Tip-Emp'!B:G,6,0)</f>
        <v>Bebidas</v>
      </c>
    </row>
    <row r="524" spans="1:15" ht="27.5" hidden="1" customHeight="1" x14ac:dyDescent="0.2">
      <c r="A524">
        <v>2025</v>
      </c>
      <c r="B524" t="s">
        <v>604</v>
      </c>
      <c r="C524" t="s">
        <v>609</v>
      </c>
      <c r="D524" s="19" t="s">
        <v>268</v>
      </c>
      <c r="E524" s="18" t="s">
        <v>17</v>
      </c>
      <c r="F524" s="18">
        <v>22</v>
      </c>
      <c r="G524" s="20">
        <v>117437</v>
      </c>
      <c r="H524" s="20">
        <v>-12363</v>
      </c>
      <c r="I524" s="20">
        <v>28204</v>
      </c>
      <c r="J524" s="8">
        <f t="shared" si="24"/>
        <v>89233</v>
      </c>
      <c r="K524" s="10">
        <f t="shared" si="25"/>
        <v>0.7598371893014978</v>
      </c>
      <c r="L524" s="17">
        <f t="shared" si="26"/>
        <v>0.10527346577313794</v>
      </c>
      <c r="M524" t="str">
        <f>VLOOKUP(D524,'Jer-Tip-Emp'!B:E,4,0)</f>
        <v>Adición</v>
      </c>
      <c r="N524" t="str">
        <f>VLOOKUP(D524,'Jer-Tip-Emp'!B:F,5,0)</f>
        <v>Adición</v>
      </c>
      <c r="O524" t="str">
        <f>VLOOKUP(D524,'Jer-Tip-Emp'!B:G,6,0)</f>
        <v>Adición</v>
      </c>
    </row>
    <row r="525" spans="1:15" ht="27.5" customHeight="1" x14ac:dyDescent="0.2">
      <c r="A525">
        <v>2025</v>
      </c>
      <c r="B525" t="s">
        <v>604</v>
      </c>
      <c r="C525" t="s">
        <v>609</v>
      </c>
      <c r="D525" s="19" t="s">
        <v>303</v>
      </c>
      <c r="E525" s="18" t="s">
        <v>120</v>
      </c>
      <c r="F525" s="18">
        <v>22</v>
      </c>
      <c r="G525" s="20">
        <v>503800</v>
      </c>
      <c r="H525" s="18">
        <v>0</v>
      </c>
      <c r="I525" s="20">
        <v>165308</v>
      </c>
      <c r="J525" s="8">
        <f t="shared" si="24"/>
        <v>338492</v>
      </c>
      <c r="K525" s="10">
        <f t="shared" si="25"/>
        <v>0.67187772925764189</v>
      </c>
      <c r="L525" s="17">
        <f t="shared" si="26"/>
        <v>0</v>
      </c>
      <c r="M525" t="str">
        <f>VLOOKUP(D525,'Jer-Tip-Emp'!B:E,4,0)</f>
        <v>Platos mong</v>
      </c>
      <c r="N525" t="str">
        <f>VLOOKUP(D525,'Jer-Tip-Emp'!B:F,5,0)</f>
        <v>Personal</v>
      </c>
      <c r="O525" t="str">
        <f>VLOOKUP(D525,'Jer-Tip-Emp'!B:G,6,0)</f>
        <v>Caja</v>
      </c>
    </row>
    <row r="526" spans="1:15" ht="27.5" hidden="1" customHeight="1" x14ac:dyDescent="0.2">
      <c r="A526">
        <v>2025</v>
      </c>
      <c r="B526" t="s">
        <v>604</v>
      </c>
      <c r="C526" t="s">
        <v>609</v>
      </c>
      <c r="D526" s="19" t="s">
        <v>382</v>
      </c>
      <c r="E526" s="18" t="s">
        <v>42</v>
      </c>
      <c r="F526" s="18">
        <v>20</v>
      </c>
      <c r="G526" s="20">
        <v>97530</v>
      </c>
      <c r="H526" s="18">
        <v>-470</v>
      </c>
      <c r="I526" s="20">
        <v>27460</v>
      </c>
      <c r="J526" s="8">
        <f t="shared" si="24"/>
        <v>70070</v>
      </c>
      <c r="K526" s="10">
        <f t="shared" si="25"/>
        <v>0.7184456064800574</v>
      </c>
      <c r="L526" s="17">
        <f t="shared" si="26"/>
        <v>4.819030042038347E-3</v>
      </c>
      <c r="M526" t="str">
        <f>VLOOKUP(D526,'Jer-Tip-Emp'!B:E,4,0)</f>
        <v>Bebidas</v>
      </c>
      <c r="N526" t="str">
        <f>VLOOKUP(D526,'Jer-Tip-Emp'!B:F,5,0)</f>
        <v>Bebidas</v>
      </c>
      <c r="O526" t="str">
        <f>VLOOKUP(D526,'Jer-Tip-Emp'!B:G,6,0)</f>
        <v>Bebidas</v>
      </c>
    </row>
    <row r="527" spans="1:15" ht="27.5" customHeight="1" x14ac:dyDescent="0.2">
      <c r="A527">
        <v>2025</v>
      </c>
      <c r="B527" t="s">
        <v>604</v>
      </c>
      <c r="C527" t="s">
        <v>609</v>
      </c>
      <c r="D527" s="19" t="s">
        <v>246</v>
      </c>
      <c r="E527" s="18" t="s">
        <v>29</v>
      </c>
      <c r="F527" s="18">
        <v>20</v>
      </c>
      <c r="G527" s="20">
        <v>158000</v>
      </c>
      <c r="H527" s="18">
        <v>0</v>
      </c>
      <c r="I527" s="18">
        <v>0</v>
      </c>
      <c r="J527" s="8">
        <f t="shared" si="24"/>
        <v>158000</v>
      </c>
      <c r="K527" s="10">
        <f t="shared" si="25"/>
        <v>1</v>
      </c>
      <c r="L527" s="17">
        <f t="shared" si="26"/>
        <v>0</v>
      </c>
      <c r="M527" t="str">
        <f>VLOOKUP(D527,'Jer-Tip-Emp'!B:E,4,0)</f>
        <v>Armalo en combo</v>
      </c>
      <c r="N527" t="str">
        <f>VLOOKUP(D527,'Jer-Tip-Emp'!B:F,5,0)</f>
        <v>Personal</v>
      </c>
      <c r="O527" t="str">
        <f>VLOOKUP(D527,'Jer-Tip-Emp'!B:G,6,0)</f>
        <v>Combo</v>
      </c>
    </row>
    <row r="528" spans="1:15" ht="27.5" hidden="1" customHeight="1" x14ac:dyDescent="0.2">
      <c r="A528">
        <v>2025</v>
      </c>
      <c r="B528" t="s">
        <v>604</v>
      </c>
      <c r="C528" t="s">
        <v>609</v>
      </c>
      <c r="D528" s="19" t="s">
        <v>335</v>
      </c>
      <c r="E528" s="18" t="s">
        <v>40</v>
      </c>
      <c r="F528" s="18">
        <v>19</v>
      </c>
      <c r="G528" s="20">
        <v>92200</v>
      </c>
      <c r="H528" s="18">
        <v>-900</v>
      </c>
      <c r="I528" s="20">
        <v>26087</v>
      </c>
      <c r="J528" s="8">
        <f t="shared" si="24"/>
        <v>66113</v>
      </c>
      <c r="K528" s="10">
        <f t="shared" si="25"/>
        <v>0.71706073752711497</v>
      </c>
      <c r="L528" s="17">
        <f t="shared" si="26"/>
        <v>9.7613882863340565E-3</v>
      </c>
      <c r="M528" t="str">
        <f>VLOOKUP(D528,'Jer-Tip-Emp'!B:E,4,0)</f>
        <v>Bebidas</v>
      </c>
      <c r="N528" t="str">
        <f>VLOOKUP(D528,'Jer-Tip-Emp'!B:F,5,0)</f>
        <v>Bebidas</v>
      </c>
      <c r="O528" t="str">
        <f>VLOOKUP(D528,'Jer-Tip-Emp'!B:G,6,0)</f>
        <v>Bebidas</v>
      </c>
    </row>
    <row r="529" spans="1:15" ht="27.5" customHeight="1" x14ac:dyDescent="0.2">
      <c r="A529">
        <v>2025</v>
      </c>
      <c r="B529" t="s">
        <v>604</v>
      </c>
      <c r="C529" t="s">
        <v>609</v>
      </c>
      <c r="D529" s="19" t="s">
        <v>219</v>
      </c>
      <c r="E529" s="18" t="s">
        <v>111</v>
      </c>
      <c r="F529" s="18">
        <v>19</v>
      </c>
      <c r="G529" s="20">
        <v>511100</v>
      </c>
      <c r="H529" s="18">
        <v>0</v>
      </c>
      <c r="I529" s="20">
        <v>257773</v>
      </c>
      <c r="J529" s="8">
        <f t="shared" si="24"/>
        <v>253327</v>
      </c>
      <c r="K529" s="10">
        <f t="shared" si="25"/>
        <v>0.49565055762081783</v>
      </c>
      <c r="L529" s="17">
        <f t="shared" si="26"/>
        <v>0</v>
      </c>
      <c r="M529" t="str">
        <f>VLOOKUP(D529,'Jer-Tip-Emp'!B:E,4,0)</f>
        <v>Platos especiales</v>
      </c>
      <c r="N529" t="str">
        <f>VLOOKUP(D529,'Jer-Tip-Emp'!B:F,5,0)</f>
        <v>Personal</v>
      </c>
      <c r="O529" t="str">
        <f>VLOOKUP(D529,'Jer-Tip-Emp'!B:G,6,0)</f>
        <v>Platos especiales</v>
      </c>
    </row>
    <row r="530" spans="1:15" ht="27.5" customHeight="1" x14ac:dyDescent="0.2">
      <c r="A530">
        <v>2025</v>
      </c>
      <c r="B530" t="s">
        <v>604</v>
      </c>
      <c r="C530" t="s">
        <v>609</v>
      </c>
      <c r="D530" s="19" t="s">
        <v>228</v>
      </c>
      <c r="E530" s="18" t="s">
        <v>96</v>
      </c>
      <c r="F530" s="18">
        <v>18</v>
      </c>
      <c r="G530" s="20">
        <v>527882</v>
      </c>
      <c r="H530" s="18">
        <v>-318</v>
      </c>
      <c r="I530" s="20">
        <v>184446</v>
      </c>
      <c r="J530" s="8">
        <f t="shared" si="24"/>
        <v>343436</v>
      </c>
      <c r="K530" s="10">
        <f t="shared" si="25"/>
        <v>0.65059236723358627</v>
      </c>
      <c r="L530" s="17">
        <f t="shared" si="26"/>
        <v>6.0240735618945142E-4</v>
      </c>
      <c r="M530" t="str">
        <f>VLOOKUP(D530,'Jer-Tip-Emp'!B:E,4,0)</f>
        <v>Combos personales</v>
      </c>
      <c r="N530" t="str">
        <f>VLOOKUP(D530,'Jer-Tip-Emp'!B:F,5,0)</f>
        <v>Personal</v>
      </c>
      <c r="O530" t="str">
        <f>VLOOKUP(D530,'Jer-Tip-Emp'!B:G,6,0)</f>
        <v>Combo</v>
      </c>
    </row>
    <row r="531" spans="1:15" ht="27.5" hidden="1" customHeight="1" x14ac:dyDescent="0.2">
      <c r="A531">
        <v>2025</v>
      </c>
      <c r="B531" t="s">
        <v>604</v>
      </c>
      <c r="C531" t="s">
        <v>609</v>
      </c>
      <c r="D531" s="19" t="s">
        <v>337</v>
      </c>
      <c r="E531" s="18" t="s">
        <v>58</v>
      </c>
      <c r="F531" s="18">
        <v>18</v>
      </c>
      <c r="G531" s="20">
        <v>88200</v>
      </c>
      <c r="H531" s="18">
        <v>0</v>
      </c>
      <c r="I531" s="20">
        <v>28080</v>
      </c>
      <c r="J531" s="8">
        <f t="shared" si="24"/>
        <v>60120</v>
      </c>
      <c r="K531" s="10">
        <f t="shared" si="25"/>
        <v>0.68163265306122445</v>
      </c>
      <c r="L531" s="17">
        <f t="shared" si="26"/>
        <v>0</v>
      </c>
      <c r="M531" t="str">
        <f>VLOOKUP(D531,'Jer-Tip-Emp'!B:E,4,0)</f>
        <v>Bebidas</v>
      </c>
      <c r="N531" t="str">
        <f>VLOOKUP(D531,'Jer-Tip-Emp'!B:F,5,0)</f>
        <v>Bebidas</v>
      </c>
      <c r="O531" t="str">
        <f>VLOOKUP(D531,'Jer-Tip-Emp'!B:G,6,0)</f>
        <v>Bebidas</v>
      </c>
    </row>
    <row r="532" spans="1:15" ht="27.5" hidden="1" customHeight="1" x14ac:dyDescent="0.2">
      <c r="A532">
        <v>2025</v>
      </c>
      <c r="B532" t="s">
        <v>604</v>
      </c>
      <c r="C532" t="s">
        <v>609</v>
      </c>
      <c r="D532" s="19" t="s">
        <v>403</v>
      </c>
      <c r="E532" s="18" t="s">
        <v>45</v>
      </c>
      <c r="F532" s="18">
        <v>18</v>
      </c>
      <c r="G532" s="20">
        <v>148500</v>
      </c>
      <c r="H532" s="20">
        <v>-29700</v>
      </c>
      <c r="I532" s="20">
        <v>81018</v>
      </c>
      <c r="J532" s="8">
        <f t="shared" si="24"/>
        <v>67482</v>
      </c>
      <c r="K532" s="10">
        <f t="shared" si="25"/>
        <v>0.4544242424242424</v>
      </c>
      <c r="L532" s="17">
        <f t="shared" si="26"/>
        <v>0.2</v>
      </c>
      <c r="M532" t="str">
        <f>VLOOKUP(D532,'Jer-Tip-Emp'!B:E,4,0)</f>
        <v>Bebidas</v>
      </c>
      <c r="N532" t="str">
        <f>VLOOKUP(D532,'Jer-Tip-Emp'!B:F,5,0)</f>
        <v>Bebidas</v>
      </c>
      <c r="O532" t="str">
        <f>VLOOKUP(D532,'Jer-Tip-Emp'!B:G,6,0)</f>
        <v>Bebidas</v>
      </c>
    </row>
    <row r="533" spans="1:15" ht="27.5" customHeight="1" x14ac:dyDescent="0.2">
      <c r="A533">
        <v>2025</v>
      </c>
      <c r="B533" t="s">
        <v>604</v>
      </c>
      <c r="C533" t="s">
        <v>609</v>
      </c>
      <c r="D533" s="19" t="s">
        <v>205</v>
      </c>
      <c r="E533" s="18" t="s">
        <v>141</v>
      </c>
      <c r="F533" s="18">
        <v>17</v>
      </c>
      <c r="G533" s="20">
        <v>268775</v>
      </c>
      <c r="H533" s="20">
        <v>-1525</v>
      </c>
      <c r="I533" s="20">
        <v>103088</v>
      </c>
      <c r="J533" s="8">
        <f t="shared" si="24"/>
        <v>165687</v>
      </c>
      <c r="K533" s="10">
        <f t="shared" si="25"/>
        <v>0.61645242303041581</v>
      </c>
      <c r="L533" s="17">
        <f t="shared" si="26"/>
        <v>5.6738908008557342E-3</v>
      </c>
      <c r="M533" t="str">
        <f>VLOOKUP(D533,'Jer-Tip-Emp'!B:E,4,0)</f>
        <v>Platos mong</v>
      </c>
      <c r="N533" t="str">
        <f>VLOOKUP(D533,'Jer-Tip-Emp'!B:F,5,0)</f>
        <v>Personal</v>
      </c>
      <c r="O533" t="str">
        <f>VLOOKUP(D533,'Jer-Tip-Emp'!B:G,6,0)</f>
        <v>Caja</v>
      </c>
    </row>
    <row r="534" spans="1:15" ht="27.5" customHeight="1" x14ac:dyDescent="0.2">
      <c r="A534">
        <v>2025</v>
      </c>
      <c r="B534" t="s">
        <v>604</v>
      </c>
      <c r="C534" t="s">
        <v>609</v>
      </c>
      <c r="D534" s="19" t="s">
        <v>474</v>
      </c>
      <c r="E534" s="18" t="s">
        <v>553</v>
      </c>
      <c r="F534" s="18">
        <v>17</v>
      </c>
      <c r="G534" s="18">
        <v>0</v>
      </c>
      <c r="H534" s="18">
        <v>0</v>
      </c>
      <c r="I534" s="20">
        <v>48433</v>
      </c>
      <c r="J534" s="8">
        <f t="shared" si="24"/>
        <v>-48433</v>
      </c>
      <c r="K534" s="10">
        <f t="shared" si="25"/>
        <v>0</v>
      </c>
      <c r="L534" s="17">
        <f t="shared" si="26"/>
        <v>0</v>
      </c>
      <c r="M534" t="str">
        <f>VLOOKUP(D534,'Jer-Tip-Emp'!B:E,4,0)</f>
        <v>Arma tu plato</v>
      </c>
      <c r="N534" t="str">
        <f>VLOOKUP(D534,'Jer-Tip-Emp'!B:F,5,0)</f>
        <v>Personal</v>
      </c>
      <c r="O534" t="str">
        <f>VLOOKUP(D534,'Jer-Tip-Emp'!B:G,6,0)</f>
        <v>Caja</v>
      </c>
    </row>
    <row r="535" spans="1:15" ht="27.5" hidden="1" customHeight="1" x14ac:dyDescent="0.2">
      <c r="A535">
        <v>2025</v>
      </c>
      <c r="B535" t="s">
        <v>604</v>
      </c>
      <c r="C535" t="s">
        <v>609</v>
      </c>
      <c r="D535" s="19" t="s">
        <v>253</v>
      </c>
      <c r="E535" s="18" t="s">
        <v>105</v>
      </c>
      <c r="F535" s="18">
        <v>16</v>
      </c>
      <c r="G535" s="20">
        <v>80000</v>
      </c>
      <c r="H535" s="18">
        <v>0</v>
      </c>
      <c r="I535" s="20">
        <v>25104</v>
      </c>
      <c r="J535" s="8">
        <f t="shared" si="24"/>
        <v>54896</v>
      </c>
      <c r="K535" s="10">
        <f t="shared" si="25"/>
        <v>0.68620000000000003</v>
      </c>
      <c r="L535" s="17">
        <f t="shared" si="26"/>
        <v>0</v>
      </c>
      <c r="M535" t="str">
        <f>VLOOKUP(D535,'Jer-Tip-Emp'!B:E,4,0)</f>
        <v>Entradas</v>
      </c>
      <c r="N535" t="str">
        <f>VLOOKUP(D535,'Jer-Tip-Emp'!B:F,5,0)</f>
        <v>Otro</v>
      </c>
      <c r="O535" t="str">
        <f>VLOOKUP(D535,'Jer-Tip-Emp'!B:G,6,0)</f>
        <v>Otro</v>
      </c>
    </row>
    <row r="536" spans="1:15" ht="27.5" customHeight="1" x14ac:dyDescent="0.2">
      <c r="A536">
        <v>2025</v>
      </c>
      <c r="B536" t="s">
        <v>604</v>
      </c>
      <c r="C536" t="s">
        <v>609</v>
      </c>
      <c r="D536" s="19" t="s">
        <v>285</v>
      </c>
      <c r="E536" s="18" t="s">
        <v>146</v>
      </c>
      <c r="F536" s="18">
        <v>16</v>
      </c>
      <c r="G536" s="20">
        <v>350400</v>
      </c>
      <c r="H536" s="18">
        <v>0</v>
      </c>
      <c r="I536" s="20">
        <v>135424</v>
      </c>
      <c r="J536" s="8">
        <f t="shared" si="24"/>
        <v>214976</v>
      </c>
      <c r="K536" s="10">
        <f t="shared" si="25"/>
        <v>0.61351598173515987</v>
      </c>
      <c r="L536" s="17">
        <f t="shared" si="26"/>
        <v>0</v>
      </c>
      <c r="M536" t="str">
        <f>VLOOKUP(D536,'Jer-Tip-Emp'!B:E,4,0)</f>
        <v>Platos mong</v>
      </c>
      <c r="N536" t="str">
        <f>VLOOKUP(D536,'Jer-Tip-Emp'!B:F,5,0)</f>
        <v>Personal</v>
      </c>
      <c r="O536" t="str">
        <f>VLOOKUP(D536,'Jer-Tip-Emp'!B:G,6,0)</f>
        <v>Caja</v>
      </c>
    </row>
    <row r="537" spans="1:15" ht="27.5" hidden="1" customHeight="1" x14ac:dyDescent="0.2">
      <c r="A537">
        <v>2025</v>
      </c>
      <c r="B537" t="s">
        <v>604</v>
      </c>
      <c r="C537" t="s">
        <v>609</v>
      </c>
      <c r="D537" s="19" t="s">
        <v>262</v>
      </c>
      <c r="E537" s="18" t="s">
        <v>102</v>
      </c>
      <c r="F537" s="18">
        <v>16</v>
      </c>
      <c r="G537" s="20">
        <v>270400</v>
      </c>
      <c r="H537" s="18">
        <v>0</v>
      </c>
      <c r="I537" s="20">
        <v>99440</v>
      </c>
      <c r="J537" s="8">
        <f t="shared" si="24"/>
        <v>170960</v>
      </c>
      <c r="K537" s="10">
        <f t="shared" si="25"/>
        <v>0.63224852071005921</v>
      </c>
      <c r="L537" s="17">
        <f t="shared" si="26"/>
        <v>0</v>
      </c>
      <c r="M537" t="str">
        <f>VLOOKUP(D537,'Jer-Tip-Emp'!B:E,4,0)</f>
        <v>Entradas</v>
      </c>
      <c r="N537" t="str">
        <f>VLOOKUP(D537,'Jer-Tip-Emp'!B:F,5,0)</f>
        <v>Otro</v>
      </c>
      <c r="O537" t="str">
        <f>VLOOKUP(D537,'Jer-Tip-Emp'!B:G,6,0)</f>
        <v>Otro</v>
      </c>
    </row>
    <row r="538" spans="1:15" ht="27.5" hidden="1" customHeight="1" x14ac:dyDescent="0.2">
      <c r="A538">
        <v>2025</v>
      </c>
      <c r="B538" t="s">
        <v>604</v>
      </c>
      <c r="C538" t="s">
        <v>609</v>
      </c>
      <c r="D538" s="19" t="s">
        <v>408</v>
      </c>
      <c r="E538" s="18" t="s">
        <v>35</v>
      </c>
      <c r="F538" s="18">
        <v>16</v>
      </c>
      <c r="G538" s="20">
        <v>49000</v>
      </c>
      <c r="H538" s="20">
        <v>-7000</v>
      </c>
      <c r="I538" s="20">
        <v>13888</v>
      </c>
      <c r="J538" s="8">
        <f t="shared" si="24"/>
        <v>35112</v>
      </c>
      <c r="K538" s="10">
        <f t="shared" si="25"/>
        <v>0.71657142857142853</v>
      </c>
      <c r="L538" s="17">
        <f t="shared" si="26"/>
        <v>0.14285714285714285</v>
      </c>
      <c r="M538" t="str">
        <f>VLOOKUP(D538,'Jer-Tip-Emp'!B:E,4,0)</f>
        <v>Bebidas</v>
      </c>
      <c r="N538" t="str">
        <f>VLOOKUP(D538,'Jer-Tip-Emp'!B:F,5,0)</f>
        <v>Bebidas</v>
      </c>
      <c r="O538" t="str">
        <f>VLOOKUP(D538,'Jer-Tip-Emp'!B:G,6,0)</f>
        <v>Bebidas</v>
      </c>
    </row>
    <row r="539" spans="1:15" ht="27.5" customHeight="1" x14ac:dyDescent="0.2">
      <c r="A539">
        <v>2025</v>
      </c>
      <c r="B539" t="s">
        <v>604</v>
      </c>
      <c r="C539" t="s">
        <v>609</v>
      </c>
      <c r="D539" s="19" t="s">
        <v>185</v>
      </c>
      <c r="E539" s="18" t="s">
        <v>137</v>
      </c>
      <c r="F539" s="18">
        <v>16</v>
      </c>
      <c r="G539" s="20">
        <v>750400</v>
      </c>
      <c r="H539" s="18">
        <v>0</v>
      </c>
      <c r="I539" s="20">
        <v>320848</v>
      </c>
      <c r="J539" s="8">
        <f t="shared" si="24"/>
        <v>429552</v>
      </c>
      <c r="K539" s="10">
        <f t="shared" si="25"/>
        <v>0.57243070362473347</v>
      </c>
      <c r="L539" s="17">
        <f t="shared" si="26"/>
        <v>0</v>
      </c>
      <c r="M539" t="str">
        <f>VLOOKUP(D539,'Jer-Tip-Emp'!B:E,4,0)</f>
        <v>Platos mong</v>
      </c>
      <c r="N539" t="str">
        <f>VLOOKUP(D539,'Jer-Tip-Emp'!B:F,5,0)</f>
        <v>No Personal</v>
      </c>
      <c r="O539" t="str">
        <f>VLOOKUP(D539,'Jer-Tip-Emp'!B:G,6,0)</f>
        <v>Platos Especiales</v>
      </c>
    </row>
    <row r="540" spans="1:15" ht="27.5" customHeight="1" x14ac:dyDescent="0.2">
      <c r="A540">
        <v>2025</v>
      </c>
      <c r="B540" t="s">
        <v>604</v>
      </c>
      <c r="C540" t="s">
        <v>609</v>
      </c>
      <c r="D540" s="19" t="s">
        <v>235</v>
      </c>
      <c r="E540" s="18" t="s">
        <v>147</v>
      </c>
      <c r="F540" s="18">
        <v>15</v>
      </c>
      <c r="G540" s="20">
        <v>883500</v>
      </c>
      <c r="H540" s="18">
        <v>0</v>
      </c>
      <c r="I540" s="20">
        <v>282270</v>
      </c>
      <c r="J540" s="8">
        <f t="shared" si="24"/>
        <v>601230</v>
      </c>
      <c r="K540" s="10">
        <f t="shared" si="25"/>
        <v>0.68050933786078094</v>
      </c>
      <c r="L540" s="17">
        <f t="shared" si="26"/>
        <v>0</v>
      </c>
      <c r="M540" t="str">
        <f>VLOOKUP(D540,'Jer-Tip-Emp'!B:E,4,0)</f>
        <v>Platos mong</v>
      </c>
      <c r="N540" t="str">
        <f>VLOOKUP(D540,'Jer-Tip-Emp'!B:F,5,0)</f>
        <v>No Personal</v>
      </c>
      <c r="O540" t="str">
        <f>VLOOKUP(D540,'Jer-Tip-Emp'!B:G,6,0)</f>
        <v>Caja</v>
      </c>
    </row>
    <row r="541" spans="1:15" ht="27.5" hidden="1" customHeight="1" x14ac:dyDescent="0.2">
      <c r="A541">
        <v>2025</v>
      </c>
      <c r="B541" t="s">
        <v>604</v>
      </c>
      <c r="C541" t="s">
        <v>609</v>
      </c>
      <c r="D541" s="19" t="s">
        <v>364</v>
      </c>
      <c r="E541" s="18" t="s">
        <v>51</v>
      </c>
      <c r="F541" s="18">
        <v>14</v>
      </c>
      <c r="G541" s="20">
        <v>54600</v>
      </c>
      <c r="H541" s="18">
        <v>0</v>
      </c>
      <c r="I541" s="20">
        <v>18074</v>
      </c>
      <c r="J541" s="8">
        <f t="shared" si="24"/>
        <v>36526</v>
      </c>
      <c r="K541" s="10">
        <f t="shared" si="25"/>
        <v>0.66897435897435897</v>
      </c>
      <c r="L541" s="17">
        <f t="shared" si="26"/>
        <v>0</v>
      </c>
      <c r="M541" t="str">
        <f>VLOOKUP(D541,'Jer-Tip-Emp'!B:E,4,0)</f>
        <v>Bebidas</v>
      </c>
      <c r="N541" t="str">
        <f>VLOOKUP(D541,'Jer-Tip-Emp'!B:F,5,0)</f>
        <v>Bebidas</v>
      </c>
      <c r="O541" t="str">
        <f>VLOOKUP(D541,'Jer-Tip-Emp'!B:G,6,0)</f>
        <v>Bebidas</v>
      </c>
    </row>
    <row r="542" spans="1:15" ht="27.5" customHeight="1" x14ac:dyDescent="0.2">
      <c r="A542">
        <v>2025</v>
      </c>
      <c r="B542" t="s">
        <v>604</v>
      </c>
      <c r="C542" t="s">
        <v>609</v>
      </c>
      <c r="D542" s="19" t="s">
        <v>266</v>
      </c>
      <c r="E542" s="18" t="s">
        <v>85</v>
      </c>
      <c r="F542" s="18">
        <v>13</v>
      </c>
      <c r="G542" s="20">
        <v>1077700</v>
      </c>
      <c r="H542" s="18">
        <v>0</v>
      </c>
      <c r="I542" s="20">
        <v>509873</v>
      </c>
      <c r="J542" s="8">
        <f t="shared" si="24"/>
        <v>567827</v>
      </c>
      <c r="K542" s="10">
        <f t="shared" si="25"/>
        <v>0.52688781664656215</v>
      </c>
      <c r="L542" s="17">
        <f t="shared" si="26"/>
        <v>0</v>
      </c>
      <c r="M542" t="str">
        <f>VLOOKUP(D542,'Jer-Tip-Emp'!B:E,4,0)</f>
        <v>Combos para compartir</v>
      </c>
      <c r="N542" t="str">
        <f>VLOOKUP(D542,'Jer-Tip-Emp'!B:F,5,0)</f>
        <v>No Personal</v>
      </c>
      <c r="O542" t="str">
        <f>VLOOKUP(D542,'Jer-Tip-Emp'!B:G,6,0)</f>
        <v>Combo</v>
      </c>
    </row>
    <row r="543" spans="1:15" ht="27.5" customHeight="1" x14ac:dyDescent="0.2">
      <c r="A543">
        <v>2025</v>
      </c>
      <c r="B543" t="s">
        <v>604</v>
      </c>
      <c r="C543" t="s">
        <v>609</v>
      </c>
      <c r="D543" s="19" t="s">
        <v>295</v>
      </c>
      <c r="E543" s="18" t="s">
        <v>110</v>
      </c>
      <c r="F543" s="18">
        <v>13</v>
      </c>
      <c r="G543" s="20">
        <v>253976</v>
      </c>
      <c r="H543" s="20">
        <v>-4724</v>
      </c>
      <c r="I543" s="20">
        <v>87984</v>
      </c>
      <c r="J543" s="8">
        <f t="shared" si="24"/>
        <v>165992</v>
      </c>
      <c r="K543" s="10">
        <f t="shared" si="25"/>
        <v>0.65357356600623684</v>
      </c>
      <c r="L543" s="17">
        <f t="shared" si="26"/>
        <v>1.8600182694427821E-2</v>
      </c>
      <c r="M543" t="str">
        <f>VLOOKUP(D543,'Jer-Tip-Emp'!B:E,4,0)</f>
        <v>Platos mong</v>
      </c>
      <c r="N543" t="str">
        <f>VLOOKUP(D543,'Jer-Tip-Emp'!B:F,5,0)</f>
        <v>Personal</v>
      </c>
      <c r="O543" t="str">
        <f>VLOOKUP(D543,'Jer-Tip-Emp'!B:G,6,0)</f>
        <v>Caja</v>
      </c>
    </row>
    <row r="544" spans="1:15" ht="27.5" hidden="1" customHeight="1" x14ac:dyDescent="0.2">
      <c r="A544">
        <v>2025</v>
      </c>
      <c r="B544" t="s">
        <v>604</v>
      </c>
      <c r="C544" t="s">
        <v>609</v>
      </c>
      <c r="D544" s="19" t="s">
        <v>397</v>
      </c>
      <c r="E544" s="18" t="s">
        <v>61</v>
      </c>
      <c r="F544" s="18">
        <v>13</v>
      </c>
      <c r="G544" s="20">
        <v>63180</v>
      </c>
      <c r="H544" s="18">
        <v>-520</v>
      </c>
      <c r="I544" s="20">
        <v>24648</v>
      </c>
      <c r="J544" s="8">
        <f t="shared" si="24"/>
        <v>38532</v>
      </c>
      <c r="K544" s="10">
        <f t="shared" si="25"/>
        <v>0.6098765432098765</v>
      </c>
      <c r="L544" s="17">
        <f t="shared" si="26"/>
        <v>8.23045267489712E-3</v>
      </c>
      <c r="M544" t="str">
        <f>VLOOKUP(D544,'Jer-Tip-Emp'!B:E,4,0)</f>
        <v>Bebidas</v>
      </c>
      <c r="N544" t="str">
        <f>VLOOKUP(D544,'Jer-Tip-Emp'!B:F,5,0)</f>
        <v>Bebidas</v>
      </c>
      <c r="O544" t="str">
        <f>VLOOKUP(D544,'Jer-Tip-Emp'!B:G,6,0)</f>
        <v>Bebidas</v>
      </c>
    </row>
    <row r="545" spans="1:15" ht="27.5" customHeight="1" x14ac:dyDescent="0.2">
      <c r="A545">
        <v>2025</v>
      </c>
      <c r="B545" t="s">
        <v>604</v>
      </c>
      <c r="C545" t="s">
        <v>609</v>
      </c>
      <c r="D545" s="19" t="s">
        <v>244</v>
      </c>
      <c r="E545" s="18" t="s">
        <v>113</v>
      </c>
      <c r="F545" s="18">
        <v>13</v>
      </c>
      <c r="G545" s="20">
        <v>375700</v>
      </c>
      <c r="H545" s="18">
        <v>0</v>
      </c>
      <c r="I545" s="20">
        <v>98865</v>
      </c>
      <c r="J545" s="8">
        <f t="shared" si="24"/>
        <v>276835</v>
      </c>
      <c r="K545" s="10">
        <f t="shared" si="25"/>
        <v>0.73685121107266438</v>
      </c>
      <c r="L545" s="17">
        <f t="shared" si="26"/>
        <v>0</v>
      </c>
      <c r="M545" t="str">
        <f>VLOOKUP(D545,'Jer-Tip-Emp'!B:E,4,0)</f>
        <v>Platos especiales</v>
      </c>
      <c r="N545" t="str">
        <f>VLOOKUP(D545,'Jer-Tip-Emp'!B:F,5,0)</f>
        <v>Personal</v>
      </c>
      <c r="O545" t="str">
        <f>VLOOKUP(D545,'Jer-Tip-Emp'!B:G,6,0)</f>
        <v>Platos especiales</v>
      </c>
    </row>
    <row r="546" spans="1:15" ht="27.5" hidden="1" customHeight="1" x14ac:dyDescent="0.2">
      <c r="A546">
        <v>2025</v>
      </c>
      <c r="B546" t="s">
        <v>604</v>
      </c>
      <c r="C546" t="s">
        <v>609</v>
      </c>
      <c r="D546" s="19" t="s">
        <v>326</v>
      </c>
      <c r="E546" s="18" t="s">
        <v>69</v>
      </c>
      <c r="F546" s="18">
        <v>13</v>
      </c>
      <c r="G546" s="20">
        <v>63700</v>
      </c>
      <c r="H546" s="18">
        <v>0</v>
      </c>
      <c r="I546" s="20">
        <v>17290</v>
      </c>
      <c r="J546" s="8">
        <f t="shared" si="24"/>
        <v>46410</v>
      </c>
      <c r="K546" s="10">
        <f t="shared" si="25"/>
        <v>0.72857142857142854</v>
      </c>
      <c r="L546" s="17">
        <f t="shared" si="26"/>
        <v>0</v>
      </c>
      <c r="M546" t="str">
        <f>VLOOKUP(D546,'Jer-Tip-Emp'!B:E,4,0)</f>
        <v>Bebidas</v>
      </c>
      <c r="N546" t="str">
        <f>VLOOKUP(D546,'Jer-Tip-Emp'!B:F,5,0)</f>
        <v>Bebidas</v>
      </c>
      <c r="O546" t="str">
        <f>VLOOKUP(D546,'Jer-Tip-Emp'!B:G,6,0)</f>
        <v>Bebidas</v>
      </c>
    </row>
    <row r="547" spans="1:15" ht="27.5" hidden="1" customHeight="1" x14ac:dyDescent="0.2">
      <c r="A547">
        <v>2025</v>
      </c>
      <c r="B547" t="s">
        <v>604</v>
      </c>
      <c r="C547" t="s">
        <v>609</v>
      </c>
      <c r="D547" s="19" t="s">
        <v>189</v>
      </c>
      <c r="E547" s="18" t="s">
        <v>21</v>
      </c>
      <c r="F547" s="18">
        <v>13</v>
      </c>
      <c r="G547" s="20">
        <v>86424</v>
      </c>
      <c r="H547" s="20">
        <v>-3276</v>
      </c>
      <c r="I547" s="20">
        <v>32032</v>
      </c>
      <c r="J547" s="8">
        <f t="shared" si="24"/>
        <v>54392</v>
      </c>
      <c r="K547" s="10">
        <f t="shared" si="25"/>
        <v>0.62936221419975935</v>
      </c>
      <c r="L547" s="17">
        <f t="shared" si="26"/>
        <v>3.7906137184115521E-2</v>
      </c>
      <c r="M547" t="str">
        <f>VLOOKUP(D547,'Jer-Tip-Emp'!B:E,4,0)</f>
        <v>Adición</v>
      </c>
      <c r="N547" t="str">
        <f>VLOOKUP(D547,'Jer-Tip-Emp'!B:F,5,0)</f>
        <v>Adición</v>
      </c>
      <c r="O547" t="str">
        <f>VLOOKUP(D547,'Jer-Tip-Emp'!B:G,6,0)</f>
        <v>Adición</v>
      </c>
    </row>
    <row r="548" spans="1:15" ht="27.5" hidden="1" customHeight="1" x14ac:dyDescent="0.2">
      <c r="A548">
        <v>2025</v>
      </c>
      <c r="B548" t="s">
        <v>604</v>
      </c>
      <c r="C548" t="s">
        <v>609</v>
      </c>
      <c r="D548" s="19" t="s">
        <v>330</v>
      </c>
      <c r="E548" s="18" t="s">
        <v>38</v>
      </c>
      <c r="F548" s="18">
        <v>12</v>
      </c>
      <c r="G548" s="20">
        <v>58579</v>
      </c>
      <c r="H548" s="18">
        <v>-221</v>
      </c>
      <c r="I548" s="20">
        <v>15456</v>
      </c>
      <c r="J548" s="8">
        <f t="shared" si="24"/>
        <v>43123</v>
      </c>
      <c r="K548" s="10">
        <f t="shared" si="25"/>
        <v>0.73615118045716044</v>
      </c>
      <c r="L548" s="17">
        <f t="shared" si="26"/>
        <v>3.7726830434114613E-3</v>
      </c>
      <c r="M548" t="str">
        <f>VLOOKUP(D548,'Jer-Tip-Emp'!B:E,4,0)</f>
        <v>Bebidas</v>
      </c>
      <c r="N548" t="str">
        <f>VLOOKUP(D548,'Jer-Tip-Emp'!B:F,5,0)</f>
        <v>Bebidas</v>
      </c>
      <c r="O548" t="str">
        <f>VLOOKUP(D548,'Jer-Tip-Emp'!B:G,6,0)</f>
        <v>Bebidas</v>
      </c>
    </row>
    <row r="549" spans="1:15" ht="27.5" customHeight="1" x14ac:dyDescent="0.2">
      <c r="A549">
        <v>2025</v>
      </c>
      <c r="B549" t="s">
        <v>604</v>
      </c>
      <c r="C549" t="s">
        <v>609</v>
      </c>
      <c r="D549" s="19" t="s">
        <v>214</v>
      </c>
      <c r="E549" s="18" t="s">
        <v>81</v>
      </c>
      <c r="F549" s="18">
        <v>12</v>
      </c>
      <c r="G549" s="20">
        <v>712900</v>
      </c>
      <c r="H549" s="20">
        <v>-5900</v>
      </c>
      <c r="I549" s="20">
        <v>283656</v>
      </c>
      <c r="J549" s="8">
        <f t="shared" si="24"/>
        <v>429244</v>
      </c>
      <c r="K549" s="10">
        <f t="shared" si="25"/>
        <v>0.60210969280403981</v>
      </c>
      <c r="L549" s="17">
        <f t="shared" si="26"/>
        <v>8.2760555477626591E-3</v>
      </c>
      <c r="M549" t="str">
        <f>VLOOKUP(D549,'Jer-Tip-Emp'!B:E,4,0)</f>
        <v>Combos para compartir</v>
      </c>
      <c r="N549" t="str">
        <f>VLOOKUP(D549,'Jer-Tip-Emp'!B:F,5,0)</f>
        <v>No Personal</v>
      </c>
      <c r="O549" t="str">
        <f>VLOOKUP(D549,'Jer-Tip-Emp'!B:G,6,0)</f>
        <v>Combo</v>
      </c>
    </row>
    <row r="550" spans="1:15" ht="27.5" customHeight="1" x14ac:dyDescent="0.2">
      <c r="A550">
        <v>2025</v>
      </c>
      <c r="B550" t="s">
        <v>604</v>
      </c>
      <c r="C550" t="s">
        <v>609</v>
      </c>
      <c r="D550" s="19" t="s">
        <v>206</v>
      </c>
      <c r="E550" s="18" t="s">
        <v>117</v>
      </c>
      <c r="F550" s="18">
        <v>12</v>
      </c>
      <c r="G550" s="20">
        <v>185900</v>
      </c>
      <c r="H550" s="20">
        <v>-16900</v>
      </c>
      <c r="I550" s="20">
        <v>85500</v>
      </c>
      <c r="J550" s="8">
        <f t="shared" si="24"/>
        <v>100400</v>
      </c>
      <c r="K550" s="10">
        <f t="shared" si="25"/>
        <v>0.5400753093060785</v>
      </c>
      <c r="L550" s="17">
        <f t="shared" si="26"/>
        <v>9.0909090909090912E-2</v>
      </c>
      <c r="M550" t="str">
        <f>VLOOKUP(D550,'Jer-Tip-Emp'!B:E,4,0)</f>
        <v>Platos especiales</v>
      </c>
      <c r="N550" t="str">
        <f>VLOOKUP(D550,'Jer-Tip-Emp'!B:F,5,0)</f>
        <v>Personal</v>
      </c>
      <c r="O550" t="str">
        <f>VLOOKUP(D550,'Jer-Tip-Emp'!B:G,6,0)</f>
        <v>Platos especiales</v>
      </c>
    </row>
    <row r="551" spans="1:15" ht="27.5" customHeight="1" x14ac:dyDescent="0.2">
      <c r="A551">
        <v>2025</v>
      </c>
      <c r="B551" t="s">
        <v>604</v>
      </c>
      <c r="C551" t="s">
        <v>609</v>
      </c>
      <c r="D551" s="19" t="s">
        <v>252</v>
      </c>
      <c r="E551" s="18" t="s">
        <v>100</v>
      </c>
      <c r="F551" s="18">
        <v>11</v>
      </c>
      <c r="G551" s="20">
        <v>735900</v>
      </c>
      <c r="H551" s="18">
        <v>0</v>
      </c>
      <c r="I551" s="20">
        <v>355861</v>
      </c>
      <c r="J551" s="8">
        <f t="shared" si="24"/>
        <v>380039</v>
      </c>
      <c r="K551" s="10">
        <f t="shared" si="25"/>
        <v>0.51642750373692081</v>
      </c>
      <c r="L551" s="17">
        <f t="shared" si="26"/>
        <v>0</v>
      </c>
      <c r="M551" t="str">
        <f>VLOOKUP(D551,'Jer-Tip-Emp'!B:E,4,0)</f>
        <v>Platos mong</v>
      </c>
      <c r="N551" t="str">
        <f>VLOOKUP(D551,'Jer-Tip-Emp'!B:F,5,0)</f>
        <v>No Personal</v>
      </c>
      <c r="O551" t="str">
        <f>VLOOKUP(D551,'Jer-Tip-Emp'!B:G,6,0)</f>
        <v>Caja</v>
      </c>
    </row>
    <row r="552" spans="1:15" ht="27.5" customHeight="1" x14ac:dyDescent="0.2">
      <c r="A552">
        <v>2025</v>
      </c>
      <c r="B552" t="s">
        <v>604</v>
      </c>
      <c r="C552" t="s">
        <v>609</v>
      </c>
      <c r="D552" s="19" t="s">
        <v>180</v>
      </c>
      <c r="E552" s="18" t="s">
        <v>128</v>
      </c>
      <c r="F552" s="18">
        <v>11</v>
      </c>
      <c r="G552" s="20">
        <v>229900</v>
      </c>
      <c r="H552" s="18">
        <v>0</v>
      </c>
      <c r="I552" s="20">
        <v>75218</v>
      </c>
      <c r="J552" s="8">
        <f t="shared" si="24"/>
        <v>154682</v>
      </c>
      <c r="K552" s="10">
        <f t="shared" si="25"/>
        <v>0.67282296650717699</v>
      </c>
      <c r="L552" s="17">
        <f t="shared" si="26"/>
        <v>0</v>
      </c>
      <c r="M552" t="str">
        <f>VLOOKUP(D552,'Jer-Tip-Emp'!B:E,4,0)</f>
        <v>Platos mong</v>
      </c>
      <c r="N552" t="str">
        <f>VLOOKUP(D552,'Jer-Tip-Emp'!B:F,5,0)</f>
        <v>Personal</v>
      </c>
      <c r="O552" t="str">
        <f>VLOOKUP(D552,'Jer-Tip-Emp'!B:G,6,0)</f>
        <v>Caja</v>
      </c>
    </row>
    <row r="553" spans="1:15" ht="27.5" hidden="1" customHeight="1" x14ac:dyDescent="0.2">
      <c r="A553">
        <v>2025</v>
      </c>
      <c r="B553" t="s">
        <v>604</v>
      </c>
      <c r="C553" t="s">
        <v>609</v>
      </c>
      <c r="D553" s="19" t="s">
        <v>402</v>
      </c>
      <c r="E553" s="18" t="s">
        <v>63</v>
      </c>
      <c r="F553" s="18">
        <v>11</v>
      </c>
      <c r="G553" s="20">
        <v>53900</v>
      </c>
      <c r="H553" s="18">
        <v>0</v>
      </c>
      <c r="I553" s="20">
        <v>17160</v>
      </c>
      <c r="J553" s="8">
        <f t="shared" si="24"/>
        <v>36740</v>
      </c>
      <c r="K553" s="10">
        <f t="shared" si="25"/>
        <v>0.68163265306122445</v>
      </c>
      <c r="L553" s="17">
        <f t="shared" si="26"/>
        <v>0</v>
      </c>
      <c r="M553" t="str">
        <f>VLOOKUP(D553,'Jer-Tip-Emp'!B:E,4,0)</f>
        <v>Bebidas</v>
      </c>
      <c r="N553" t="str">
        <f>VLOOKUP(D553,'Jer-Tip-Emp'!B:F,5,0)</f>
        <v>Bebidas</v>
      </c>
      <c r="O553" t="str">
        <f>VLOOKUP(D553,'Jer-Tip-Emp'!B:G,6,0)</f>
        <v>Bebidas</v>
      </c>
    </row>
    <row r="554" spans="1:15" ht="27.5" customHeight="1" x14ac:dyDescent="0.2">
      <c r="A554">
        <v>2025</v>
      </c>
      <c r="B554" t="s">
        <v>604</v>
      </c>
      <c r="C554" t="s">
        <v>609</v>
      </c>
      <c r="D554" s="19" t="s">
        <v>225</v>
      </c>
      <c r="E554" s="18" t="s">
        <v>157</v>
      </c>
      <c r="F554" s="18">
        <v>10</v>
      </c>
      <c r="G554" s="20">
        <v>179000</v>
      </c>
      <c r="H554" s="18">
        <v>0</v>
      </c>
      <c r="I554" s="20">
        <v>71410</v>
      </c>
      <c r="J554" s="8">
        <f t="shared" si="24"/>
        <v>107590</v>
      </c>
      <c r="K554" s="10">
        <f t="shared" si="25"/>
        <v>0.60106145251396648</v>
      </c>
      <c r="L554" s="17">
        <f t="shared" si="26"/>
        <v>0</v>
      </c>
      <c r="M554" t="str">
        <f>VLOOKUP(D554,'Jer-Tip-Emp'!B:E,4,0)</f>
        <v>Platos mong</v>
      </c>
      <c r="N554" t="str">
        <f>VLOOKUP(D554,'Jer-Tip-Emp'!B:F,5,0)</f>
        <v>Personal</v>
      </c>
      <c r="O554" t="str">
        <f>VLOOKUP(D554,'Jer-Tip-Emp'!B:G,6,0)</f>
        <v>Caja</v>
      </c>
    </row>
    <row r="555" spans="1:15" ht="27.5" customHeight="1" x14ac:dyDescent="0.2">
      <c r="A555">
        <v>2025</v>
      </c>
      <c r="B555" t="s">
        <v>604</v>
      </c>
      <c r="C555" t="s">
        <v>609</v>
      </c>
      <c r="D555" s="19" t="s">
        <v>232</v>
      </c>
      <c r="E555" s="18" t="s">
        <v>94</v>
      </c>
      <c r="F555" s="18">
        <v>10</v>
      </c>
      <c r="G555" s="20">
        <v>229000</v>
      </c>
      <c r="H555" s="18">
        <v>0</v>
      </c>
      <c r="I555" s="20">
        <v>94040</v>
      </c>
      <c r="J555" s="8">
        <f t="shared" si="24"/>
        <v>134960</v>
      </c>
      <c r="K555" s="10">
        <f t="shared" si="25"/>
        <v>0.58934497816593889</v>
      </c>
      <c r="L555" s="17">
        <f t="shared" si="26"/>
        <v>0</v>
      </c>
      <c r="M555" t="str">
        <f>VLOOKUP(D555,'Jer-Tip-Emp'!B:E,4,0)</f>
        <v>Platos mong</v>
      </c>
      <c r="N555" t="str">
        <f>VLOOKUP(D555,'Jer-Tip-Emp'!B:F,5,0)</f>
        <v>Personal</v>
      </c>
      <c r="O555" t="str">
        <f>VLOOKUP(D555,'Jer-Tip-Emp'!B:G,6,0)</f>
        <v>Caja</v>
      </c>
    </row>
    <row r="556" spans="1:15" ht="27.5" hidden="1" customHeight="1" x14ac:dyDescent="0.2">
      <c r="A556">
        <v>2025</v>
      </c>
      <c r="B556" t="s">
        <v>604</v>
      </c>
      <c r="C556" t="s">
        <v>609</v>
      </c>
      <c r="D556" s="19" t="s">
        <v>321</v>
      </c>
      <c r="E556" s="18" t="s">
        <v>72</v>
      </c>
      <c r="F556" s="18">
        <v>10</v>
      </c>
      <c r="G556" s="20">
        <v>49000</v>
      </c>
      <c r="H556" s="18">
        <v>0</v>
      </c>
      <c r="I556" s="20">
        <v>13300</v>
      </c>
      <c r="J556" s="8">
        <f t="shared" si="24"/>
        <v>35700</v>
      </c>
      <c r="K556" s="10">
        <f t="shared" si="25"/>
        <v>0.72857142857142854</v>
      </c>
      <c r="L556" s="17">
        <f t="shared" si="26"/>
        <v>0</v>
      </c>
      <c r="M556" t="str">
        <f>VLOOKUP(D556,'Jer-Tip-Emp'!B:E,4,0)</f>
        <v>Bebidas</v>
      </c>
      <c r="N556" t="str">
        <f>VLOOKUP(D556,'Jer-Tip-Emp'!B:F,5,0)</f>
        <v>Bebidas</v>
      </c>
      <c r="O556" t="str">
        <f>VLOOKUP(D556,'Jer-Tip-Emp'!B:G,6,0)</f>
        <v>Bebidas</v>
      </c>
    </row>
    <row r="557" spans="1:15" ht="27.5" hidden="1" customHeight="1" x14ac:dyDescent="0.2">
      <c r="A557">
        <v>2025</v>
      </c>
      <c r="B557" t="s">
        <v>604</v>
      </c>
      <c r="C557" t="s">
        <v>609</v>
      </c>
      <c r="D557" s="19" t="s">
        <v>369</v>
      </c>
      <c r="E557" s="18" t="s">
        <v>68</v>
      </c>
      <c r="F557" s="18">
        <v>10</v>
      </c>
      <c r="G557" s="20">
        <v>49000</v>
      </c>
      <c r="H557" s="18">
        <v>0</v>
      </c>
      <c r="I557" s="20">
        <v>13300</v>
      </c>
      <c r="J557" s="8">
        <f t="shared" si="24"/>
        <v>35700</v>
      </c>
      <c r="K557" s="10">
        <f t="shared" si="25"/>
        <v>0.72857142857142854</v>
      </c>
      <c r="L557" s="17">
        <f t="shared" si="26"/>
        <v>0</v>
      </c>
      <c r="M557" t="str">
        <f>VLOOKUP(D557,'Jer-Tip-Emp'!B:E,4,0)</f>
        <v>Bebidas</v>
      </c>
      <c r="N557" t="str">
        <f>VLOOKUP(D557,'Jer-Tip-Emp'!B:F,5,0)</f>
        <v>Bebidas</v>
      </c>
      <c r="O557" t="str">
        <f>VLOOKUP(D557,'Jer-Tip-Emp'!B:G,6,0)</f>
        <v>Bebidas</v>
      </c>
    </row>
    <row r="558" spans="1:15" ht="27.5" hidden="1" customHeight="1" x14ac:dyDescent="0.2">
      <c r="A558">
        <v>2025</v>
      </c>
      <c r="B558" t="s">
        <v>604</v>
      </c>
      <c r="C558" t="s">
        <v>609</v>
      </c>
      <c r="D558" s="19" t="s">
        <v>218</v>
      </c>
      <c r="E558" s="18" t="s">
        <v>33</v>
      </c>
      <c r="F558" s="18">
        <v>10</v>
      </c>
      <c r="G558" s="20">
        <v>79000</v>
      </c>
      <c r="H558" s="18">
        <v>0</v>
      </c>
      <c r="I558" s="18">
        <v>0</v>
      </c>
      <c r="J558" s="8">
        <f t="shared" si="24"/>
        <v>79000</v>
      </c>
      <c r="K558" s="10">
        <f t="shared" si="25"/>
        <v>1</v>
      </c>
      <c r="L558" s="17">
        <f t="shared" si="26"/>
        <v>0</v>
      </c>
      <c r="M558" t="str">
        <f>VLOOKUP(D558,'Jer-Tip-Emp'!B:E,4,0)</f>
        <v>Adición</v>
      </c>
      <c r="N558" t="str">
        <f>VLOOKUP(D558,'Jer-Tip-Emp'!B:F,5,0)</f>
        <v>Adición</v>
      </c>
      <c r="O558" t="str">
        <f>VLOOKUP(D558,'Jer-Tip-Emp'!B:G,6,0)</f>
        <v>Adición</v>
      </c>
    </row>
    <row r="559" spans="1:15" ht="27.5" hidden="1" customHeight="1" x14ac:dyDescent="0.2">
      <c r="A559">
        <v>2025</v>
      </c>
      <c r="B559" t="s">
        <v>604</v>
      </c>
      <c r="C559" t="s">
        <v>609</v>
      </c>
      <c r="D559" s="19" t="s">
        <v>336</v>
      </c>
      <c r="E559" s="18" t="s">
        <v>60</v>
      </c>
      <c r="F559" s="18">
        <v>10</v>
      </c>
      <c r="G559" s="20">
        <v>49000</v>
      </c>
      <c r="H559" s="18">
        <v>0</v>
      </c>
      <c r="I559" s="20">
        <v>15600</v>
      </c>
      <c r="J559" s="8">
        <f t="shared" si="24"/>
        <v>33400</v>
      </c>
      <c r="K559" s="10">
        <f t="shared" si="25"/>
        <v>0.68163265306122445</v>
      </c>
      <c r="L559" s="17">
        <f t="shared" si="26"/>
        <v>0</v>
      </c>
      <c r="M559" t="str">
        <f>VLOOKUP(D559,'Jer-Tip-Emp'!B:E,4,0)</f>
        <v>Bebidas</v>
      </c>
      <c r="N559" t="str">
        <f>VLOOKUP(D559,'Jer-Tip-Emp'!B:F,5,0)</f>
        <v>Bebidas</v>
      </c>
      <c r="O559" t="str">
        <f>VLOOKUP(D559,'Jer-Tip-Emp'!B:G,6,0)</f>
        <v>Bebidas</v>
      </c>
    </row>
    <row r="560" spans="1:15" ht="27.5" customHeight="1" x14ac:dyDescent="0.2">
      <c r="A560">
        <v>2025</v>
      </c>
      <c r="B560" t="s">
        <v>604</v>
      </c>
      <c r="C560" t="s">
        <v>609</v>
      </c>
      <c r="D560" s="19" t="s">
        <v>197</v>
      </c>
      <c r="E560" s="18" t="s">
        <v>31</v>
      </c>
      <c r="F560" s="18">
        <v>10</v>
      </c>
      <c r="G560" s="20">
        <v>79000</v>
      </c>
      <c r="H560" s="18">
        <v>0</v>
      </c>
      <c r="I560" s="20">
        <v>32120</v>
      </c>
      <c r="J560" s="8">
        <f t="shared" si="24"/>
        <v>46880</v>
      </c>
      <c r="K560" s="10">
        <f t="shared" si="25"/>
        <v>0.59341772151898731</v>
      </c>
      <c r="L560" s="17">
        <f t="shared" si="26"/>
        <v>0</v>
      </c>
      <c r="M560" t="str">
        <f>VLOOKUP(D560,'Jer-Tip-Emp'!B:E,4,0)</f>
        <v>Armalo en combo</v>
      </c>
      <c r="N560" t="str">
        <f>VLOOKUP(D560,'Jer-Tip-Emp'!B:F,5,0)</f>
        <v>Personal</v>
      </c>
      <c r="O560" t="str">
        <f>VLOOKUP(D560,'Jer-Tip-Emp'!B:G,6,0)</f>
        <v>Combo</v>
      </c>
    </row>
    <row r="561" spans="1:15" ht="27.5" customHeight="1" x14ac:dyDescent="0.2">
      <c r="A561">
        <v>2025</v>
      </c>
      <c r="B561" t="s">
        <v>604</v>
      </c>
      <c r="C561" t="s">
        <v>609</v>
      </c>
      <c r="D561" s="19" t="s">
        <v>257</v>
      </c>
      <c r="E561" s="18" t="s">
        <v>78</v>
      </c>
      <c r="F561" s="18">
        <v>9</v>
      </c>
      <c r="G561" s="20">
        <v>161100</v>
      </c>
      <c r="H561" s="18">
        <v>0</v>
      </c>
      <c r="I561" s="18">
        <v>0</v>
      </c>
      <c r="J561" s="8">
        <f t="shared" si="24"/>
        <v>161100</v>
      </c>
      <c r="K561" s="10">
        <f t="shared" si="25"/>
        <v>1</v>
      </c>
      <c r="L561" s="17">
        <f t="shared" si="26"/>
        <v>0</v>
      </c>
      <c r="M561" t="str">
        <f>VLOOKUP(D561,'Jer-Tip-Emp'!B:E,4,0)</f>
        <v>Bowl</v>
      </c>
      <c r="N561" t="str">
        <f>VLOOKUP(D561,'Jer-Tip-Emp'!B:F,5,0)</f>
        <v>Personal</v>
      </c>
      <c r="O561" t="str">
        <f>VLOOKUP(D561,'Jer-Tip-Emp'!B:G,6,0)</f>
        <v>Bowl</v>
      </c>
    </row>
    <row r="562" spans="1:15" ht="27.5" hidden="1" customHeight="1" x14ac:dyDescent="0.2">
      <c r="A562">
        <v>2025</v>
      </c>
      <c r="B562" t="s">
        <v>604</v>
      </c>
      <c r="C562" t="s">
        <v>609</v>
      </c>
      <c r="D562" s="19" t="s">
        <v>193</v>
      </c>
      <c r="E562" s="18" t="s">
        <v>18</v>
      </c>
      <c r="F562" s="18">
        <v>9</v>
      </c>
      <c r="G562" s="20">
        <v>61777</v>
      </c>
      <c r="H562" s="18">
        <v>-323</v>
      </c>
      <c r="I562" s="20">
        <v>27972</v>
      </c>
      <c r="J562" s="8">
        <f t="shared" si="24"/>
        <v>33805</v>
      </c>
      <c r="K562" s="10">
        <f t="shared" si="25"/>
        <v>0.54721012674620007</v>
      </c>
      <c r="L562" s="17">
        <f t="shared" si="26"/>
        <v>5.2284830924130337E-3</v>
      </c>
      <c r="M562" t="str">
        <f>VLOOKUP(D562,'Jer-Tip-Emp'!B:E,4,0)</f>
        <v>Adición</v>
      </c>
      <c r="N562" t="str">
        <f>VLOOKUP(D562,'Jer-Tip-Emp'!B:F,5,0)</f>
        <v>Adición</v>
      </c>
      <c r="O562" t="str">
        <f>VLOOKUP(D562,'Jer-Tip-Emp'!B:G,6,0)</f>
        <v>Adición</v>
      </c>
    </row>
    <row r="563" spans="1:15" ht="27.5" customHeight="1" x14ac:dyDescent="0.2">
      <c r="A563">
        <v>2025</v>
      </c>
      <c r="B563" t="s">
        <v>604</v>
      </c>
      <c r="C563" t="s">
        <v>609</v>
      </c>
      <c r="D563" s="19" t="s">
        <v>198</v>
      </c>
      <c r="E563" s="18" t="s">
        <v>124</v>
      </c>
      <c r="F563" s="18">
        <v>9</v>
      </c>
      <c r="G563" s="20">
        <v>215100</v>
      </c>
      <c r="H563" s="18">
        <v>0</v>
      </c>
      <c r="I563" s="20">
        <v>78813</v>
      </c>
      <c r="J563" s="8">
        <f t="shared" si="24"/>
        <v>136287</v>
      </c>
      <c r="K563" s="10">
        <f t="shared" si="25"/>
        <v>0.6335983263598326</v>
      </c>
      <c r="L563" s="17">
        <f t="shared" si="26"/>
        <v>0</v>
      </c>
      <c r="M563" t="str">
        <f>VLOOKUP(D563,'Jer-Tip-Emp'!B:E,4,0)</f>
        <v>Platos mong</v>
      </c>
      <c r="N563" t="str">
        <f>VLOOKUP(D563,'Jer-Tip-Emp'!B:F,5,0)</f>
        <v>Personal</v>
      </c>
      <c r="O563" t="str">
        <f>VLOOKUP(D563,'Jer-Tip-Emp'!B:G,6,0)</f>
        <v>Caja</v>
      </c>
    </row>
    <row r="564" spans="1:15" ht="27.5" customHeight="1" x14ac:dyDescent="0.2">
      <c r="A564">
        <v>2025</v>
      </c>
      <c r="B564" t="s">
        <v>604</v>
      </c>
      <c r="C564" t="s">
        <v>609</v>
      </c>
      <c r="D564" s="19" t="s">
        <v>182</v>
      </c>
      <c r="E564" s="18" t="s">
        <v>118</v>
      </c>
      <c r="F564" s="18">
        <v>8</v>
      </c>
      <c r="G564" s="20">
        <v>209200</v>
      </c>
      <c r="H564" s="18">
        <v>0</v>
      </c>
      <c r="I564" s="20">
        <v>75824</v>
      </c>
      <c r="J564" s="8">
        <f t="shared" si="24"/>
        <v>133376</v>
      </c>
      <c r="K564" s="10">
        <f t="shared" si="25"/>
        <v>0.63755258126195025</v>
      </c>
      <c r="L564" s="17">
        <f t="shared" si="26"/>
        <v>0</v>
      </c>
      <c r="M564" t="str">
        <f>VLOOKUP(D564,'Jer-Tip-Emp'!B:E,4,0)</f>
        <v>Platos mong</v>
      </c>
      <c r="N564" t="str">
        <f>VLOOKUP(D564,'Jer-Tip-Emp'!B:F,5,0)</f>
        <v>Personal</v>
      </c>
      <c r="O564" t="str">
        <f>VLOOKUP(D564,'Jer-Tip-Emp'!B:G,6,0)</f>
        <v>Caja</v>
      </c>
    </row>
    <row r="565" spans="1:15" ht="27.5" customHeight="1" x14ac:dyDescent="0.2">
      <c r="A565">
        <v>2025</v>
      </c>
      <c r="B565" t="s">
        <v>604</v>
      </c>
      <c r="C565" t="s">
        <v>609</v>
      </c>
      <c r="D565" s="19" t="s">
        <v>278</v>
      </c>
      <c r="E565" s="18" t="s">
        <v>84</v>
      </c>
      <c r="F565" s="18">
        <v>8</v>
      </c>
      <c r="G565" s="20">
        <v>167200</v>
      </c>
      <c r="H565" s="18">
        <v>0</v>
      </c>
      <c r="I565" s="20">
        <v>63784</v>
      </c>
      <c r="J565" s="8">
        <f t="shared" si="24"/>
        <v>103416</v>
      </c>
      <c r="K565" s="10">
        <f t="shared" si="25"/>
        <v>0.61851674641148324</v>
      </c>
      <c r="L565" s="17">
        <f t="shared" si="26"/>
        <v>0</v>
      </c>
      <c r="M565" t="str">
        <f>VLOOKUP(D565,'Jer-Tip-Emp'!B:E,4,0)</f>
        <v>Combos para compartir</v>
      </c>
      <c r="N565" t="str">
        <f>VLOOKUP(D565,'Jer-Tip-Emp'!B:F,5,0)</f>
        <v>No Personal</v>
      </c>
      <c r="O565" t="str">
        <f>VLOOKUP(D565,'Jer-Tip-Emp'!B:G,6,0)</f>
        <v>Combo</v>
      </c>
    </row>
    <row r="566" spans="1:15" ht="27.5" customHeight="1" x14ac:dyDescent="0.2">
      <c r="A566">
        <v>2025</v>
      </c>
      <c r="B566" t="s">
        <v>604</v>
      </c>
      <c r="C566" t="s">
        <v>609</v>
      </c>
      <c r="D566" s="19" t="s">
        <v>202</v>
      </c>
      <c r="E566" s="18" t="s">
        <v>142</v>
      </c>
      <c r="F566" s="18">
        <v>7</v>
      </c>
      <c r="G566" s="20">
        <v>279300</v>
      </c>
      <c r="H566" s="18">
        <v>0</v>
      </c>
      <c r="I566" s="20">
        <v>99617</v>
      </c>
      <c r="J566" s="8">
        <f t="shared" si="24"/>
        <v>179683</v>
      </c>
      <c r="K566" s="10">
        <f t="shared" si="25"/>
        <v>0.64333333333333331</v>
      </c>
      <c r="L566" s="17">
        <f t="shared" si="26"/>
        <v>0</v>
      </c>
      <c r="M566" t="str">
        <f>VLOOKUP(D566,'Jer-Tip-Emp'!B:E,4,0)</f>
        <v>Platos mong</v>
      </c>
      <c r="N566" t="str">
        <f>VLOOKUP(D566,'Jer-Tip-Emp'!B:F,5,0)</f>
        <v>No Personal</v>
      </c>
      <c r="O566" t="str">
        <f>VLOOKUP(D566,'Jer-Tip-Emp'!B:G,6,0)</f>
        <v>Caja</v>
      </c>
    </row>
    <row r="567" spans="1:15" ht="27.5" hidden="1" customHeight="1" x14ac:dyDescent="0.2">
      <c r="A567">
        <v>2025</v>
      </c>
      <c r="B567" t="s">
        <v>604</v>
      </c>
      <c r="C567" t="s">
        <v>609</v>
      </c>
      <c r="D567" s="19" t="s">
        <v>409</v>
      </c>
      <c r="E567" s="18" t="s">
        <v>64</v>
      </c>
      <c r="F567" s="18">
        <v>7</v>
      </c>
      <c r="G567" s="20">
        <v>56000</v>
      </c>
      <c r="H567" s="18">
        <v>0</v>
      </c>
      <c r="I567" s="18">
        <v>0</v>
      </c>
      <c r="J567" s="8">
        <f t="shared" si="24"/>
        <v>56000</v>
      </c>
      <c r="K567" s="10">
        <f t="shared" si="25"/>
        <v>1</v>
      </c>
      <c r="L567" s="17">
        <f t="shared" si="26"/>
        <v>0</v>
      </c>
      <c r="M567" t="str">
        <f>VLOOKUP(D567,'Jer-Tip-Emp'!B:E,4,0)</f>
        <v>Bebidas</v>
      </c>
      <c r="N567" t="str">
        <f>VLOOKUP(D567,'Jer-Tip-Emp'!B:F,5,0)</f>
        <v>Bebidas</v>
      </c>
      <c r="O567" t="str">
        <f>VLOOKUP(D567,'Jer-Tip-Emp'!B:G,6,0)</f>
        <v>Bebidas</v>
      </c>
    </row>
    <row r="568" spans="1:15" ht="27.5" hidden="1" customHeight="1" x14ac:dyDescent="0.2">
      <c r="A568">
        <v>2025</v>
      </c>
      <c r="B568" t="s">
        <v>604</v>
      </c>
      <c r="C568" t="s">
        <v>609</v>
      </c>
      <c r="D568" s="19" t="s">
        <v>314</v>
      </c>
      <c r="E568" s="18" t="s">
        <v>67</v>
      </c>
      <c r="F568" s="18">
        <v>6</v>
      </c>
      <c r="G568" s="20">
        <v>29400</v>
      </c>
      <c r="H568" s="18">
        <v>0</v>
      </c>
      <c r="I568" s="20">
        <v>7980</v>
      </c>
      <c r="J568" s="8">
        <f t="shared" si="24"/>
        <v>21420</v>
      </c>
      <c r="K568" s="10">
        <f t="shared" si="25"/>
        <v>0.72857142857142854</v>
      </c>
      <c r="L568" s="17">
        <f t="shared" si="26"/>
        <v>0</v>
      </c>
      <c r="M568" t="str">
        <f>VLOOKUP(D568,'Jer-Tip-Emp'!B:E,4,0)</f>
        <v>Bebidas</v>
      </c>
      <c r="N568" t="str">
        <f>VLOOKUP(D568,'Jer-Tip-Emp'!B:F,5,0)</f>
        <v>Bebidas</v>
      </c>
      <c r="O568" t="str">
        <f>VLOOKUP(D568,'Jer-Tip-Emp'!B:G,6,0)</f>
        <v>Bebidas</v>
      </c>
    </row>
    <row r="569" spans="1:15" ht="27.5" customHeight="1" x14ac:dyDescent="0.2">
      <c r="A569">
        <v>2025</v>
      </c>
      <c r="B569" t="s">
        <v>604</v>
      </c>
      <c r="C569" t="s">
        <v>609</v>
      </c>
      <c r="D569" s="19" t="s">
        <v>298</v>
      </c>
      <c r="E569" s="18" t="s">
        <v>153</v>
      </c>
      <c r="F569" s="18">
        <v>6</v>
      </c>
      <c r="G569" s="20">
        <v>125400</v>
      </c>
      <c r="H569" s="18">
        <v>0</v>
      </c>
      <c r="I569" s="20">
        <v>51126</v>
      </c>
      <c r="J569" s="8">
        <f t="shared" si="24"/>
        <v>74274</v>
      </c>
      <c r="K569" s="10">
        <f t="shared" si="25"/>
        <v>0.59229665071770332</v>
      </c>
      <c r="L569" s="17">
        <f t="shared" si="26"/>
        <v>0</v>
      </c>
      <c r="M569" t="str">
        <f>VLOOKUP(D569,'Jer-Tip-Emp'!B:E,4,0)</f>
        <v>Platos mong</v>
      </c>
      <c r="N569" t="str">
        <f>VLOOKUP(D569,'Jer-Tip-Emp'!B:F,5,0)</f>
        <v>Personal</v>
      </c>
      <c r="O569" t="str">
        <f>VLOOKUP(D569,'Jer-Tip-Emp'!B:G,6,0)</f>
        <v>Caja</v>
      </c>
    </row>
    <row r="570" spans="1:15" ht="27.5" customHeight="1" x14ac:dyDescent="0.2">
      <c r="A570">
        <v>2025</v>
      </c>
      <c r="B570" t="s">
        <v>604</v>
      </c>
      <c r="C570" t="s">
        <v>609</v>
      </c>
      <c r="D570" s="19" t="s">
        <v>181</v>
      </c>
      <c r="E570" s="18" t="s">
        <v>121</v>
      </c>
      <c r="F570" s="18">
        <v>5</v>
      </c>
      <c r="G570" s="20">
        <v>99500</v>
      </c>
      <c r="H570" s="18">
        <v>0</v>
      </c>
      <c r="I570" s="20">
        <v>30690</v>
      </c>
      <c r="J570" s="8">
        <f t="shared" si="24"/>
        <v>68810</v>
      </c>
      <c r="K570" s="10">
        <f t="shared" si="25"/>
        <v>0.69155778894472364</v>
      </c>
      <c r="L570" s="17">
        <f t="shared" si="26"/>
        <v>0</v>
      </c>
      <c r="M570" t="str">
        <f>VLOOKUP(D570,'Jer-Tip-Emp'!B:E,4,0)</f>
        <v>Platos mong</v>
      </c>
      <c r="N570" t="str">
        <f>VLOOKUP(D570,'Jer-Tip-Emp'!B:F,5,0)</f>
        <v>Personal</v>
      </c>
      <c r="O570" t="str">
        <f>VLOOKUP(D570,'Jer-Tip-Emp'!B:G,6,0)</f>
        <v>Caja</v>
      </c>
    </row>
    <row r="571" spans="1:15" ht="27.5" hidden="1" customHeight="1" x14ac:dyDescent="0.2">
      <c r="A571">
        <v>2025</v>
      </c>
      <c r="B571" t="s">
        <v>604</v>
      </c>
      <c r="C571" t="s">
        <v>609</v>
      </c>
      <c r="D571" s="19" t="s">
        <v>183</v>
      </c>
      <c r="E571" s="18" t="s">
        <v>104</v>
      </c>
      <c r="F571" s="18">
        <v>5</v>
      </c>
      <c r="G571" s="20">
        <v>63600</v>
      </c>
      <c r="H571" s="20">
        <v>-15900</v>
      </c>
      <c r="I571" s="20">
        <v>50140</v>
      </c>
      <c r="J571" s="8">
        <f t="shared" si="24"/>
        <v>13460</v>
      </c>
      <c r="K571" s="10">
        <f t="shared" si="25"/>
        <v>0.21163522012578617</v>
      </c>
      <c r="L571" s="17">
        <f t="shared" si="26"/>
        <v>0.25</v>
      </c>
      <c r="M571" t="str">
        <f>VLOOKUP(D571,'Jer-Tip-Emp'!B:E,4,0)</f>
        <v>Entradas</v>
      </c>
      <c r="N571" t="str">
        <f>VLOOKUP(D571,'Jer-Tip-Emp'!B:F,5,0)</f>
        <v>Otro</v>
      </c>
      <c r="O571" t="str">
        <f>VLOOKUP(D571,'Jer-Tip-Emp'!B:G,6,0)</f>
        <v>Otro</v>
      </c>
    </row>
    <row r="572" spans="1:15" ht="27.5" customHeight="1" x14ac:dyDescent="0.2">
      <c r="A572">
        <v>2025</v>
      </c>
      <c r="B572" t="s">
        <v>604</v>
      </c>
      <c r="C572" t="s">
        <v>609</v>
      </c>
      <c r="D572" s="19" t="s">
        <v>179</v>
      </c>
      <c r="E572" s="18" t="s">
        <v>76</v>
      </c>
      <c r="F572" s="18">
        <v>4</v>
      </c>
      <c r="G572" s="20">
        <v>75600</v>
      </c>
      <c r="H572" s="18">
        <v>0</v>
      </c>
      <c r="I572" s="18">
        <v>0</v>
      </c>
      <c r="J572" s="8">
        <f t="shared" si="24"/>
        <v>75600</v>
      </c>
      <c r="K572" s="10">
        <f t="shared" si="25"/>
        <v>1</v>
      </c>
      <c r="L572" s="17">
        <f t="shared" si="26"/>
        <v>0</v>
      </c>
      <c r="M572" t="str">
        <f>VLOOKUP(D572,'Jer-Tip-Emp'!B:E,4,0)</f>
        <v>Bowl</v>
      </c>
      <c r="N572" t="str">
        <f>VLOOKUP(D572,'Jer-Tip-Emp'!B:F,5,0)</f>
        <v>Personal</v>
      </c>
      <c r="O572" t="str">
        <f>VLOOKUP(D572,'Jer-Tip-Emp'!B:G,6,0)</f>
        <v>Bowl</v>
      </c>
    </row>
    <row r="573" spans="1:15" ht="27.5" customHeight="1" x14ac:dyDescent="0.2">
      <c r="A573">
        <v>2025</v>
      </c>
      <c r="B573" t="s">
        <v>604</v>
      </c>
      <c r="C573" t="s">
        <v>609</v>
      </c>
      <c r="D573" s="19" t="s">
        <v>286</v>
      </c>
      <c r="E573" s="18" t="s">
        <v>144</v>
      </c>
      <c r="F573" s="18">
        <v>4</v>
      </c>
      <c r="G573" s="20">
        <v>307600</v>
      </c>
      <c r="H573" s="18">
        <v>0</v>
      </c>
      <c r="I573" s="20">
        <v>138620</v>
      </c>
      <c r="J573" s="8">
        <f t="shared" si="24"/>
        <v>168980</v>
      </c>
      <c r="K573" s="10">
        <f t="shared" si="25"/>
        <v>0.54934980494148244</v>
      </c>
      <c r="L573" s="17">
        <f t="shared" si="26"/>
        <v>0</v>
      </c>
      <c r="M573" t="str">
        <f>VLOOKUP(D573,'Jer-Tip-Emp'!B:E,4,0)</f>
        <v>Platos mong</v>
      </c>
      <c r="N573" t="str">
        <f>VLOOKUP(D573,'Jer-Tip-Emp'!B:F,5,0)</f>
        <v>No Personal</v>
      </c>
      <c r="O573" t="str">
        <f>VLOOKUP(D573,'Jer-Tip-Emp'!B:G,6,0)</f>
        <v>Caja</v>
      </c>
    </row>
    <row r="574" spans="1:15" ht="27.5" hidden="1" customHeight="1" x14ac:dyDescent="0.2">
      <c r="A574">
        <v>2025</v>
      </c>
      <c r="B574" t="s">
        <v>604</v>
      </c>
      <c r="C574" t="s">
        <v>609</v>
      </c>
      <c r="D574" s="19" t="s">
        <v>452</v>
      </c>
      <c r="E574" s="18" t="s">
        <v>573</v>
      </c>
      <c r="F574" s="18">
        <v>4</v>
      </c>
      <c r="G574" s="20">
        <v>6400</v>
      </c>
      <c r="H574" s="18">
        <v>0</v>
      </c>
      <c r="I574" s="20">
        <v>7496</v>
      </c>
      <c r="J574" s="8">
        <f t="shared" si="24"/>
        <v>-1096</v>
      </c>
      <c r="K574" s="10">
        <f t="shared" si="25"/>
        <v>-0.17125000000000001</v>
      </c>
      <c r="L574" s="17">
        <f t="shared" si="26"/>
        <v>0</v>
      </c>
      <c r="M574" t="str">
        <f>VLOOKUP(D574,'Jer-Tip-Emp'!B:E,4,0)</f>
        <v>Bebidas</v>
      </c>
      <c r="N574" t="str">
        <f>VLOOKUP(D574,'Jer-Tip-Emp'!B:F,5,0)</f>
        <v>Bebidas Cambio de bebida</v>
      </c>
      <c r="O574" t="str">
        <f>VLOOKUP(D574,'Jer-Tip-Emp'!B:G,6,0)</f>
        <v>Bebidas</v>
      </c>
    </row>
    <row r="575" spans="1:15" ht="27.5" hidden="1" customHeight="1" x14ac:dyDescent="0.2">
      <c r="A575">
        <v>2025</v>
      </c>
      <c r="B575" t="s">
        <v>604</v>
      </c>
      <c r="C575" t="s">
        <v>609</v>
      </c>
      <c r="D575" s="19" t="s">
        <v>445</v>
      </c>
      <c r="E575" s="18" t="s">
        <v>570</v>
      </c>
      <c r="F575" s="18">
        <v>4</v>
      </c>
      <c r="G575" s="20">
        <v>6400</v>
      </c>
      <c r="H575" s="18">
        <v>0</v>
      </c>
      <c r="I575" s="20">
        <v>6844</v>
      </c>
      <c r="J575" s="8">
        <f t="shared" si="24"/>
        <v>-444</v>
      </c>
      <c r="K575" s="10">
        <f t="shared" si="25"/>
        <v>-6.9375000000000006E-2</v>
      </c>
      <c r="L575" s="17">
        <f t="shared" si="26"/>
        <v>0</v>
      </c>
      <c r="M575" t="str">
        <f>VLOOKUP(D575,'Jer-Tip-Emp'!B:E,4,0)</f>
        <v>Bebidas</v>
      </c>
      <c r="N575" t="str">
        <f>VLOOKUP(D575,'Jer-Tip-Emp'!B:F,5,0)</f>
        <v>Bebidas Cambio de bebida</v>
      </c>
      <c r="O575" t="str">
        <f>VLOOKUP(D575,'Jer-Tip-Emp'!B:G,6,0)</f>
        <v>Bebidas</v>
      </c>
    </row>
    <row r="576" spans="1:15" ht="27.5" hidden="1" customHeight="1" x14ac:dyDescent="0.2">
      <c r="A576">
        <v>2025</v>
      </c>
      <c r="B576" t="s">
        <v>604</v>
      </c>
      <c r="C576" t="s">
        <v>609</v>
      </c>
      <c r="D576" s="19" t="s">
        <v>339</v>
      </c>
      <c r="E576" s="18" t="s">
        <v>65</v>
      </c>
      <c r="F576" s="18">
        <v>4</v>
      </c>
      <c r="G576" s="20">
        <v>19600</v>
      </c>
      <c r="H576" s="18">
        <v>0</v>
      </c>
      <c r="I576" s="20">
        <v>6240</v>
      </c>
      <c r="J576" s="8">
        <f t="shared" si="24"/>
        <v>13360</v>
      </c>
      <c r="K576" s="10">
        <f t="shared" si="25"/>
        <v>0.68163265306122445</v>
      </c>
      <c r="L576" s="17">
        <f t="shared" si="26"/>
        <v>0</v>
      </c>
      <c r="M576" t="str">
        <f>VLOOKUP(D576,'Jer-Tip-Emp'!B:E,4,0)</f>
        <v>Bebidas</v>
      </c>
      <c r="N576" t="str">
        <f>VLOOKUP(D576,'Jer-Tip-Emp'!B:F,5,0)</f>
        <v>Bebidas</v>
      </c>
      <c r="O576" t="str">
        <f>VLOOKUP(D576,'Jer-Tip-Emp'!B:G,6,0)</f>
        <v>Bebidas</v>
      </c>
    </row>
    <row r="577" spans="1:15" ht="27.5" customHeight="1" x14ac:dyDescent="0.2">
      <c r="A577">
        <v>2025</v>
      </c>
      <c r="B577" t="s">
        <v>604</v>
      </c>
      <c r="C577" t="s">
        <v>609</v>
      </c>
      <c r="D577" s="19" t="s">
        <v>290</v>
      </c>
      <c r="E577" s="18" t="s">
        <v>86</v>
      </c>
      <c r="F577" s="18">
        <v>4</v>
      </c>
      <c r="G577" s="20">
        <v>387600</v>
      </c>
      <c r="H577" s="18">
        <v>0</v>
      </c>
      <c r="I577" s="20">
        <v>187120</v>
      </c>
      <c r="J577" s="8">
        <f t="shared" si="24"/>
        <v>200480</v>
      </c>
      <c r="K577" s="10">
        <f t="shared" si="25"/>
        <v>0.51723426212590295</v>
      </c>
      <c r="L577" s="17">
        <f t="shared" si="26"/>
        <v>0</v>
      </c>
      <c r="M577" t="str">
        <f>VLOOKUP(D577,'Jer-Tip-Emp'!B:E,4,0)</f>
        <v>Combos para compartir</v>
      </c>
      <c r="N577" t="str">
        <f>VLOOKUP(D577,'Jer-Tip-Emp'!B:F,5,0)</f>
        <v>No Personal</v>
      </c>
      <c r="O577" t="str">
        <f>VLOOKUP(D577,'Jer-Tip-Emp'!B:G,6,0)</f>
        <v>Combo</v>
      </c>
    </row>
    <row r="578" spans="1:15" ht="27.5" hidden="1" customHeight="1" x14ac:dyDescent="0.2">
      <c r="A578">
        <v>2025</v>
      </c>
      <c r="B578" t="s">
        <v>604</v>
      </c>
      <c r="C578" t="s">
        <v>609</v>
      </c>
      <c r="D578" s="19" t="s">
        <v>410</v>
      </c>
      <c r="E578" s="18" t="s">
        <v>559</v>
      </c>
      <c r="F578" s="18">
        <v>3</v>
      </c>
      <c r="G578" s="20">
        <v>6900</v>
      </c>
      <c r="H578" s="18">
        <v>0</v>
      </c>
      <c r="I578" s="20">
        <v>6705</v>
      </c>
      <c r="J578" s="8">
        <f t="shared" ref="J578:J641" si="27">G578-I578</f>
        <v>195</v>
      </c>
      <c r="K578" s="10">
        <f t="shared" ref="K578:K641" si="28">IFERROR(J578/G578,0)</f>
        <v>2.8260869565217391E-2</v>
      </c>
      <c r="L578" s="17">
        <f t="shared" ref="L578:L641" si="29">IFERROR((H578/G578)*-1,0)</f>
        <v>0</v>
      </c>
      <c r="M578" t="str">
        <f>VLOOKUP(D578,'Jer-Tip-Emp'!B:E,4,0)</f>
        <v>Bebidas</v>
      </c>
      <c r="N578" t="str">
        <f>VLOOKUP(D578,'Jer-Tip-Emp'!B:F,5,0)</f>
        <v>Bebidas Cambio de bebida</v>
      </c>
      <c r="O578" t="str">
        <f>VLOOKUP(D578,'Jer-Tip-Emp'!B:G,6,0)</f>
        <v>Bebidas</v>
      </c>
    </row>
    <row r="579" spans="1:15" ht="27.5" hidden="1" customHeight="1" x14ac:dyDescent="0.2">
      <c r="A579">
        <v>2025</v>
      </c>
      <c r="B579" t="s">
        <v>604</v>
      </c>
      <c r="C579" t="s">
        <v>609</v>
      </c>
      <c r="D579" s="19" t="s">
        <v>465</v>
      </c>
      <c r="E579" s="18" t="s">
        <v>578</v>
      </c>
      <c r="F579" s="18">
        <v>3</v>
      </c>
      <c r="G579" s="20">
        <v>6900</v>
      </c>
      <c r="H579" s="18">
        <v>0</v>
      </c>
      <c r="I579" s="20">
        <v>6717</v>
      </c>
      <c r="J579" s="8">
        <f t="shared" si="27"/>
        <v>183</v>
      </c>
      <c r="K579" s="10">
        <f t="shared" si="28"/>
        <v>2.6521739130434784E-2</v>
      </c>
      <c r="L579" s="17">
        <f t="shared" si="29"/>
        <v>0</v>
      </c>
      <c r="M579" t="str">
        <f>VLOOKUP(D579,'Jer-Tip-Emp'!B:E,4,0)</f>
        <v>Bebidas</v>
      </c>
      <c r="N579" t="str">
        <f>VLOOKUP(D579,'Jer-Tip-Emp'!B:F,5,0)</f>
        <v>Bebidas Cambio de bebida</v>
      </c>
      <c r="O579" t="str">
        <f>VLOOKUP(D579,'Jer-Tip-Emp'!B:G,6,0)</f>
        <v>Bebidas</v>
      </c>
    </row>
    <row r="580" spans="1:15" ht="27.5" hidden="1" customHeight="1" x14ac:dyDescent="0.2">
      <c r="A580">
        <v>2025</v>
      </c>
      <c r="B580" t="s">
        <v>604</v>
      </c>
      <c r="C580" t="s">
        <v>609</v>
      </c>
      <c r="D580" s="19" t="s">
        <v>431</v>
      </c>
      <c r="E580" s="18" t="s">
        <v>560</v>
      </c>
      <c r="F580" s="18">
        <v>3</v>
      </c>
      <c r="G580" s="20">
        <v>4800</v>
      </c>
      <c r="H580" s="18">
        <v>0</v>
      </c>
      <c r="I580" s="20">
        <v>3990</v>
      </c>
      <c r="J580" s="8">
        <f t="shared" si="27"/>
        <v>810</v>
      </c>
      <c r="K580" s="10">
        <f t="shared" si="28"/>
        <v>0.16875000000000001</v>
      </c>
      <c r="L580" s="17">
        <f t="shared" si="29"/>
        <v>0</v>
      </c>
      <c r="M580" t="str">
        <f>VLOOKUP(D580,'Jer-Tip-Emp'!B:E,4,0)</f>
        <v>Bebidas</v>
      </c>
      <c r="N580" t="str">
        <f>VLOOKUP(D580,'Jer-Tip-Emp'!B:F,5,0)</f>
        <v>Bebidas Cambio de bebida</v>
      </c>
      <c r="O580" t="str">
        <f>VLOOKUP(D580,'Jer-Tip-Emp'!B:G,6,0)</f>
        <v>Bebidas</v>
      </c>
    </row>
    <row r="581" spans="1:15" ht="27.5" hidden="1" customHeight="1" x14ac:dyDescent="0.2">
      <c r="A581">
        <v>2025</v>
      </c>
      <c r="B581" t="s">
        <v>604</v>
      </c>
      <c r="C581" t="s">
        <v>609</v>
      </c>
      <c r="D581" s="19" t="s">
        <v>296</v>
      </c>
      <c r="E581" s="18" t="s">
        <v>22</v>
      </c>
      <c r="F581" s="18">
        <v>3</v>
      </c>
      <c r="G581" s="20">
        <v>20700</v>
      </c>
      <c r="H581" s="18">
        <v>0</v>
      </c>
      <c r="I581" s="20">
        <v>2067</v>
      </c>
      <c r="J581" s="8">
        <f t="shared" si="27"/>
        <v>18633</v>
      </c>
      <c r="K581" s="10">
        <f t="shared" si="28"/>
        <v>0.90014492753623188</v>
      </c>
      <c r="L581" s="17">
        <f t="shared" si="29"/>
        <v>0</v>
      </c>
      <c r="M581" t="str">
        <f>VLOOKUP(D581,'Jer-Tip-Emp'!B:E,4,0)</f>
        <v>Adición</v>
      </c>
      <c r="N581" t="str">
        <f>VLOOKUP(D581,'Jer-Tip-Emp'!B:F,5,0)</f>
        <v>Adición</v>
      </c>
      <c r="O581" t="str">
        <f>VLOOKUP(D581,'Jer-Tip-Emp'!B:G,6,0)</f>
        <v>Adición</v>
      </c>
    </row>
    <row r="582" spans="1:15" ht="27.5" customHeight="1" x14ac:dyDescent="0.2">
      <c r="A582">
        <v>2025</v>
      </c>
      <c r="B582" t="s">
        <v>604</v>
      </c>
      <c r="C582" t="s">
        <v>609</v>
      </c>
      <c r="D582" s="19" t="s">
        <v>279</v>
      </c>
      <c r="E582" s="18" t="s">
        <v>132</v>
      </c>
      <c r="F582" s="18">
        <v>3</v>
      </c>
      <c r="G582" s="20">
        <v>125700</v>
      </c>
      <c r="H582" s="18">
        <v>0</v>
      </c>
      <c r="I582" s="20">
        <v>33651</v>
      </c>
      <c r="J582" s="8">
        <f t="shared" si="27"/>
        <v>92049</v>
      </c>
      <c r="K582" s="10">
        <f t="shared" si="28"/>
        <v>0.73229116945107398</v>
      </c>
      <c r="L582" s="17">
        <f t="shared" si="29"/>
        <v>0</v>
      </c>
      <c r="M582" t="str">
        <f>VLOOKUP(D582,'Jer-Tip-Emp'!B:E,4,0)</f>
        <v>Platos mong</v>
      </c>
      <c r="N582" t="str">
        <f>VLOOKUP(D582,'Jer-Tip-Emp'!B:F,5,0)</f>
        <v>No Personal</v>
      </c>
      <c r="O582" t="str">
        <f>VLOOKUP(D582,'Jer-Tip-Emp'!B:G,6,0)</f>
        <v>Caja</v>
      </c>
    </row>
    <row r="583" spans="1:15" ht="27.5" hidden="1" customHeight="1" x14ac:dyDescent="0.2">
      <c r="A583">
        <v>2025</v>
      </c>
      <c r="B583" t="s">
        <v>604</v>
      </c>
      <c r="C583" t="s">
        <v>609</v>
      </c>
      <c r="D583" s="19" t="s">
        <v>350</v>
      </c>
      <c r="E583" s="18" t="s">
        <v>66</v>
      </c>
      <c r="F583" s="18">
        <v>3</v>
      </c>
      <c r="G583" s="20">
        <v>14700</v>
      </c>
      <c r="H583" s="18">
        <v>0</v>
      </c>
      <c r="I583" s="20">
        <v>4680</v>
      </c>
      <c r="J583" s="8">
        <f t="shared" si="27"/>
        <v>10020</v>
      </c>
      <c r="K583" s="10">
        <f t="shared" si="28"/>
        <v>0.68163265306122445</v>
      </c>
      <c r="L583" s="17">
        <f t="shared" si="29"/>
        <v>0</v>
      </c>
      <c r="M583" t="str">
        <f>VLOOKUP(D583,'Jer-Tip-Emp'!B:E,4,0)</f>
        <v>Bebidas</v>
      </c>
      <c r="N583" t="str">
        <f>VLOOKUP(D583,'Jer-Tip-Emp'!B:F,5,0)</f>
        <v>Bebidas</v>
      </c>
      <c r="O583" t="str">
        <f>VLOOKUP(D583,'Jer-Tip-Emp'!B:G,6,0)</f>
        <v>Bebidas</v>
      </c>
    </row>
    <row r="584" spans="1:15" ht="27.5" customHeight="1" x14ac:dyDescent="0.2">
      <c r="A584">
        <v>2025</v>
      </c>
      <c r="B584" t="s">
        <v>604</v>
      </c>
      <c r="C584" t="s">
        <v>609</v>
      </c>
      <c r="D584" s="19" t="s">
        <v>221</v>
      </c>
      <c r="E584" s="18" t="s">
        <v>27</v>
      </c>
      <c r="F584" s="18">
        <v>3</v>
      </c>
      <c r="G584" s="20">
        <v>23700</v>
      </c>
      <c r="H584" s="18">
        <v>0</v>
      </c>
      <c r="I584" s="18">
        <v>0</v>
      </c>
      <c r="J584" s="8">
        <f t="shared" si="27"/>
        <v>23700</v>
      </c>
      <c r="K584" s="10">
        <f t="shared" si="28"/>
        <v>1</v>
      </c>
      <c r="L584" s="17">
        <f t="shared" si="29"/>
        <v>0</v>
      </c>
      <c r="M584" t="str">
        <f>VLOOKUP(D584,'Jer-Tip-Emp'!B:E,4,0)</f>
        <v>Armalo en combo</v>
      </c>
      <c r="N584" t="str">
        <f>VLOOKUP(D584,'Jer-Tip-Emp'!B:F,5,0)</f>
        <v>Personal</v>
      </c>
      <c r="O584" t="str">
        <f>VLOOKUP(D584,'Jer-Tip-Emp'!B:G,6,0)</f>
        <v>Combo</v>
      </c>
    </row>
    <row r="585" spans="1:15" ht="27.5" customHeight="1" x14ac:dyDescent="0.2">
      <c r="A585">
        <v>2025</v>
      </c>
      <c r="B585" t="s">
        <v>604</v>
      </c>
      <c r="C585" t="s">
        <v>609</v>
      </c>
      <c r="D585" s="19" t="s">
        <v>267</v>
      </c>
      <c r="E585" s="18" t="s">
        <v>77</v>
      </c>
      <c r="F585" s="18">
        <v>2</v>
      </c>
      <c r="G585" s="20">
        <v>35800</v>
      </c>
      <c r="H585" s="18">
        <v>0</v>
      </c>
      <c r="I585" s="18">
        <v>0</v>
      </c>
      <c r="J585" s="8">
        <f t="shared" si="27"/>
        <v>35800</v>
      </c>
      <c r="K585" s="10">
        <f t="shared" si="28"/>
        <v>1</v>
      </c>
      <c r="L585" s="17">
        <f t="shared" si="29"/>
        <v>0</v>
      </c>
      <c r="M585" t="str">
        <f>VLOOKUP(D585,'Jer-Tip-Emp'!B:E,4,0)</f>
        <v>Bowl</v>
      </c>
      <c r="N585" t="str">
        <f>VLOOKUP(D585,'Jer-Tip-Emp'!B:F,5,0)</f>
        <v>Personal</v>
      </c>
      <c r="O585" t="str">
        <f>VLOOKUP(D585,'Jer-Tip-Emp'!B:G,6,0)</f>
        <v>Bowl</v>
      </c>
    </row>
    <row r="586" spans="1:15" ht="27.5" customHeight="1" x14ac:dyDescent="0.2">
      <c r="A586">
        <v>2025</v>
      </c>
      <c r="B586" t="s">
        <v>604</v>
      </c>
      <c r="C586" t="s">
        <v>609</v>
      </c>
      <c r="D586" s="19" t="s">
        <v>297</v>
      </c>
      <c r="E586" s="18" t="s">
        <v>131</v>
      </c>
      <c r="F586" s="18">
        <v>2</v>
      </c>
      <c r="G586" s="20">
        <v>37800</v>
      </c>
      <c r="H586" s="18">
        <v>0</v>
      </c>
      <c r="I586" s="20">
        <v>10922</v>
      </c>
      <c r="J586" s="8">
        <f t="shared" si="27"/>
        <v>26878</v>
      </c>
      <c r="K586" s="10">
        <f t="shared" si="28"/>
        <v>0.71105820105820106</v>
      </c>
      <c r="L586" s="17">
        <f t="shared" si="29"/>
        <v>0</v>
      </c>
      <c r="M586" t="str">
        <f>VLOOKUP(D586,'Jer-Tip-Emp'!B:E,4,0)</f>
        <v>Platos mong</v>
      </c>
      <c r="N586" t="str">
        <f>VLOOKUP(D586,'Jer-Tip-Emp'!B:F,5,0)</f>
        <v>Personal</v>
      </c>
      <c r="O586" t="str">
        <f>VLOOKUP(D586,'Jer-Tip-Emp'!B:G,6,0)</f>
        <v>Caja</v>
      </c>
    </row>
    <row r="587" spans="1:15" ht="27.5" hidden="1" customHeight="1" x14ac:dyDescent="0.2">
      <c r="A587">
        <v>2025</v>
      </c>
      <c r="B587" t="s">
        <v>604</v>
      </c>
      <c r="C587" t="s">
        <v>609</v>
      </c>
      <c r="D587" s="19" t="s">
        <v>450</v>
      </c>
      <c r="E587" s="18" t="s">
        <v>565</v>
      </c>
      <c r="F587" s="18">
        <v>2</v>
      </c>
      <c r="G587" s="20">
        <v>3200</v>
      </c>
      <c r="H587" s="18">
        <v>0</v>
      </c>
      <c r="I587" s="20">
        <v>3748</v>
      </c>
      <c r="J587" s="8">
        <f t="shared" si="27"/>
        <v>-548</v>
      </c>
      <c r="K587" s="10">
        <f t="shared" si="28"/>
        <v>-0.17125000000000001</v>
      </c>
      <c r="L587" s="17">
        <f t="shared" si="29"/>
        <v>0</v>
      </c>
      <c r="M587" t="str">
        <f>VLOOKUP(D587,'Jer-Tip-Emp'!B:E,4,0)</f>
        <v>Bebidas</v>
      </c>
      <c r="N587" t="str">
        <f>VLOOKUP(D587,'Jer-Tip-Emp'!B:F,5,0)</f>
        <v>Bebidas Cambio de bebida</v>
      </c>
      <c r="O587" t="str">
        <f>VLOOKUP(D587,'Jer-Tip-Emp'!B:G,6,0)</f>
        <v>Bebidas</v>
      </c>
    </row>
    <row r="588" spans="1:15" ht="27.5" hidden="1" customHeight="1" x14ac:dyDescent="0.2">
      <c r="A588">
        <v>2025</v>
      </c>
      <c r="B588" t="s">
        <v>604</v>
      </c>
      <c r="C588" t="s">
        <v>609</v>
      </c>
      <c r="D588" s="19" t="s">
        <v>444</v>
      </c>
      <c r="E588" s="18" t="s">
        <v>562</v>
      </c>
      <c r="F588" s="18">
        <v>2</v>
      </c>
      <c r="G588" s="20">
        <v>3200</v>
      </c>
      <c r="H588" s="18">
        <v>0</v>
      </c>
      <c r="I588" s="20">
        <v>3220</v>
      </c>
      <c r="J588" s="8">
        <f t="shared" si="27"/>
        <v>-20</v>
      </c>
      <c r="K588" s="10">
        <f t="shared" si="28"/>
        <v>-6.2500000000000003E-3</v>
      </c>
      <c r="L588" s="17">
        <f t="shared" si="29"/>
        <v>0</v>
      </c>
      <c r="M588" t="str">
        <f>VLOOKUP(D588,'Jer-Tip-Emp'!B:E,4,0)</f>
        <v>Bebidas</v>
      </c>
      <c r="N588" t="str">
        <f>VLOOKUP(D588,'Jer-Tip-Emp'!B:F,5,0)</f>
        <v>Bebidas Cambio de bebida</v>
      </c>
      <c r="O588" t="str">
        <f>VLOOKUP(D588,'Jer-Tip-Emp'!B:G,6,0)</f>
        <v>Bebidas</v>
      </c>
    </row>
    <row r="589" spans="1:15" ht="27.5" hidden="1" customHeight="1" x14ac:dyDescent="0.2">
      <c r="A589">
        <v>2025</v>
      </c>
      <c r="B589" t="s">
        <v>604</v>
      </c>
      <c r="C589" t="s">
        <v>609</v>
      </c>
      <c r="D589" s="19" t="s">
        <v>492</v>
      </c>
      <c r="E589" s="18" t="s">
        <v>577</v>
      </c>
      <c r="F589" s="18">
        <v>2</v>
      </c>
      <c r="G589" s="20">
        <v>3200</v>
      </c>
      <c r="H589" s="18">
        <v>0</v>
      </c>
      <c r="I589" s="20">
        <v>3790</v>
      </c>
      <c r="J589" s="8">
        <f t="shared" si="27"/>
        <v>-590</v>
      </c>
      <c r="K589" s="10">
        <f t="shared" si="28"/>
        <v>-0.18437500000000001</v>
      </c>
      <c r="L589" s="17">
        <f t="shared" si="29"/>
        <v>0</v>
      </c>
      <c r="M589" t="str">
        <f>VLOOKUP(D589,'Jer-Tip-Emp'!B:E,4,0)</f>
        <v>Bebidas</v>
      </c>
      <c r="N589" t="str">
        <f>VLOOKUP(D589,'Jer-Tip-Emp'!B:F,5,0)</f>
        <v>Bebidas Cambio de bebida</v>
      </c>
      <c r="O589" t="str">
        <f>VLOOKUP(D589,'Jer-Tip-Emp'!B:G,6,0)</f>
        <v>Bebidas</v>
      </c>
    </row>
    <row r="590" spans="1:15" ht="27.5" hidden="1" customHeight="1" x14ac:dyDescent="0.2">
      <c r="A590">
        <v>2025</v>
      </c>
      <c r="B590" t="s">
        <v>604</v>
      </c>
      <c r="C590" t="s">
        <v>609</v>
      </c>
      <c r="D590" s="19" t="s">
        <v>494</v>
      </c>
      <c r="E590" s="18" t="s">
        <v>568</v>
      </c>
      <c r="F590" s="18">
        <v>2</v>
      </c>
      <c r="G590" s="20">
        <v>3200</v>
      </c>
      <c r="H590" s="18">
        <v>0</v>
      </c>
      <c r="I590" s="20">
        <v>4278</v>
      </c>
      <c r="J590" s="8">
        <f t="shared" si="27"/>
        <v>-1078</v>
      </c>
      <c r="K590" s="10">
        <f t="shared" si="28"/>
        <v>-0.33687499999999998</v>
      </c>
      <c r="L590" s="17">
        <f t="shared" si="29"/>
        <v>0</v>
      </c>
      <c r="M590" t="str">
        <f>VLOOKUP(D590,'Jer-Tip-Emp'!B:E,4,0)</f>
        <v>Bebidas</v>
      </c>
      <c r="N590" t="str">
        <f>VLOOKUP(D590,'Jer-Tip-Emp'!B:F,5,0)</f>
        <v>Bebidas Cambio de bebida</v>
      </c>
      <c r="O590" t="str">
        <f>VLOOKUP(D590,'Jer-Tip-Emp'!B:G,6,0)</f>
        <v>Bebidas</v>
      </c>
    </row>
    <row r="591" spans="1:15" ht="27.5" customHeight="1" x14ac:dyDescent="0.2">
      <c r="A591">
        <v>2025</v>
      </c>
      <c r="B591" t="s">
        <v>604</v>
      </c>
      <c r="C591" t="s">
        <v>609</v>
      </c>
      <c r="D591" s="19" t="s">
        <v>260</v>
      </c>
      <c r="E591" s="18" t="s">
        <v>97</v>
      </c>
      <c r="F591" s="18">
        <v>2</v>
      </c>
      <c r="G591" s="20">
        <v>113800</v>
      </c>
      <c r="H591" s="18">
        <v>0</v>
      </c>
      <c r="I591" s="20">
        <v>41822</v>
      </c>
      <c r="J591" s="8">
        <f t="shared" si="27"/>
        <v>71978</v>
      </c>
      <c r="K591" s="10">
        <f t="shared" si="28"/>
        <v>0.63249560632688928</v>
      </c>
      <c r="L591" s="17">
        <f t="shared" si="29"/>
        <v>0</v>
      </c>
      <c r="M591" t="str">
        <f>VLOOKUP(D591,'Jer-Tip-Emp'!B:E,4,0)</f>
        <v>Platos mong</v>
      </c>
      <c r="N591" t="str">
        <f>VLOOKUP(D591,'Jer-Tip-Emp'!B:F,5,0)</f>
        <v>No Personal</v>
      </c>
      <c r="O591" t="str">
        <f>VLOOKUP(D591,'Jer-Tip-Emp'!B:G,6,0)</f>
        <v>Caja</v>
      </c>
    </row>
    <row r="592" spans="1:15" ht="27.5" customHeight="1" x14ac:dyDescent="0.2">
      <c r="A592">
        <v>2025</v>
      </c>
      <c r="B592" t="s">
        <v>604</v>
      </c>
      <c r="C592" t="s">
        <v>609</v>
      </c>
      <c r="D592" s="19" t="s">
        <v>241</v>
      </c>
      <c r="E592" s="18" t="s">
        <v>107</v>
      </c>
      <c r="F592" s="18">
        <v>2</v>
      </c>
      <c r="G592" s="20">
        <v>189800</v>
      </c>
      <c r="H592" s="18">
        <v>0</v>
      </c>
      <c r="I592" s="20">
        <v>85408</v>
      </c>
      <c r="J592" s="8">
        <f t="shared" si="27"/>
        <v>104392</v>
      </c>
      <c r="K592" s="10">
        <f t="shared" si="28"/>
        <v>0.55001053740779771</v>
      </c>
      <c r="L592" s="17">
        <f t="shared" si="29"/>
        <v>0</v>
      </c>
      <c r="M592" t="str">
        <f>VLOOKUP(D592,'Jer-Tip-Emp'!B:E,4,0)</f>
        <v>Platos mong</v>
      </c>
      <c r="N592" t="str">
        <f>VLOOKUP(D592,'Jer-Tip-Emp'!B:F,5,0)</f>
        <v>No Personal</v>
      </c>
      <c r="O592" t="str">
        <f>VLOOKUP(D592,'Jer-Tip-Emp'!B:G,6,0)</f>
        <v>Caja</v>
      </c>
    </row>
    <row r="593" spans="1:15" ht="27.5" customHeight="1" x14ac:dyDescent="0.2">
      <c r="A593">
        <v>2025</v>
      </c>
      <c r="B593" t="s">
        <v>604</v>
      </c>
      <c r="C593" t="s">
        <v>609</v>
      </c>
      <c r="D593" s="19" t="s">
        <v>199</v>
      </c>
      <c r="E593" s="18" t="s">
        <v>115</v>
      </c>
      <c r="F593" s="18">
        <v>2</v>
      </c>
      <c r="G593" s="18">
        <v>0</v>
      </c>
      <c r="H593" s="20">
        <v>-23800</v>
      </c>
      <c r="I593" s="18">
        <v>0</v>
      </c>
      <c r="J593" s="8">
        <f t="shared" si="27"/>
        <v>0</v>
      </c>
      <c r="K593" s="10">
        <f t="shared" si="28"/>
        <v>0</v>
      </c>
      <c r="L593" s="17">
        <f t="shared" si="29"/>
        <v>0</v>
      </c>
      <c r="M593" t="str">
        <f>VLOOKUP(D593,'Jer-Tip-Emp'!B:E,4,0)</f>
        <v>Platos especiales</v>
      </c>
      <c r="N593" t="str">
        <f>VLOOKUP(D593,'Jer-Tip-Emp'!B:F,5,0)</f>
        <v>Personal</v>
      </c>
      <c r="O593" t="str">
        <f>VLOOKUP(D593,'Jer-Tip-Emp'!B:G,6,0)</f>
        <v>Platos especiales</v>
      </c>
    </row>
    <row r="594" spans="1:15" ht="27.5" hidden="1" customHeight="1" x14ac:dyDescent="0.2">
      <c r="A594">
        <v>2025</v>
      </c>
      <c r="B594" t="s">
        <v>604</v>
      </c>
      <c r="C594" t="s">
        <v>609</v>
      </c>
      <c r="D594" s="19" t="s">
        <v>365</v>
      </c>
      <c r="E594" s="18" t="s">
        <v>558</v>
      </c>
      <c r="F594" s="18">
        <v>2</v>
      </c>
      <c r="G594" s="18">
        <v>982</v>
      </c>
      <c r="H594" s="18">
        <v>-18</v>
      </c>
      <c r="I594" s="20">
        <v>3138</v>
      </c>
      <c r="J594" s="8">
        <f t="shared" si="27"/>
        <v>-2156</v>
      </c>
      <c r="K594" s="10">
        <f t="shared" si="28"/>
        <v>-2.1955193482688391</v>
      </c>
      <c r="L594" s="17">
        <f t="shared" si="29"/>
        <v>1.8329938900203666E-2</v>
      </c>
      <c r="M594" t="str">
        <f>VLOOKUP(D594,'Jer-Tip-Emp'!B:E,4,0)</f>
        <v>Adición</v>
      </c>
      <c r="N594" t="str">
        <f>VLOOKUP(D594,'Jer-Tip-Emp'!B:F,5,0)</f>
        <v>Otro</v>
      </c>
      <c r="O594" t="str">
        <f>VLOOKUP(D594,'Jer-Tip-Emp'!B:G,6,0)</f>
        <v>Otro</v>
      </c>
    </row>
    <row r="595" spans="1:15" ht="27.5" hidden="1" customHeight="1" x14ac:dyDescent="0.2">
      <c r="A595">
        <v>2025</v>
      </c>
      <c r="B595" t="s">
        <v>604</v>
      </c>
      <c r="C595" t="s">
        <v>609</v>
      </c>
      <c r="D595" s="19" t="s">
        <v>463</v>
      </c>
      <c r="E595" s="18" t="s">
        <v>575</v>
      </c>
      <c r="F595" s="18">
        <v>2</v>
      </c>
      <c r="G595" s="20">
        <v>3200</v>
      </c>
      <c r="H595" s="18">
        <v>0</v>
      </c>
      <c r="I595" s="20">
        <v>1900</v>
      </c>
      <c r="J595" s="8">
        <f t="shared" si="27"/>
        <v>1300</v>
      </c>
      <c r="K595" s="10">
        <f t="shared" si="28"/>
        <v>0.40625</v>
      </c>
      <c r="L595" s="17">
        <f t="shared" si="29"/>
        <v>0</v>
      </c>
      <c r="M595" t="str">
        <f>VLOOKUP(D595,'Jer-Tip-Emp'!B:E,4,0)</f>
        <v>Bebidas</v>
      </c>
      <c r="N595" t="str">
        <f>VLOOKUP(D595,'Jer-Tip-Emp'!B:F,5,0)</f>
        <v>Bebidas Cambio de bebida</v>
      </c>
      <c r="O595" t="str">
        <f>VLOOKUP(D595,'Jer-Tip-Emp'!B:G,6,0)</f>
        <v>Bebidas</v>
      </c>
    </row>
    <row r="596" spans="1:15" ht="27.5" customHeight="1" x14ac:dyDescent="0.2">
      <c r="A596">
        <v>2025</v>
      </c>
      <c r="B596" t="s">
        <v>604</v>
      </c>
      <c r="C596" t="s">
        <v>609</v>
      </c>
      <c r="D596" s="19" t="s">
        <v>208</v>
      </c>
      <c r="E596" s="18" t="s">
        <v>30</v>
      </c>
      <c r="F596" s="18">
        <v>2</v>
      </c>
      <c r="G596" s="20">
        <v>15800</v>
      </c>
      <c r="H596" s="18">
        <v>0</v>
      </c>
      <c r="I596" s="20">
        <v>5834</v>
      </c>
      <c r="J596" s="8">
        <f t="shared" si="27"/>
        <v>9966</v>
      </c>
      <c r="K596" s="10">
        <f t="shared" si="28"/>
        <v>0.63075949367088613</v>
      </c>
      <c r="L596" s="17">
        <f t="shared" si="29"/>
        <v>0</v>
      </c>
      <c r="M596" t="str">
        <f>VLOOKUP(D596,'Jer-Tip-Emp'!B:E,4,0)</f>
        <v>Armalo en combo</v>
      </c>
      <c r="N596" t="str">
        <f>VLOOKUP(D596,'Jer-Tip-Emp'!B:F,5,0)</f>
        <v>Personal</v>
      </c>
      <c r="O596" t="str">
        <f>VLOOKUP(D596,'Jer-Tip-Emp'!B:G,6,0)</f>
        <v>Combo</v>
      </c>
    </row>
    <row r="597" spans="1:15" ht="27.5" hidden="1" customHeight="1" x14ac:dyDescent="0.2">
      <c r="A597">
        <v>2025</v>
      </c>
      <c r="B597" t="s">
        <v>604</v>
      </c>
      <c r="C597" t="s">
        <v>609</v>
      </c>
      <c r="D597" s="19" t="s">
        <v>461</v>
      </c>
      <c r="E597" s="18" t="s">
        <v>571</v>
      </c>
      <c r="F597" s="18">
        <v>2</v>
      </c>
      <c r="G597" s="20">
        <v>3183</v>
      </c>
      <c r="H597" s="18">
        <v>-17</v>
      </c>
      <c r="I597" s="20">
        <v>1900</v>
      </c>
      <c r="J597" s="8">
        <f t="shared" si="27"/>
        <v>1283</v>
      </c>
      <c r="K597" s="10">
        <f t="shared" si="28"/>
        <v>0.40307885642475649</v>
      </c>
      <c r="L597" s="17">
        <f t="shared" si="29"/>
        <v>5.3408733898837575E-3</v>
      </c>
      <c r="M597" t="str">
        <f>VLOOKUP(D597,'Jer-Tip-Emp'!B:E,4,0)</f>
        <v>Bebidas</v>
      </c>
      <c r="N597" t="str">
        <f>VLOOKUP(D597,'Jer-Tip-Emp'!B:F,5,0)</f>
        <v>Bebidas Cambio de bebida</v>
      </c>
      <c r="O597" t="str">
        <f>VLOOKUP(D597,'Jer-Tip-Emp'!B:G,6,0)</f>
        <v>Bebidas</v>
      </c>
    </row>
    <row r="598" spans="1:15" ht="27.5" customHeight="1" x14ac:dyDescent="0.2">
      <c r="A598">
        <v>2025</v>
      </c>
      <c r="B598" t="s">
        <v>604</v>
      </c>
      <c r="C598" t="s">
        <v>609</v>
      </c>
      <c r="D598" s="19" t="s">
        <v>299</v>
      </c>
      <c r="E598" s="18" t="s">
        <v>129</v>
      </c>
      <c r="F598" s="18">
        <v>2</v>
      </c>
      <c r="G598" s="20">
        <v>93800</v>
      </c>
      <c r="H598" s="18">
        <v>0</v>
      </c>
      <c r="I598" s="20">
        <v>22664</v>
      </c>
      <c r="J598" s="8">
        <f t="shared" si="27"/>
        <v>71136</v>
      </c>
      <c r="K598" s="10">
        <f t="shared" si="28"/>
        <v>0.7583795309168444</v>
      </c>
      <c r="L598" s="17">
        <f t="shared" si="29"/>
        <v>0</v>
      </c>
      <c r="M598" t="str">
        <f>VLOOKUP(D598,'Jer-Tip-Emp'!B:E,4,0)</f>
        <v>Platos mong</v>
      </c>
      <c r="N598" t="str">
        <f>VLOOKUP(D598,'Jer-Tip-Emp'!B:F,5,0)</f>
        <v>No Personal</v>
      </c>
      <c r="O598" t="str">
        <f>VLOOKUP(D598,'Jer-Tip-Emp'!B:G,6,0)</f>
        <v>Caja</v>
      </c>
    </row>
    <row r="599" spans="1:15" ht="27.5" customHeight="1" x14ac:dyDescent="0.2">
      <c r="A599">
        <v>2025</v>
      </c>
      <c r="B599" t="s">
        <v>604</v>
      </c>
      <c r="C599" t="s">
        <v>609</v>
      </c>
      <c r="D599" s="19" t="s">
        <v>217</v>
      </c>
      <c r="E599" s="18" t="s">
        <v>74</v>
      </c>
      <c r="F599" s="18">
        <v>1</v>
      </c>
      <c r="G599" s="18">
        <v>0</v>
      </c>
      <c r="H599" s="20">
        <v>-17900</v>
      </c>
      <c r="I599" s="18">
        <v>0</v>
      </c>
      <c r="J599" s="8">
        <f t="shared" si="27"/>
        <v>0</v>
      </c>
      <c r="K599" s="10">
        <f t="shared" si="28"/>
        <v>0</v>
      </c>
      <c r="L599" s="17">
        <f t="shared" si="29"/>
        <v>0</v>
      </c>
      <c r="M599" t="str">
        <f>VLOOKUP(D599,'Jer-Tip-Emp'!B:E,4,0)</f>
        <v>Bowl</v>
      </c>
      <c r="N599" t="str">
        <f>VLOOKUP(D599,'Jer-Tip-Emp'!B:F,5,0)</f>
        <v>Personal</v>
      </c>
      <c r="O599" t="str">
        <f>VLOOKUP(D599,'Jer-Tip-Emp'!B:G,6,0)</f>
        <v>Bowl</v>
      </c>
    </row>
    <row r="600" spans="1:15" ht="27.5" hidden="1" customHeight="1" x14ac:dyDescent="0.2">
      <c r="A600">
        <v>2025</v>
      </c>
      <c r="B600" t="s">
        <v>604</v>
      </c>
      <c r="C600" t="s">
        <v>609</v>
      </c>
      <c r="D600" s="19" t="s">
        <v>411</v>
      </c>
      <c r="E600" s="18" t="s">
        <v>569</v>
      </c>
      <c r="F600" s="18">
        <v>1</v>
      </c>
      <c r="G600" s="20">
        <v>1600</v>
      </c>
      <c r="H600" s="18">
        <v>0</v>
      </c>
      <c r="I600" s="20">
        <v>2235</v>
      </c>
      <c r="J600" s="8">
        <f t="shared" si="27"/>
        <v>-635</v>
      </c>
      <c r="K600" s="10">
        <f t="shared" si="28"/>
        <v>-0.39687499999999998</v>
      </c>
      <c r="L600" s="17">
        <f t="shared" si="29"/>
        <v>0</v>
      </c>
      <c r="M600" t="str">
        <f>VLOOKUP(D600,'Jer-Tip-Emp'!B:E,4,0)</f>
        <v>Bebidas</v>
      </c>
      <c r="N600" t="str">
        <f>VLOOKUP(D600,'Jer-Tip-Emp'!B:F,5,0)</f>
        <v>Bebidas Cambio de bebida</v>
      </c>
      <c r="O600" t="str">
        <f>VLOOKUP(D600,'Jer-Tip-Emp'!B:G,6,0)</f>
        <v>Bebidas</v>
      </c>
    </row>
    <row r="601" spans="1:15" ht="27.5" customHeight="1" x14ac:dyDescent="0.2">
      <c r="A601">
        <v>2025</v>
      </c>
      <c r="B601" t="s">
        <v>604</v>
      </c>
      <c r="C601" t="s">
        <v>609</v>
      </c>
      <c r="D601" s="19" t="s">
        <v>261</v>
      </c>
      <c r="E601" s="18" t="s">
        <v>135</v>
      </c>
      <c r="F601" s="18">
        <v>1</v>
      </c>
      <c r="G601" s="20">
        <v>17900</v>
      </c>
      <c r="H601" s="18">
        <v>0</v>
      </c>
      <c r="I601" s="20">
        <v>5466</v>
      </c>
      <c r="J601" s="8">
        <f t="shared" si="27"/>
        <v>12434</v>
      </c>
      <c r="K601" s="10">
        <f t="shared" si="28"/>
        <v>0.69463687150837994</v>
      </c>
      <c r="L601" s="17">
        <f t="shared" si="29"/>
        <v>0</v>
      </c>
      <c r="M601" t="str">
        <f>VLOOKUP(D601,'Jer-Tip-Emp'!B:E,4,0)</f>
        <v>Platos mong</v>
      </c>
      <c r="N601" t="str">
        <f>VLOOKUP(D601,'Jer-Tip-Emp'!B:F,5,0)</f>
        <v>Personal</v>
      </c>
      <c r="O601" t="str">
        <f>VLOOKUP(D601,'Jer-Tip-Emp'!B:G,6,0)</f>
        <v>Caja</v>
      </c>
    </row>
    <row r="602" spans="1:15" ht="27.5" hidden="1" customHeight="1" x14ac:dyDescent="0.2">
      <c r="A602">
        <v>2025</v>
      </c>
      <c r="B602" t="s">
        <v>604</v>
      </c>
      <c r="C602" t="s">
        <v>609</v>
      </c>
      <c r="D602" s="19" t="s">
        <v>209</v>
      </c>
      <c r="E602" s="18" t="s">
        <v>210</v>
      </c>
      <c r="F602" s="18">
        <v>1</v>
      </c>
      <c r="G602" s="20">
        <v>2023000</v>
      </c>
      <c r="H602" s="18">
        <v>0</v>
      </c>
      <c r="I602" s="18">
        <v>0</v>
      </c>
      <c r="J602" s="8">
        <f t="shared" si="27"/>
        <v>2023000</v>
      </c>
      <c r="K602" s="10">
        <f t="shared" si="28"/>
        <v>1</v>
      </c>
      <c r="L602" s="17">
        <f t="shared" si="29"/>
        <v>0</v>
      </c>
      <c r="M602" t="str">
        <f>VLOOKUP(D602,'Jer-Tip-Emp'!B:E,4,0)</f>
        <v>Otro</v>
      </c>
      <c r="N602" t="str">
        <f>VLOOKUP(D602,'Jer-Tip-Emp'!B:F,5,0)</f>
        <v>Otro</v>
      </c>
      <c r="O602" t="str">
        <f>VLOOKUP(D602,'Jer-Tip-Emp'!B:G,6,0)</f>
        <v>Otro</v>
      </c>
    </row>
    <row r="603" spans="1:15" ht="27.5" customHeight="1" x14ac:dyDescent="0.2">
      <c r="A603">
        <v>2025</v>
      </c>
      <c r="B603" t="s">
        <v>604</v>
      </c>
      <c r="C603" t="s">
        <v>609</v>
      </c>
      <c r="D603" s="19" t="s">
        <v>240</v>
      </c>
      <c r="E603" s="18" t="s">
        <v>139</v>
      </c>
      <c r="F603" s="18">
        <v>1</v>
      </c>
      <c r="G603" s="20">
        <v>55900</v>
      </c>
      <c r="H603" s="18">
        <v>0</v>
      </c>
      <c r="I603" s="20">
        <v>24255</v>
      </c>
      <c r="J603" s="8">
        <f t="shared" si="27"/>
        <v>31645</v>
      </c>
      <c r="K603" s="10">
        <f t="shared" si="28"/>
        <v>0.5661001788908766</v>
      </c>
      <c r="L603" s="17">
        <f t="shared" si="29"/>
        <v>0</v>
      </c>
      <c r="M603" t="str">
        <f>VLOOKUP(D603,'Jer-Tip-Emp'!B:E,4,0)</f>
        <v>Platos mong</v>
      </c>
      <c r="N603" t="str">
        <f>VLOOKUP(D603,'Jer-Tip-Emp'!B:F,5,0)</f>
        <v>No Personal</v>
      </c>
      <c r="O603" t="str">
        <f>VLOOKUP(D603,'Jer-Tip-Emp'!B:G,6,0)</f>
        <v>Caja</v>
      </c>
    </row>
    <row r="604" spans="1:15" ht="27.5" hidden="1" customHeight="1" x14ac:dyDescent="0.2">
      <c r="A604">
        <v>2025</v>
      </c>
      <c r="B604" t="s">
        <v>604</v>
      </c>
      <c r="C604" t="s">
        <v>609</v>
      </c>
      <c r="D604" s="19" t="s">
        <v>496</v>
      </c>
      <c r="E604" s="18" t="s">
        <v>581</v>
      </c>
      <c r="F604" s="18">
        <v>1</v>
      </c>
      <c r="G604" s="20">
        <v>1600</v>
      </c>
      <c r="H604" s="18">
        <v>0</v>
      </c>
      <c r="I604" s="20">
        <v>1896</v>
      </c>
      <c r="J604" s="8">
        <f t="shared" si="27"/>
        <v>-296</v>
      </c>
      <c r="K604" s="10">
        <f t="shared" si="28"/>
        <v>-0.185</v>
      </c>
      <c r="L604" s="17">
        <f t="shared" si="29"/>
        <v>0</v>
      </c>
      <c r="M604" t="str">
        <f>VLOOKUP(D604,'Jer-Tip-Emp'!B:E,4,0)</f>
        <v>Bebidas</v>
      </c>
      <c r="N604" t="str">
        <f>VLOOKUP(D604,'Jer-Tip-Emp'!B:F,5,0)</f>
        <v>Bebidas Cambio de bebida</v>
      </c>
      <c r="O604" t="str">
        <f>VLOOKUP(D604,'Jer-Tip-Emp'!B:G,6,0)</f>
        <v>Bebidas</v>
      </c>
    </row>
    <row r="605" spans="1:15" ht="27.5" customHeight="1" x14ac:dyDescent="0.2">
      <c r="A605">
        <v>2025</v>
      </c>
      <c r="B605" t="s">
        <v>604</v>
      </c>
      <c r="C605" t="s">
        <v>609</v>
      </c>
      <c r="D605" s="19" t="s">
        <v>200</v>
      </c>
      <c r="E605" s="18" t="s">
        <v>149</v>
      </c>
      <c r="F605" s="18">
        <v>1</v>
      </c>
      <c r="G605" s="20">
        <v>24900</v>
      </c>
      <c r="H605" s="18">
        <v>0</v>
      </c>
      <c r="I605" s="20">
        <v>10481</v>
      </c>
      <c r="J605" s="8">
        <f t="shared" si="27"/>
        <v>14419</v>
      </c>
      <c r="K605" s="10">
        <f t="shared" si="28"/>
        <v>0.57907630522088349</v>
      </c>
      <c r="L605" s="17">
        <f t="shared" si="29"/>
        <v>0</v>
      </c>
      <c r="M605" t="str">
        <f>VLOOKUP(D605,'Jer-Tip-Emp'!B:E,4,0)</f>
        <v>Platos mong</v>
      </c>
      <c r="N605" t="str">
        <f>VLOOKUP(D605,'Jer-Tip-Emp'!B:F,5,0)</f>
        <v>Personal</v>
      </c>
      <c r="O605" t="str">
        <f>VLOOKUP(D605,'Jer-Tip-Emp'!B:G,6,0)</f>
        <v>Caja</v>
      </c>
    </row>
    <row r="606" spans="1:15" ht="27.5" customHeight="1" x14ac:dyDescent="0.2">
      <c r="A606">
        <v>2025</v>
      </c>
      <c r="B606" t="s">
        <v>604</v>
      </c>
      <c r="C606" t="s">
        <v>609</v>
      </c>
      <c r="D606" s="19" t="s">
        <v>265</v>
      </c>
      <c r="E606" s="18" t="s">
        <v>140</v>
      </c>
      <c r="F606" s="18">
        <v>1</v>
      </c>
      <c r="G606" s="20">
        <v>85900</v>
      </c>
      <c r="H606" s="18">
        <v>0</v>
      </c>
      <c r="I606" s="20">
        <v>32179</v>
      </c>
      <c r="J606" s="8">
        <f t="shared" si="27"/>
        <v>53721</v>
      </c>
      <c r="K606" s="10">
        <f t="shared" si="28"/>
        <v>0.62538998835855641</v>
      </c>
      <c r="L606" s="17">
        <f t="shared" si="29"/>
        <v>0</v>
      </c>
      <c r="M606" t="str">
        <f>VLOOKUP(D606,'Jer-Tip-Emp'!B:E,4,0)</f>
        <v>Platos mong</v>
      </c>
      <c r="N606" t="str">
        <f>VLOOKUP(D606,'Jer-Tip-Emp'!B:F,5,0)</f>
        <v>No Personal</v>
      </c>
      <c r="O606" t="str">
        <f>VLOOKUP(D606,'Jer-Tip-Emp'!B:G,6,0)</f>
        <v>Caja</v>
      </c>
    </row>
    <row r="607" spans="1:15" ht="27.5" hidden="1" customHeight="1" x14ac:dyDescent="0.2">
      <c r="A607">
        <v>2025</v>
      </c>
      <c r="B607" t="s">
        <v>604</v>
      </c>
      <c r="C607" t="s">
        <v>609</v>
      </c>
      <c r="D607" s="19" t="s">
        <v>495</v>
      </c>
      <c r="E607" s="18" t="s">
        <v>572</v>
      </c>
      <c r="F607" s="18">
        <v>1</v>
      </c>
      <c r="G607" s="20">
        <v>1600</v>
      </c>
      <c r="H607" s="18">
        <v>0</v>
      </c>
      <c r="I607" s="20">
        <v>1896</v>
      </c>
      <c r="J607" s="8">
        <f t="shared" si="27"/>
        <v>-296</v>
      </c>
      <c r="K607" s="10">
        <f t="shared" si="28"/>
        <v>-0.185</v>
      </c>
      <c r="L607" s="17">
        <f t="shared" si="29"/>
        <v>0</v>
      </c>
      <c r="M607" t="str">
        <f>VLOOKUP(D607,'Jer-Tip-Emp'!B:E,4,0)</f>
        <v>Bebidas</v>
      </c>
      <c r="N607" t="str">
        <f>VLOOKUP(D607,'Jer-Tip-Emp'!B:F,5,0)</f>
        <v>Bebidas Cambio de bebida</v>
      </c>
      <c r="O607" t="str">
        <f>VLOOKUP(D607,'Jer-Tip-Emp'!B:G,6,0)</f>
        <v>Bebidas</v>
      </c>
    </row>
    <row r="608" spans="1:15" ht="27.5" customHeight="1" x14ac:dyDescent="0.2">
      <c r="A608">
        <v>2025</v>
      </c>
      <c r="B608" t="s">
        <v>604</v>
      </c>
      <c r="C608" t="s">
        <v>609</v>
      </c>
      <c r="D608" s="19" t="s">
        <v>178</v>
      </c>
      <c r="E608" s="18" t="s">
        <v>145</v>
      </c>
      <c r="F608" s="18">
        <v>1</v>
      </c>
      <c r="G608" s="20">
        <v>113900</v>
      </c>
      <c r="H608" s="18">
        <v>0</v>
      </c>
      <c r="I608" s="20">
        <v>48608</v>
      </c>
      <c r="J608" s="8">
        <f t="shared" si="27"/>
        <v>65292</v>
      </c>
      <c r="K608" s="10">
        <f t="shared" si="28"/>
        <v>0.57323968393327485</v>
      </c>
      <c r="L608" s="17">
        <f t="shared" si="29"/>
        <v>0</v>
      </c>
      <c r="M608" t="str">
        <f>VLOOKUP(D608,'Jer-Tip-Emp'!B:E,4,0)</f>
        <v>Platos mong</v>
      </c>
      <c r="N608" t="str">
        <f>VLOOKUP(D608,'Jer-Tip-Emp'!B:F,5,0)</f>
        <v>No Personal</v>
      </c>
      <c r="O608" t="str">
        <f>VLOOKUP(D608,'Jer-Tip-Emp'!B:G,6,0)</f>
        <v>Caja</v>
      </c>
    </row>
    <row r="609" spans="1:15" ht="27.5" hidden="1" customHeight="1" x14ac:dyDescent="0.2">
      <c r="A609">
        <v>2025</v>
      </c>
      <c r="B609" t="s">
        <v>604</v>
      </c>
      <c r="C609" t="s">
        <v>609</v>
      </c>
      <c r="D609" s="19" t="s">
        <v>173</v>
      </c>
      <c r="E609" s="18" t="s">
        <v>542</v>
      </c>
      <c r="F609" s="18">
        <v>1</v>
      </c>
      <c r="G609" s="18">
        <v>0</v>
      </c>
      <c r="H609" s="18">
        <v>0</v>
      </c>
      <c r="I609" s="18">
        <v>0</v>
      </c>
      <c r="J609" s="8">
        <f t="shared" si="27"/>
        <v>0</v>
      </c>
      <c r="K609" s="10">
        <f t="shared" si="28"/>
        <v>0</v>
      </c>
      <c r="L609" s="17">
        <f t="shared" si="29"/>
        <v>0</v>
      </c>
      <c r="M609" t="str">
        <f>VLOOKUP(D609,'Jer-Tip-Emp'!B:E,4,0)</f>
        <v>Bebidas</v>
      </c>
      <c r="N609" t="str">
        <f>VLOOKUP(D609,'Jer-Tip-Emp'!B:F,5,0)</f>
        <v>Bebidas Cambio de bebida</v>
      </c>
      <c r="O609" t="str">
        <f>VLOOKUP(D609,'Jer-Tip-Emp'!B:G,6,0)</f>
        <v>Bebidas</v>
      </c>
    </row>
    <row r="610" spans="1:15" ht="27.5" customHeight="1" x14ac:dyDescent="0.2">
      <c r="A610">
        <v>2025</v>
      </c>
      <c r="B610" t="s">
        <v>604</v>
      </c>
      <c r="C610" t="s">
        <v>609</v>
      </c>
      <c r="D610" s="19" t="s">
        <v>248</v>
      </c>
      <c r="E610" s="18" t="s">
        <v>134</v>
      </c>
      <c r="F610" s="18">
        <v>1</v>
      </c>
      <c r="G610" s="20">
        <v>49900</v>
      </c>
      <c r="H610" s="18">
        <v>0</v>
      </c>
      <c r="I610" s="20">
        <v>19989</v>
      </c>
      <c r="J610" s="8">
        <f t="shared" si="27"/>
        <v>29911</v>
      </c>
      <c r="K610" s="10">
        <f t="shared" si="28"/>
        <v>0.59941883767535065</v>
      </c>
      <c r="L610" s="17">
        <f t="shared" si="29"/>
        <v>0</v>
      </c>
      <c r="M610" t="str">
        <f>VLOOKUP(D610,'Jer-Tip-Emp'!B:E,4,0)</f>
        <v>Platos mong</v>
      </c>
      <c r="N610" t="str">
        <f>VLOOKUP(D610,'Jer-Tip-Emp'!B:F,5,0)</f>
        <v>No Personal</v>
      </c>
      <c r="O610" t="str">
        <f>VLOOKUP(D610,'Jer-Tip-Emp'!B:G,6,0)</f>
        <v>Caja</v>
      </c>
    </row>
    <row r="611" spans="1:15" ht="27.5" hidden="1" customHeight="1" x14ac:dyDescent="0.2">
      <c r="A611">
        <v>2025</v>
      </c>
      <c r="B611" t="s">
        <v>604</v>
      </c>
      <c r="C611" t="s">
        <v>609</v>
      </c>
      <c r="D611" s="19" t="s">
        <v>254</v>
      </c>
      <c r="E611" s="18" t="s">
        <v>20</v>
      </c>
      <c r="F611" s="18">
        <v>1</v>
      </c>
      <c r="G611" s="20">
        <v>4900</v>
      </c>
      <c r="H611" s="18">
        <v>0</v>
      </c>
      <c r="I611" s="20">
        <v>3010</v>
      </c>
      <c r="J611" s="8">
        <f t="shared" si="27"/>
        <v>1890</v>
      </c>
      <c r="K611" s="10">
        <f t="shared" si="28"/>
        <v>0.38571428571428573</v>
      </c>
      <c r="L611" s="17">
        <f t="shared" si="29"/>
        <v>0</v>
      </c>
      <c r="M611" t="str">
        <f>VLOOKUP(D611,'Jer-Tip-Emp'!B:E,4,0)</f>
        <v>Adición</v>
      </c>
      <c r="N611" t="str">
        <f>VLOOKUP(D611,'Jer-Tip-Emp'!B:F,5,0)</f>
        <v>Adición</v>
      </c>
      <c r="O611" t="str">
        <f>VLOOKUP(D611,'Jer-Tip-Emp'!B:G,6,0)</f>
        <v>Adición</v>
      </c>
    </row>
    <row r="612" spans="1:15" ht="27.5" hidden="1" customHeight="1" x14ac:dyDescent="0.2">
      <c r="A612">
        <v>2025</v>
      </c>
      <c r="B612" t="s">
        <v>604</v>
      </c>
      <c r="C612" t="s">
        <v>609</v>
      </c>
      <c r="D612" s="19" t="s">
        <v>300</v>
      </c>
      <c r="E612" s="18" t="s">
        <v>26</v>
      </c>
      <c r="F612" s="18">
        <v>1</v>
      </c>
      <c r="G612" s="20">
        <v>7900</v>
      </c>
      <c r="H612" s="18">
        <v>0</v>
      </c>
      <c r="I612" s="18">
        <v>0</v>
      </c>
      <c r="J612" s="8">
        <f t="shared" si="27"/>
        <v>7900</v>
      </c>
      <c r="K612" s="10">
        <f t="shared" si="28"/>
        <v>1</v>
      </c>
      <c r="L612" s="17">
        <f t="shared" si="29"/>
        <v>0</v>
      </c>
      <c r="M612" t="str">
        <f>VLOOKUP(D612,'Jer-Tip-Emp'!B:E,4,0)</f>
        <v>Adición</v>
      </c>
      <c r="N612" t="str">
        <f>VLOOKUP(D612,'Jer-Tip-Emp'!B:F,5,0)</f>
        <v>Adición</v>
      </c>
      <c r="O612" t="str">
        <f>VLOOKUP(D612,'Jer-Tip-Emp'!B:G,6,0)</f>
        <v>Adición</v>
      </c>
    </row>
    <row r="613" spans="1:15" ht="27.5" customHeight="1" x14ac:dyDescent="0.2">
      <c r="A613">
        <v>2026</v>
      </c>
      <c r="B613" t="s">
        <v>599</v>
      </c>
      <c r="C613" t="s">
        <v>594</v>
      </c>
      <c r="D613" s="19" t="s">
        <v>207</v>
      </c>
      <c r="E613" s="18" t="s">
        <v>92</v>
      </c>
      <c r="F613" s="18">
        <v>111</v>
      </c>
      <c r="G613" s="20">
        <v>2758800</v>
      </c>
      <c r="H613" s="20">
        <v>-782100</v>
      </c>
      <c r="I613" s="20">
        <v>1068597</v>
      </c>
      <c r="J613" s="8">
        <f t="shared" si="27"/>
        <v>1690203</v>
      </c>
      <c r="K613" s="10">
        <f t="shared" si="28"/>
        <v>0.61265876468029579</v>
      </c>
      <c r="L613" s="17">
        <f t="shared" si="29"/>
        <v>0.28349282296650719</v>
      </c>
      <c r="M613" t="str">
        <f>VLOOKUP(D613,'Jer-Tip-Emp'!B:E,4,0)</f>
        <v>Combos personales</v>
      </c>
      <c r="N613" t="str">
        <f>VLOOKUP(D613,'Jer-Tip-Emp'!B:F,5,0)</f>
        <v>Personal</v>
      </c>
      <c r="O613" t="str">
        <f>VLOOKUP(D613,'Jer-Tip-Emp'!B:G,6,0)</f>
        <v>Combo</v>
      </c>
    </row>
    <row r="614" spans="1:15" ht="27.5" hidden="1" customHeight="1" x14ac:dyDescent="0.2">
      <c r="A614">
        <v>2026</v>
      </c>
      <c r="B614" t="s">
        <v>599</v>
      </c>
      <c r="C614" t="s">
        <v>594</v>
      </c>
      <c r="D614" s="19" t="s">
        <v>173</v>
      </c>
      <c r="E614" s="18" t="s">
        <v>542</v>
      </c>
      <c r="F614" s="18">
        <v>107</v>
      </c>
      <c r="G614" s="18">
        <v>0</v>
      </c>
      <c r="H614" s="18">
        <v>0</v>
      </c>
      <c r="I614" s="18">
        <v>0</v>
      </c>
      <c r="J614" s="8">
        <f t="shared" si="27"/>
        <v>0</v>
      </c>
      <c r="K614" s="10">
        <f t="shared" si="28"/>
        <v>0</v>
      </c>
      <c r="L614" s="17">
        <f t="shared" si="29"/>
        <v>0</v>
      </c>
      <c r="M614" t="str">
        <f>VLOOKUP(D614,'Jer-Tip-Emp'!B:E,4,0)</f>
        <v>Bebidas</v>
      </c>
      <c r="N614" t="str">
        <f>VLOOKUP(D614,'Jer-Tip-Emp'!B:F,5,0)</f>
        <v>Bebidas Cambio de bebida</v>
      </c>
      <c r="O614" t="str">
        <f>VLOOKUP(D614,'Jer-Tip-Emp'!B:G,6,0)</f>
        <v>Bebidas</v>
      </c>
    </row>
    <row r="615" spans="1:15" ht="27.5" customHeight="1" x14ac:dyDescent="0.2">
      <c r="A615">
        <v>2026</v>
      </c>
      <c r="B615" t="s">
        <v>599</v>
      </c>
      <c r="C615" t="s">
        <v>594</v>
      </c>
      <c r="D615" s="19" t="s">
        <v>196</v>
      </c>
      <c r="E615" s="18" t="s">
        <v>159</v>
      </c>
      <c r="F615" s="18">
        <v>47</v>
      </c>
      <c r="G615" s="20">
        <v>1255350</v>
      </c>
      <c r="H615" s="20">
        <v>-384950</v>
      </c>
      <c r="I615" s="20">
        <v>446547</v>
      </c>
      <c r="J615" s="8">
        <f t="shared" si="27"/>
        <v>808803</v>
      </c>
      <c r="K615" s="10">
        <f t="shared" si="28"/>
        <v>0.64428486079579406</v>
      </c>
      <c r="L615" s="17">
        <f t="shared" si="29"/>
        <v>0.30664754849245229</v>
      </c>
      <c r="M615" t="str">
        <f>VLOOKUP(D615,'Jer-Tip-Emp'!B:E,4,0)</f>
        <v>Combos personales</v>
      </c>
      <c r="N615" t="str">
        <f>VLOOKUP(D615,'Jer-Tip-Emp'!B:F,5,0)</f>
        <v>Personal</v>
      </c>
      <c r="O615" t="str">
        <f>VLOOKUP(D615,'Jer-Tip-Emp'!B:G,6,0)</f>
        <v>Combo</v>
      </c>
    </row>
    <row r="616" spans="1:15" ht="27.5" hidden="1" customHeight="1" x14ac:dyDescent="0.2">
      <c r="A616">
        <v>2026</v>
      </c>
      <c r="B616" t="s">
        <v>599</v>
      </c>
      <c r="C616" t="s">
        <v>594</v>
      </c>
      <c r="D616" s="19" t="s">
        <v>346</v>
      </c>
      <c r="E616" s="18" t="s">
        <v>551</v>
      </c>
      <c r="F616" s="18">
        <v>43</v>
      </c>
      <c r="G616" s="18">
        <v>0</v>
      </c>
      <c r="H616" s="18">
        <v>0</v>
      </c>
      <c r="I616" s="18">
        <v>0</v>
      </c>
      <c r="J616" s="8">
        <f t="shared" si="27"/>
        <v>0</v>
      </c>
      <c r="K616" s="10">
        <f t="shared" si="28"/>
        <v>0</v>
      </c>
      <c r="L616" s="17">
        <f t="shared" si="29"/>
        <v>0</v>
      </c>
      <c r="M616" t="str">
        <f>VLOOKUP(D616,'Jer-Tip-Emp'!B:E,4,0)</f>
        <v>Adición</v>
      </c>
      <c r="N616" t="str">
        <f>VLOOKUP(D616,'Jer-Tip-Emp'!B:F,5,0)</f>
        <v>Adición</v>
      </c>
      <c r="O616" t="str">
        <f>VLOOKUP(D616,'Jer-Tip-Emp'!B:G,6,0)</f>
        <v>Adición</v>
      </c>
    </row>
    <row r="617" spans="1:15" ht="27.5" customHeight="1" x14ac:dyDescent="0.2">
      <c r="A617">
        <v>2026</v>
      </c>
      <c r="B617" t="s">
        <v>599</v>
      </c>
      <c r="C617" t="s">
        <v>594</v>
      </c>
      <c r="D617" s="19" t="s">
        <v>192</v>
      </c>
      <c r="E617" s="18" t="s">
        <v>165</v>
      </c>
      <c r="F617" s="18">
        <v>29</v>
      </c>
      <c r="G617" s="20">
        <v>1404850</v>
      </c>
      <c r="H617" s="20">
        <v>-430850</v>
      </c>
      <c r="I617" s="18">
        <v>0</v>
      </c>
      <c r="J617" s="8">
        <f t="shared" si="27"/>
        <v>1404850</v>
      </c>
      <c r="K617" s="10">
        <f t="shared" si="28"/>
        <v>1</v>
      </c>
      <c r="L617" s="17">
        <f t="shared" si="29"/>
        <v>0.30668754671317222</v>
      </c>
      <c r="M617" t="str">
        <f>VLOOKUP(D617,'Jer-Tip-Emp'!B:E,4,0)</f>
        <v>Combos para compartir</v>
      </c>
      <c r="N617" t="str">
        <f>VLOOKUP(D617,'Jer-Tip-Emp'!B:F,5,0)</f>
        <v>No Personal</v>
      </c>
      <c r="O617" t="str">
        <f>VLOOKUP(D617,'Jer-Tip-Emp'!B:G,6,0)</f>
        <v>Combo</v>
      </c>
    </row>
    <row r="618" spans="1:15" ht="27.5" hidden="1" customHeight="1" x14ac:dyDescent="0.2">
      <c r="A618">
        <v>2026</v>
      </c>
      <c r="B618" t="s">
        <v>599</v>
      </c>
      <c r="C618" t="s">
        <v>594</v>
      </c>
      <c r="D618" s="19" t="s">
        <v>490</v>
      </c>
      <c r="E618" s="18" t="s">
        <v>554</v>
      </c>
      <c r="F618" s="18">
        <v>27</v>
      </c>
      <c r="G618" s="18">
        <v>0</v>
      </c>
      <c r="H618" s="18">
        <v>0</v>
      </c>
      <c r="I618" s="20">
        <v>55323</v>
      </c>
      <c r="J618" s="8">
        <f t="shared" si="27"/>
        <v>-55323</v>
      </c>
      <c r="K618" s="10">
        <f t="shared" si="28"/>
        <v>0</v>
      </c>
      <c r="L618" s="17">
        <f t="shared" si="29"/>
        <v>0</v>
      </c>
      <c r="M618" t="str">
        <f>VLOOKUP(D618,'Jer-Tip-Emp'!B:E,4,0)</f>
        <v>Adición</v>
      </c>
      <c r="N618" t="str">
        <f>VLOOKUP(D618,'Jer-Tip-Emp'!B:F,5,0)</f>
        <v>Otro</v>
      </c>
      <c r="O618" t="str">
        <f>VLOOKUP(D618,'Jer-Tip-Emp'!B:G,6,0)</f>
        <v>Otro</v>
      </c>
    </row>
    <row r="619" spans="1:15" ht="27.5" customHeight="1" x14ac:dyDescent="0.2">
      <c r="A619">
        <v>2026</v>
      </c>
      <c r="B619" t="s">
        <v>599</v>
      </c>
      <c r="C619" t="s">
        <v>594</v>
      </c>
      <c r="D619" s="19" t="s">
        <v>186</v>
      </c>
      <c r="E619" s="18" t="s">
        <v>95</v>
      </c>
      <c r="F619" s="18">
        <v>21</v>
      </c>
      <c r="G619" s="20">
        <v>631700</v>
      </c>
      <c r="H619" s="20">
        <v>-185200</v>
      </c>
      <c r="I619" s="20">
        <v>200970</v>
      </c>
      <c r="J619" s="8">
        <f t="shared" si="27"/>
        <v>430730</v>
      </c>
      <c r="K619" s="10">
        <f t="shared" si="28"/>
        <v>0.68185847712521763</v>
      </c>
      <c r="L619" s="17">
        <f t="shared" si="29"/>
        <v>0.29317714104796583</v>
      </c>
      <c r="M619" t="str">
        <f>VLOOKUP(D619,'Jer-Tip-Emp'!B:E,4,0)</f>
        <v>Combos personales</v>
      </c>
      <c r="N619" t="str">
        <f>VLOOKUP(D619,'Jer-Tip-Emp'!B:F,5,0)</f>
        <v>Personal</v>
      </c>
      <c r="O619" t="str">
        <f>VLOOKUP(D619,'Jer-Tip-Emp'!B:G,6,0)</f>
        <v>Combo</v>
      </c>
    </row>
    <row r="620" spans="1:15" ht="27.5" hidden="1" customHeight="1" x14ac:dyDescent="0.2">
      <c r="A620">
        <v>2026</v>
      </c>
      <c r="B620" t="s">
        <v>599</v>
      </c>
      <c r="C620" t="s">
        <v>594</v>
      </c>
      <c r="D620" s="19" t="s">
        <v>328</v>
      </c>
      <c r="E620" s="18" t="s">
        <v>555</v>
      </c>
      <c r="F620" s="18">
        <v>18</v>
      </c>
      <c r="G620" s="20">
        <v>18000</v>
      </c>
      <c r="H620" s="18">
        <v>0</v>
      </c>
      <c r="I620" s="20">
        <v>1062</v>
      </c>
      <c r="J620" s="8">
        <f t="shared" si="27"/>
        <v>16938</v>
      </c>
      <c r="K620" s="10">
        <f t="shared" si="28"/>
        <v>0.94099999999999995</v>
      </c>
      <c r="L620" s="17">
        <f t="shared" si="29"/>
        <v>0</v>
      </c>
      <c r="M620" t="str">
        <f>VLOOKUP(D620,'Jer-Tip-Emp'!B:E,4,0)</f>
        <v>Adición</v>
      </c>
      <c r="N620" t="str">
        <f>VLOOKUP(D620,'Jer-Tip-Emp'!B:F,5,0)</f>
        <v>Adición</v>
      </c>
      <c r="O620" t="str">
        <f>VLOOKUP(D620,'Jer-Tip-Emp'!B:G,6,0)</f>
        <v>Adición</v>
      </c>
    </row>
    <row r="621" spans="1:15" ht="27.5" hidden="1" customHeight="1" x14ac:dyDescent="0.2">
      <c r="A621">
        <v>2026</v>
      </c>
      <c r="B621" t="s">
        <v>599</v>
      </c>
      <c r="C621" t="s">
        <v>594</v>
      </c>
      <c r="D621" s="19" t="s">
        <v>500</v>
      </c>
      <c r="E621" s="18" t="s">
        <v>546</v>
      </c>
      <c r="F621" s="18">
        <v>17</v>
      </c>
      <c r="G621" s="18">
        <v>0</v>
      </c>
      <c r="H621" s="18">
        <v>0</v>
      </c>
      <c r="I621" s="20">
        <v>14756</v>
      </c>
      <c r="J621" s="8">
        <f t="shared" si="27"/>
        <v>-14756</v>
      </c>
      <c r="K621" s="10">
        <f t="shared" si="28"/>
        <v>0</v>
      </c>
      <c r="L621" s="17">
        <f t="shared" si="29"/>
        <v>0</v>
      </c>
      <c r="M621" t="str">
        <f>VLOOKUP(D621,'Jer-Tip-Emp'!B:E,4,0)</f>
        <v>Bebidas</v>
      </c>
      <c r="N621" t="str">
        <f>VLOOKUP(D621,'Jer-Tip-Emp'!B:F,5,0)</f>
        <v>Bebidas Cambio de bebida</v>
      </c>
      <c r="O621" t="str">
        <f>VLOOKUP(D621,'Jer-Tip-Emp'!B:G,6,0)</f>
        <v>Bebidas</v>
      </c>
    </row>
    <row r="622" spans="1:15" ht="27.5" hidden="1" customHeight="1" x14ac:dyDescent="0.2">
      <c r="A622">
        <v>2026</v>
      </c>
      <c r="B622" t="s">
        <v>599</v>
      </c>
      <c r="C622" t="s">
        <v>594</v>
      </c>
      <c r="D622" s="19" t="s">
        <v>176</v>
      </c>
      <c r="E622" s="18" t="s">
        <v>544</v>
      </c>
      <c r="F622" s="18">
        <v>15</v>
      </c>
      <c r="G622" s="20">
        <v>15000</v>
      </c>
      <c r="H622" s="18">
        <v>0</v>
      </c>
      <c r="I622" s="20">
        <v>29175</v>
      </c>
      <c r="J622" s="8">
        <f t="shared" si="27"/>
        <v>-14175</v>
      </c>
      <c r="K622" s="10">
        <f t="shared" si="28"/>
        <v>-0.94499999999999995</v>
      </c>
      <c r="L622" s="17">
        <f t="shared" si="29"/>
        <v>0</v>
      </c>
      <c r="M622" t="str">
        <f>VLOOKUP(D622,'Jer-Tip-Emp'!B:E,4,0)</f>
        <v>Bebidas</v>
      </c>
      <c r="N622" t="str">
        <f>VLOOKUP(D622,'Jer-Tip-Emp'!B:F,5,0)</f>
        <v>Bebidas Cambio de bebida</v>
      </c>
      <c r="O622" t="str">
        <f>VLOOKUP(D622,'Jer-Tip-Emp'!B:G,6,0)</f>
        <v>Bebidas</v>
      </c>
    </row>
    <row r="623" spans="1:15" ht="27.5" hidden="1" customHeight="1" x14ac:dyDescent="0.2">
      <c r="A623">
        <v>2026</v>
      </c>
      <c r="B623" t="s">
        <v>599</v>
      </c>
      <c r="C623" t="s">
        <v>594</v>
      </c>
      <c r="D623" s="19" t="s">
        <v>342</v>
      </c>
      <c r="E623" s="18" t="s">
        <v>556</v>
      </c>
      <c r="F623" s="18">
        <v>13</v>
      </c>
      <c r="G623" s="20">
        <v>98800</v>
      </c>
      <c r="H623" s="18">
        <v>0</v>
      </c>
      <c r="I623" s="20">
        <v>40404</v>
      </c>
      <c r="J623" s="8">
        <f t="shared" si="27"/>
        <v>58396</v>
      </c>
      <c r="K623" s="10">
        <f t="shared" si="28"/>
        <v>0.59105263157894739</v>
      </c>
      <c r="L623" s="17">
        <f t="shared" si="29"/>
        <v>0</v>
      </c>
      <c r="M623" t="str">
        <f>VLOOKUP(D623,'Jer-Tip-Emp'!B:E,4,0)</f>
        <v>Adición</v>
      </c>
      <c r="N623" t="str">
        <f>VLOOKUP(D623,'Jer-Tip-Emp'!B:F,5,0)</f>
        <v>Adición</v>
      </c>
      <c r="O623" t="str">
        <f>VLOOKUP(D623,'Jer-Tip-Emp'!B:G,6,0)</f>
        <v>Adición</v>
      </c>
    </row>
    <row r="624" spans="1:15" ht="27.5" customHeight="1" x14ac:dyDescent="0.2">
      <c r="A624">
        <v>2026</v>
      </c>
      <c r="B624" t="s">
        <v>599</v>
      </c>
      <c r="C624" t="s">
        <v>594</v>
      </c>
      <c r="D624" s="19" t="s">
        <v>215</v>
      </c>
      <c r="E624" s="18" t="s">
        <v>166</v>
      </c>
      <c r="F624" s="18">
        <v>13</v>
      </c>
      <c r="G624" s="20">
        <v>868700</v>
      </c>
      <c r="H624" s="20">
        <v>-261000</v>
      </c>
      <c r="I624" s="18">
        <v>0</v>
      </c>
      <c r="J624" s="8">
        <f t="shared" si="27"/>
        <v>868700</v>
      </c>
      <c r="K624" s="10">
        <f t="shared" si="28"/>
        <v>1</v>
      </c>
      <c r="L624" s="17">
        <f t="shared" si="29"/>
        <v>0.30044894670196848</v>
      </c>
      <c r="M624" t="str">
        <f>VLOOKUP(D624,'Jer-Tip-Emp'!B:E,4,0)</f>
        <v>Platos mong</v>
      </c>
      <c r="N624" t="str">
        <f>VLOOKUP(D624,'Jer-Tip-Emp'!B:F,5,0)</f>
        <v>No Personal</v>
      </c>
      <c r="O624" t="str">
        <f>VLOOKUP(D624,'Jer-Tip-Emp'!B:G,6,0)</f>
        <v>Caja</v>
      </c>
    </row>
    <row r="625" spans="1:15" ht="27.5" hidden="1" customHeight="1" x14ac:dyDescent="0.2">
      <c r="A625">
        <v>2026</v>
      </c>
      <c r="B625" t="s">
        <v>599</v>
      </c>
      <c r="C625" t="s">
        <v>594</v>
      </c>
      <c r="D625" s="19" t="s">
        <v>418</v>
      </c>
      <c r="E625" s="18" t="s">
        <v>557</v>
      </c>
      <c r="F625" s="18">
        <v>13</v>
      </c>
      <c r="G625" s="20">
        <v>13000</v>
      </c>
      <c r="H625" s="18">
        <v>0</v>
      </c>
      <c r="I625" s="18">
        <v>0</v>
      </c>
      <c r="J625" s="8">
        <f t="shared" si="27"/>
        <v>13000</v>
      </c>
      <c r="K625" s="10">
        <f t="shared" si="28"/>
        <v>1</v>
      </c>
      <c r="L625" s="17">
        <f t="shared" si="29"/>
        <v>0</v>
      </c>
      <c r="M625" t="str">
        <f>VLOOKUP(D625,'Jer-Tip-Emp'!B:E,4,0)</f>
        <v>Adición</v>
      </c>
      <c r="N625" t="str">
        <f>VLOOKUP(D625,'Jer-Tip-Emp'!B:F,5,0)</f>
        <v>Adición</v>
      </c>
      <c r="O625" t="str">
        <f>VLOOKUP(D625,'Jer-Tip-Emp'!B:G,6,0)</f>
        <v>Adición</v>
      </c>
    </row>
    <row r="626" spans="1:15" ht="27.5" customHeight="1" x14ac:dyDescent="0.2">
      <c r="A626">
        <v>2026</v>
      </c>
      <c r="B626" t="s">
        <v>599</v>
      </c>
      <c r="C626" t="s">
        <v>594</v>
      </c>
      <c r="D626" s="19" t="s">
        <v>289</v>
      </c>
      <c r="E626" s="18" t="s">
        <v>163</v>
      </c>
      <c r="F626" s="18">
        <v>12</v>
      </c>
      <c r="G626" s="20">
        <v>282450</v>
      </c>
      <c r="H626" s="20">
        <v>-88350</v>
      </c>
      <c r="I626" s="18">
        <v>0</v>
      </c>
      <c r="J626" s="8">
        <f t="shared" si="27"/>
        <v>282450</v>
      </c>
      <c r="K626" s="10">
        <f t="shared" si="28"/>
        <v>1</v>
      </c>
      <c r="L626" s="17">
        <f t="shared" si="29"/>
        <v>0.31279872543813064</v>
      </c>
      <c r="M626" t="str">
        <f>VLOOKUP(D626,'Jer-Tip-Emp'!B:E,4,0)</f>
        <v>Combos personales</v>
      </c>
      <c r="N626" t="str">
        <f>VLOOKUP(D626,'Jer-Tip-Emp'!B:F,5,0)</f>
        <v>Personal</v>
      </c>
      <c r="O626" t="str">
        <f>VLOOKUP(D626,'Jer-Tip-Emp'!B:G,6,0)</f>
        <v>Combo</v>
      </c>
    </row>
    <row r="627" spans="1:15" ht="27.5" hidden="1" customHeight="1" x14ac:dyDescent="0.2">
      <c r="A627">
        <v>2026</v>
      </c>
      <c r="B627" t="s">
        <v>599</v>
      </c>
      <c r="C627" t="s">
        <v>594</v>
      </c>
      <c r="D627" s="19" t="s">
        <v>284</v>
      </c>
      <c r="E627" s="18" t="s">
        <v>106</v>
      </c>
      <c r="F627" s="18">
        <v>11</v>
      </c>
      <c r="G627" s="20">
        <v>141900</v>
      </c>
      <c r="H627" s="18">
        <v>0</v>
      </c>
      <c r="I627" s="20">
        <v>34529</v>
      </c>
      <c r="J627" s="8">
        <f t="shared" si="27"/>
        <v>107371</v>
      </c>
      <c r="K627" s="10">
        <f t="shared" si="28"/>
        <v>0.75666666666666671</v>
      </c>
      <c r="L627" s="17">
        <f t="shared" si="29"/>
        <v>0</v>
      </c>
      <c r="M627" t="str">
        <f>VLOOKUP(D627,'Jer-Tip-Emp'!B:E,4,0)</f>
        <v>Entradas</v>
      </c>
      <c r="N627" t="str">
        <f>VLOOKUP(D627,'Jer-Tip-Emp'!B:F,5,0)</f>
        <v>Otro</v>
      </c>
      <c r="O627" t="str">
        <f>VLOOKUP(D627,'Jer-Tip-Emp'!B:G,6,0)</f>
        <v>Otro</v>
      </c>
    </row>
    <row r="628" spans="1:15" ht="27.5" customHeight="1" x14ac:dyDescent="0.2">
      <c r="A628">
        <v>2026</v>
      </c>
      <c r="B628" t="s">
        <v>599</v>
      </c>
      <c r="C628" t="s">
        <v>594</v>
      </c>
      <c r="D628" s="19" t="s">
        <v>177</v>
      </c>
      <c r="E628" s="18" t="s">
        <v>99</v>
      </c>
      <c r="F628" s="18">
        <v>8</v>
      </c>
      <c r="G628" s="20">
        <v>244900</v>
      </c>
      <c r="H628" s="20">
        <v>-66300</v>
      </c>
      <c r="I628" s="18">
        <v>0</v>
      </c>
      <c r="J628" s="8">
        <f t="shared" si="27"/>
        <v>244900</v>
      </c>
      <c r="K628" s="10">
        <f t="shared" si="28"/>
        <v>1</v>
      </c>
      <c r="L628" s="17">
        <f t="shared" si="29"/>
        <v>0.27072274397713353</v>
      </c>
      <c r="M628" t="str">
        <f>VLOOKUP(D628,'Jer-Tip-Emp'!B:E,4,0)</f>
        <v>Combos personales</v>
      </c>
      <c r="N628" t="str">
        <f>VLOOKUP(D628,'Jer-Tip-Emp'!B:F,5,0)</f>
        <v>Personal</v>
      </c>
      <c r="O628" t="str">
        <f>VLOOKUP(D628,'Jer-Tip-Emp'!B:G,6,0)</f>
        <v>Combo</v>
      </c>
    </row>
    <row r="629" spans="1:15" ht="27.5" hidden="1" customHeight="1" x14ac:dyDescent="0.2">
      <c r="A629">
        <v>2026</v>
      </c>
      <c r="B629" t="s">
        <v>599</v>
      </c>
      <c r="C629" t="s">
        <v>594</v>
      </c>
      <c r="D629" s="19" t="s">
        <v>365</v>
      </c>
      <c r="E629" s="18" t="s">
        <v>558</v>
      </c>
      <c r="F629" s="18">
        <v>8</v>
      </c>
      <c r="G629" s="20">
        <v>7200</v>
      </c>
      <c r="H629" s="18">
        <v>0</v>
      </c>
      <c r="I629" s="20">
        <v>12552</v>
      </c>
      <c r="J629" s="8">
        <f t="shared" si="27"/>
        <v>-5352</v>
      </c>
      <c r="K629" s="10">
        <f t="shared" si="28"/>
        <v>-0.74333333333333329</v>
      </c>
      <c r="L629" s="17">
        <f t="shared" si="29"/>
        <v>0</v>
      </c>
      <c r="M629" t="str">
        <f>VLOOKUP(D629,'Jer-Tip-Emp'!B:E,4,0)</f>
        <v>Adición</v>
      </c>
      <c r="N629" t="str">
        <f>VLOOKUP(D629,'Jer-Tip-Emp'!B:F,5,0)</f>
        <v>Otro</v>
      </c>
      <c r="O629" t="str">
        <f>VLOOKUP(D629,'Jer-Tip-Emp'!B:G,6,0)</f>
        <v>Otro</v>
      </c>
    </row>
    <row r="630" spans="1:15" ht="27.5" customHeight="1" x14ac:dyDescent="0.2">
      <c r="A630">
        <v>2026</v>
      </c>
      <c r="B630" t="s">
        <v>599</v>
      </c>
      <c r="C630" t="s">
        <v>594</v>
      </c>
      <c r="D630" s="19" t="s">
        <v>228</v>
      </c>
      <c r="E630" s="18" t="s">
        <v>96</v>
      </c>
      <c r="F630" s="18">
        <v>5</v>
      </c>
      <c r="G630" s="20">
        <v>145800</v>
      </c>
      <c r="H630" s="20">
        <v>-48700</v>
      </c>
      <c r="I630" s="20">
        <v>51235</v>
      </c>
      <c r="J630" s="8">
        <f t="shared" si="27"/>
        <v>94565</v>
      </c>
      <c r="K630" s="10">
        <f t="shared" si="28"/>
        <v>0.64859396433470506</v>
      </c>
      <c r="L630" s="17">
        <f t="shared" si="29"/>
        <v>0.33401920438957478</v>
      </c>
      <c r="M630" t="str">
        <f>VLOOKUP(D630,'Jer-Tip-Emp'!B:E,4,0)</f>
        <v>Combos personales</v>
      </c>
      <c r="N630" t="str">
        <f>VLOOKUP(D630,'Jer-Tip-Emp'!B:F,5,0)</f>
        <v>Personal</v>
      </c>
      <c r="O630" t="str">
        <f>VLOOKUP(D630,'Jer-Tip-Emp'!B:G,6,0)</f>
        <v>Combo</v>
      </c>
    </row>
    <row r="631" spans="1:15" ht="27.5" hidden="1" customHeight="1" x14ac:dyDescent="0.2">
      <c r="A631">
        <v>2026</v>
      </c>
      <c r="B631" t="s">
        <v>599</v>
      </c>
      <c r="C631" t="s">
        <v>594</v>
      </c>
      <c r="D631" s="19" t="s">
        <v>438</v>
      </c>
      <c r="E631" s="18" t="s">
        <v>563</v>
      </c>
      <c r="F631" s="18">
        <v>5</v>
      </c>
      <c r="G631" s="20">
        <v>38000</v>
      </c>
      <c r="H631" s="18">
        <v>0</v>
      </c>
      <c r="I631" s="20">
        <v>14245</v>
      </c>
      <c r="J631" s="8">
        <f t="shared" si="27"/>
        <v>23755</v>
      </c>
      <c r="K631" s="10">
        <f t="shared" si="28"/>
        <v>0.62513157894736837</v>
      </c>
      <c r="L631" s="17">
        <f t="shared" si="29"/>
        <v>0</v>
      </c>
      <c r="M631" t="str">
        <f>VLOOKUP(D631,'Jer-Tip-Emp'!B:E,4,0)</f>
        <v>Adición</v>
      </c>
      <c r="N631" t="str">
        <f>VLOOKUP(D631,'Jer-Tip-Emp'!B:F,5,0)</f>
        <v>Adición</v>
      </c>
      <c r="O631" t="str">
        <f>VLOOKUP(D631,'Jer-Tip-Emp'!B:G,6,0)</f>
        <v>Adición</v>
      </c>
    </row>
    <row r="632" spans="1:15" ht="27.5" hidden="1" customHeight="1" x14ac:dyDescent="0.2">
      <c r="A632">
        <v>2026</v>
      </c>
      <c r="B632" t="s">
        <v>599</v>
      </c>
      <c r="C632" t="s">
        <v>594</v>
      </c>
      <c r="D632" s="19" t="s">
        <v>400</v>
      </c>
      <c r="E632" s="18" t="s">
        <v>564</v>
      </c>
      <c r="F632" s="18">
        <v>5</v>
      </c>
      <c r="G632" s="20">
        <v>24000</v>
      </c>
      <c r="H632" s="18">
        <v>0</v>
      </c>
      <c r="I632" s="20">
        <v>6410</v>
      </c>
      <c r="J632" s="8">
        <f t="shared" si="27"/>
        <v>17590</v>
      </c>
      <c r="K632" s="10">
        <f t="shared" si="28"/>
        <v>0.73291666666666666</v>
      </c>
      <c r="L632" s="17">
        <f t="shared" si="29"/>
        <v>0</v>
      </c>
      <c r="M632" t="str">
        <f>VLOOKUP(D632,'Jer-Tip-Emp'!B:E,4,0)</f>
        <v>Adición</v>
      </c>
      <c r="N632" t="str">
        <f>VLOOKUP(D632,'Jer-Tip-Emp'!B:F,5,0)</f>
        <v>Adición</v>
      </c>
      <c r="O632" t="str">
        <f>VLOOKUP(D632,'Jer-Tip-Emp'!B:G,6,0)</f>
        <v>Adición</v>
      </c>
    </row>
    <row r="633" spans="1:15" ht="27.5" customHeight="1" x14ac:dyDescent="0.2">
      <c r="A633">
        <v>2026</v>
      </c>
      <c r="B633" t="s">
        <v>599</v>
      </c>
      <c r="C633" t="s">
        <v>594</v>
      </c>
      <c r="D633" s="19" t="s">
        <v>354</v>
      </c>
      <c r="E633" s="18" t="s">
        <v>548</v>
      </c>
      <c r="F633" s="18">
        <v>5</v>
      </c>
      <c r="G633" s="18">
        <v>0</v>
      </c>
      <c r="H633" s="18">
        <v>0</v>
      </c>
      <c r="I633" s="20">
        <v>13170</v>
      </c>
      <c r="J633" s="8">
        <f t="shared" si="27"/>
        <v>-13170</v>
      </c>
      <c r="K633" s="10">
        <f t="shared" si="28"/>
        <v>0</v>
      </c>
      <c r="L633" s="17">
        <f t="shared" si="29"/>
        <v>0</v>
      </c>
      <c r="M633" t="str">
        <f>VLOOKUP(D633,'Jer-Tip-Emp'!B:E,4,0)</f>
        <v>Arma tu plato</v>
      </c>
      <c r="N633" t="str">
        <f>VLOOKUP(D633,'Jer-Tip-Emp'!B:F,5,0)</f>
        <v>Personal</v>
      </c>
      <c r="O633" t="str">
        <f>VLOOKUP(D633,'Jer-Tip-Emp'!B:G,6,0)</f>
        <v>Caja</v>
      </c>
    </row>
    <row r="634" spans="1:15" ht="27.5" hidden="1" customHeight="1" x14ac:dyDescent="0.2">
      <c r="A634">
        <v>2026</v>
      </c>
      <c r="B634" t="s">
        <v>599</v>
      </c>
      <c r="C634" t="s">
        <v>594</v>
      </c>
      <c r="D634" s="19" t="s">
        <v>367</v>
      </c>
      <c r="E634" s="18" t="s">
        <v>566</v>
      </c>
      <c r="F634" s="18">
        <v>5</v>
      </c>
      <c r="G634" s="20">
        <v>5000</v>
      </c>
      <c r="H634" s="18">
        <v>0</v>
      </c>
      <c r="I634" s="18">
        <v>0</v>
      </c>
      <c r="J634" s="8">
        <f t="shared" si="27"/>
        <v>5000</v>
      </c>
      <c r="K634" s="10">
        <f t="shared" si="28"/>
        <v>1</v>
      </c>
      <c r="L634" s="17">
        <f t="shared" si="29"/>
        <v>0</v>
      </c>
      <c r="M634" t="str">
        <f>VLOOKUP(D634,'Jer-Tip-Emp'!B:E,4,0)</f>
        <v>Adición</v>
      </c>
      <c r="N634" t="str">
        <f>VLOOKUP(D634,'Jer-Tip-Emp'!B:F,5,0)</f>
        <v>Adición</v>
      </c>
      <c r="O634" t="str">
        <f>VLOOKUP(D634,'Jer-Tip-Emp'!B:G,6,0)</f>
        <v>Adición</v>
      </c>
    </row>
    <row r="635" spans="1:15" ht="27.5" hidden="1" customHeight="1" x14ac:dyDescent="0.2">
      <c r="A635">
        <v>2026</v>
      </c>
      <c r="B635" t="s">
        <v>599</v>
      </c>
      <c r="C635" t="s">
        <v>594</v>
      </c>
      <c r="D635" s="19" t="s">
        <v>431</v>
      </c>
      <c r="E635" s="18" t="s">
        <v>560</v>
      </c>
      <c r="F635" s="18">
        <v>5</v>
      </c>
      <c r="G635" s="20">
        <v>10000</v>
      </c>
      <c r="H635" s="18">
        <v>0</v>
      </c>
      <c r="I635" s="20">
        <v>6650</v>
      </c>
      <c r="J635" s="8">
        <f t="shared" si="27"/>
        <v>3350</v>
      </c>
      <c r="K635" s="10">
        <f t="shared" si="28"/>
        <v>0.33500000000000002</v>
      </c>
      <c r="L635" s="17">
        <f t="shared" si="29"/>
        <v>0</v>
      </c>
      <c r="M635" t="str">
        <f>VLOOKUP(D635,'Jer-Tip-Emp'!B:E,4,0)</f>
        <v>Bebidas</v>
      </c>
      <c r="N635" t="str">
        <f>VLOOKUP(D635,'Jer-Tip-Emp'!B:F,5,0)</f>
        <v>Bebidas Cambio de bebida</v>
      </c>
      <c r="O635" t="str">
        <f>VLOOKUP(D635,'Jer-Tip-Emp'!B:G,6,0)</f>
        <v>Bebidas</v>
      </c>
    </row>
    <row r="636" spans="1:15" ht="27.5" hidden="1" customHeight="1" x14ac:dyDescent="0.2">
      <c r="A636">
        <v>2026</v>
      </c>
      <c r="B636" t="s">
        <v>599</v>
      </c>
      <c r="C636" t="s">
        <v>594</v>
      </c>
      <c r="D636" s="19" t="s">
        <v>348</v>
      </c>
      <c r="E636" s="18" t="s">
        <v>567</v>
      </c>
      <c r="F636" s="18">
        <v>4</v>
      </c>
      <c r="G636" s="20">
        <v>32000</v>
      </c>
      <c r="H636" s="18">
        <v>0</v>
      </c>
      <c r="I636" s="20">
        <v>6988</v>
      </c>
      <c r="J636" s="8">
        <f t="shared" si="27"/>
        <v>25012</v>
      </c>
      <c r="K636" s="10">
        <f t="shared" si="28"/>
        <v>0.78162500000000001</v>
      </c>
      <c r="L636" s="17">
        <f t="shared" si="29"/>
        <v>0</v>
      </c>
      <c r="M636" t="str">
        <f>VLOOKUP(D636,'Jer-Tip-Emp'!B:E,4,0)</f>
        <v>Adición</v>
      </c>
      <c r="N636" t="str">
        <f>VLOOKUP(D636,'Jer-Tip-Emp'!B:F,5,0)</f>
        <v>Adición</v>
      </c>
      <c r="O636" t="str">
        <f>VLOOKUP(D636,'Jer-Tip-Emp'!B:G,6,0)</f>
        <v>Adición</v>
      </c>
    </row>
    <row r="637" spans="1:15" ht="27.5" customHeight="1" x14ac:dyDescent="0.2">
      <c r="A637">
        <v>2026</v>
      </c>
      <c r="B637" t="s">
        <v>599</v>
      </c>
      <c r="C637" t="s">
        <v>594</v>
      </c>
      <c r="D637" s="19" t="s">
        <v>184</v>
      </c>
      <c r="E637" s="18" t="s">
        <v>162</v>
      </c>
      <c r="F637" s="18">
        <v>3</v>
      </c>
      <c r="G637" s="20">
        <v>80700</v>
      </c>
      <c r="H637" s="18">
        <v>0</v>
      </c>
      <c r="I637" s="18">
        <v>0</v>
      </c>
      <c r="J637" s="8">
        <f t="shared" si="27"/>
        <v>80700</v>
      </c>
      <c r="K637" s="10">
        <f t="shared" si="28"/>
        <v>1</v>
      </c>
      <c r="L637" s="17">
        <f t="shared" si="29"/>
        <v>0</v>
      </c>
      <c r="M637" t="str">
        <f>VLOOKUP(D637,'Jer-Tip-Emp'!B:E,4,0)</f>
        <v>Combos personales</v>
      </c>
      <c r="N637" t="str">
        <f>VLOOKUP(D637,'Jer-Tip-Emp'!B:F,5,0)</f>
        <v>Personal</v>
      </c>
      <c r="O637" t="str">
        <f>VLOOKUP(D637,'Jer-Tip-Emp'!B:G,6,0)</f>
        <v>Caja</v>
      </c>
    </row>
    <row r="638" spans="1:15" ht="27.5" hidden="1" customHeight="1" x14ac:dyDescent="0.2">
      <c r="A638">
        <v>2026</v>
      </c>
      <c r="B638" t="s">
        <v>599</v>
      </c>
      <c r="C638" t="s">
        <v>594</v>
      </c>
      <c r="D638" s="19" t="s">
        <v>444</v>
      </c>
      <c r="E638" s="18" t="s">
        <v>562</v>
      </c>
      <c r="F638" s="18">
        <v>3</v>
      </c>
      <c r="G638" s="20">
        <v>6000</v>
      </c>
      <c r="H638" s="18">
        <v>0</v>
      </c>
      <c r="I638" s="20">
        <v>4830</v>
      </c>
      <c r="J638" s="8">
        <f t="shared" si="27"/>
        <v>1170</v>
      </c>
      <c r="K638" s="10">
        <f t="shared" si="28"/>
        <v>0.19500000000000001</v>
      </c>
      <c r="L638" s="17">
        <f t="shared" si="29"/>
        <v>0</v>
      </c>
      <c r="M638" t="str">
        <f>VLOOKUP(D638,'Jer-Tip-Emp'!B:E,4,0)</f>
        <v>Bebidas</v>
      </c>
      <c r="N638" t="str">
        <f>VLOOKUP(D638,'Jer-Tip-Emp'!B:F,5,0)</f>
        <v>Bebidas Cambio de bebida</v>
      </c>
      <c r="O638" t="str">
        <f>VLOOKUP(D638,'Jer-Tip-Emp'!B:G,6,0)</f>
        <v>Bebidas</v>
      </c>
    </row>
    <row r="639" spans="1:15" ht="27.5" customHeight="1" x14ac:dyDescent="0.2">
      <c r="A639">
        <v>2026</v>
      </c>
      <c r="B639" t="s">
        <v>599</v>
      </c>
      <c r="C639" t="s">
        <v>594</v>
      </c>
      <c r="D639" s="19" t="s">
        <v>313</v>
      </c>
      <c r="E639" s="18" t="s">
        <v>540</v>
      </c>
      <c r="F639" s="18">
        <v>3</v>
      </c>
      <c r="G639" s="18">
        <v>0</v>
      </c>
      <c r="H639" s="18">
        <v>0</v>
      </c>
      <c r="I639" s="20">
        <v>16473</v>
      </c>
      <c r="J639" s="8">
        <f t="shared" si="27"/>
        <v>-16473</v>
      </c>
      <c r="K639" s="10">
        <f t="shared" si="28"/>
        <v>0</v>
      </c>
      <c r="L639" s="17">
        <f t="shared" si="29"/>
        <v>0</v>
      </c>
      <c r="M639" t="str">
        <f>VLOOKUP(D639,'Jer-Tip-Emp'!B:E,4,0)</f>
        <v>Arma tu plato</v>
      </c>
      <c r="N639" t="str">
        <f>VLOOKUP(D639,'Jer-Tip-Emp'!B:F,5,0)</f>
        <v>Personal</v>
      </c>
      <c r="O639" t="str">
        <f>VLOOKUP(D639,'Jer-Tip-Emp'!B:G,6,0)</f>
        <v>Caja</v>
      </c>
    </row>
    <row r="640" spans="1:15" ht="27.5" hidden="1" customHeight="1" x14ac:dyDescent="0.2">
      <c r="A640">
        <v>2026</v>
      </c>
      <c r="B640" t="s">
        <v>599</v>
      </c>
      <c r="C640" t="s">
        <v>594</v>
      </c>
      <c r="D640" s="19" t="s">
        <v>282</v>
      </c>
      <c r="E640" s="18" t="s">
        <v>19</v>
      </c>
      <c r="F640" s="18">
        <v>3</v>
      </c>
      <c r="G640" s="20">
        <v>23700</v>
      </c>
      <c r="H640" s="18">
        <v>0</v>
      </c>
      <c r="I640" s="20">
        <v>12294</v>
      </c>
      <c r="J640" s="8">
        <f t="shared" si="27"/>
        <v>11406</v>
      </c>
      <c r="K640" s="10">
        <f t="shared" si="28"/>
        <v>0.48126582278481012</v>
      </c>
      <c r="L640" s="17">
        <f t="shared" si="29"/>
        <v>0</v>
      </c>
      <c r="M640" t="str">
        <f>VLOOKUP(D640,'Jer-Tip-Emp'!B:E,4,0)</f>
        <v>Adición</v>
      </c>
      <c r="N640" t="str">
        <f>VLOOKUP(D640,'Jer-Tip-Emp'!B:F,5,0)</f>
        <v>Adición</v>
      </c>
      <c r="O640" t="str">
        <f>VLOOKUP(D640,'Jer-Tip-Emp'!B:G,6,0)</f>
        <v>Adición</v>
      </c>
    </row>
    <row r="641" spans="1:15" ht="27.5" hidden="1" customHeight="1" x14ac:dyDescent="0.2">
      <c r="A641">
        <v>2026</v>
      </c>
      <c r="B641" t="s">
        <v>599</v>
      </c>
      <c r="C641" t="s">
        <v>594</v>
      </c>
      <c r="D641" s="19" t="s">
        <v>350</v>
      </c>
      <c r="E641" s="18" t="s">
        <v>66</v>
      </c>
      <c r="F641" s="18">
        <v>2</v>
      </c>
      <c r="G641" s="20">
        <v>11800</v>
      </c>
      <c r="H641" s="18">
        <v>0</v>
      </c>
      <c r="I641" s="20">
        <v>3120</v>
      </c>
      <c r="J641" s="8">
        <f t="shared" si="27"/>
        <v>8680</v>
      </c>
      <c r="K641" s="10">
        <f t="shared" si="28"/>
        <v>0.735593220338983</v>
      </c>
      <c r="L641" s="17">
        <f t="shared" si="29"/>
        <v>0</v>
      </c>
      <c r="M641" t="str">
        <f>VLOOKUP(D641,'Jer-Tip-Emp'!B:E,4,0)</f>
        <v>Bebidas</v>
      </c>
      <c r="N641" t="str">
        <f>VLOOKUP(D641,'Jer-Tip-Emp'!B:F,5,0)</f>
        <v>Bebidas</v>
      </c>
      <c r="O641" t="str">
        <f>VLOOKUP(D641,'Jer-Tip-Emp'!B:G,6,0)</f>
        <v>Bebidas</v>
      </c>
    </row>
    <row r="642" spans="1:15" ht="27.5" hidden="1" customHeight="1" x14ac:dyDescent="0.2">
      <c r="A642">
        <v>2026</v>
      </c>
      <c r="B642" t="s">
        <v>599</v>
      </c>
      <c r="C642" t="s">
        <v>594</v>
      </c>
      <c r="D642" s="19" t="s">
        <v>296</v>
      </c>
      <c r="E642" s="18" t="s">
        <v>22</v>
      </c>
      <c r="F642" s="18">
        <v>2</v>
      </c>
      <c r="G642" s="20">
        <v>17800</v>
      </c>
      <c r="H642" s="18">
        <v>0</v>
      </c>
      <c r="I642" s="20">
        <v>1378</v>
      </c>
      <c r="J642" s="8">
        <f t="shared" ref="J642:J705" si="30">G642-I642</f>
        <v>16422</v>
      </c>
      <c r="K642" s="10">
        <f t="shared" ref="K642:K705" si="31">IFERROR(J642/G642,0)</f>
        <v>0.9225842696629214</v>
      </c>
      <c r="L642" s="17">
        <f t="shared" ref="L642:L705" si="32">IFERROR((H642/G642)*-1,0)</f>
        <v>0</v>
      </c>
      <c r="M642" t="str">
        <f>VLOOKUP(D642,'Jer-Tip-Emp'!B:E,4,0)</f>
        <v>Adición</v>
      </c>
      <c r="N642" t="str">
        <f>VLOOKUP(D642,'Jer-Tip-Emp'!B:F,5,0)</f>
        <v>Adición</v>
      </c>
      <c r="O642" t="str">
        <f>VLOOKUP(D642,'Jer-Tip-Emp'!B:G,6,0)</f>
        <v>Adición</v>
      </c>
    </row>
    <row r="643" spans="1:15" ht="27.5" customHeight="1" x14ac:dyDescent="0.2">
      <c r="A643">
        <v>2026</v>
      </c>
      <c r="B643" t="s">
        <v>599</v>
      </c>
      <c r="C643" t="s">
        <v>594</v>
      </c>
      <c r="D643" s="19" t="s">
        <v>389</v>
      </c>
      <c r="E643" s="18" t="s">
        <v>541</v>
      </c>
      <c r="F643" s="18">
        <v>2</v>
      </c>
      <c r="G643" s="18">
        <v>0</v>
      </c>
      <c r="H643" s="18">
        <v>0</v>
      </c>
      <c r="I643" s="20">
        <v>10934</v>
      </c>
      <c r="J643" s="8">
        <f t="shared" si="30"/>
        <v>-10934</v>
      </c>
      <c r="K643" s="10">
        <f t="shared" si="31"/>
        <v>0</v>
      </c>
      <c r="L643" s="17">
        <f t="shared" si="32"/>
        <v>0</v>
      </c>
      <c r="M643" t="str">
        <f>VLOOKUP(D643,'Jer-Tip-Emp'!B:E,4,0)</f>
        <v>Arma tu plato</v>
      </c>
      <c r="N643" t="str">
        <f>VLOOKUP(D643,'Jer-Tip-Emp'!B:F,5,0)</f>
        <v>Personal</v>
      </c>
      <c r="O643" t="str">
        <f>VLOOKUP(D643,'Jer-Tip-Emp'!B:G,6,0)</f>
        <v>Caja</v>
      </c>
    </row>
    <row r="644" spans="1:15" ht="27.5" hidden="1" customHeight="1" x14ac:dyDescent="0.2">
      <c r="A644">
        <v>2026</v>
      </c>
      <c r="B644" t="s">
        <v>599</v>
      </c>
      <c r="C644" t="s">
        <v>594</v>
      </c>
      <c r="D644" s="19" t="s">
        <v>426</v>
      </c>
      <c r="E644" s="18" t="s">
        <v>561</v>
      </c>
      <c r="F644" s="18">
        <v>2</v>
      </c>
      <c r="G644" s="20">
        <v>4000</v>
      </c>
      <c r="H644" s="18">
        <v>0</v>
      </c>
      <c r="I644" s="20">
        <v>3032</v>
      </c>
      <c r="J644" s="8">
        <f t="shared" si="30"/>
        <v>968</v>
      </c>
      <c r="K644" s="10">
        <f t="shared" si="31"/>
        <v>0.24199999999999999</v>
      </c>
      <c r="L644" s="17">
        <f t="shared" si="32"/>
        <v>0</v>
      </c>
      <c r="M644" t="str">
        <f>VLOOKUP(D644,'Jer-Tip-Emp'!B:E,4,0)</f>
        <v>Bebidas</v>
      </c>
      <c r="N644" t="str">
        <f>VLOOKUP(D644,'Jer-Tip-Emp'!B:F,5,0)</f>
        <v>Bebidas Cambio de bebida</v>
      </c>
      <c r="O644" t="str">
        <f>VLOOKUP(D644,'Jer-Tip-Emp'!B:G,6,0)</f>
        <v>Bebidas</v>
      </c>
    </row>
    <row r="645" spans="1:15" ht="27.5" customHeight="1" x14ac:dyDescent="0.2">
      <c r="A645">
        <v>2026</v>
      </c>
      <c r="B645" t="s">
        <v>599</v>
      </c>
      <c r="C645" t="s">
        <v>594</v>
      </c>
      <c r="D645" s="19" t="s">
        <v>333</v>
      </c>
      <c r="E645" s="18" t="s">
        <v>547</v>
      </c>
      <c r="F645" s="18">
        <v>2</v>
      </c>
      <c r="G645" s="18">
        <v>0</v>
      </c>
      <c r="H645" s="18">
        <v>0</v>
      </c>
      <c r="I645" s="20">
        <v>6644</v>
      </c>
      <c r="J645" s="8">
        <f t="shared" si="30"/>
        <v>-6644</v>
      </c>
      <c r="K645" s="10">
        <f t="shared" si="31"/>
        <v>0</v>
      </c>
      <c r="L645" s="17">
        <f t="shared" si="32"/>
        <v>0</v>
      </c>
      <c r="M645" t="str">
        <f>VLOOKUP(D645,'Jer-Tip-Emp'!B:E,4,0)</f>
        <v>Arma tu plato</v>
      </c>
      <c r="N645" t="str">
        <f>VLOOKUP(D645,'Jer-Tip-Emp'!B:F,5,0)</f>
        <v>Personal</v>
      </c>
      <c r="O645" t="str">
        <f>VLOOKUP(D645,'Jer-Tip-Emp'!B:G,6,0)</f>
        <v>Caja</v>
      </c>
    </row>
    <row r="646" spans="1:15" ht="27.5" hidden="1" customHeight="1" x14ac:dyDescent="0.2">
      <c r="A646">
        <v>2026</v>
      </c>
      <c r="B646" t="s">
        <v>599</v>
      </c>
      <c r="C646" t="s">
        <v>594</v>
      </c>
      <c r="D646" s="19" t="s">
        <v>403</v>
      </c>
      <c r="E646" s="18" t="s">
        <v>45</v>
      </c>
      <c r="F646" s="18">
        <v>2</v>
      </c>
      <c r="G646" s="20">
        <v>23800</v>
      </c>
      <c r="H646" s="18">
        <v>0</v>
      </c>
      <c r="I646" s="20">
        <v>9002</v>
      </c>
      <c r="J646" s="8">
        <f t="shared" si="30"/>
        <v>14798</v>
      </c>
      <c r="K646" s="10">
        <f t="shared" si="31"/>
        <v>0.62176470588235289</v>
      </c>
      <c r="L646" s="17">
        <f t="shared" si="32"/>
        <v>0</v>
      </c>
      <c r="M646" t="str">
        <f>VLOOKUP(D646,'Jer-Tip-Emp'!B:E,4,0)</f>
        <v>Bebidas</v>
      </c>
      <c r="N646" t="str">
        <f>VLOOKUP(D646,'Jer-Tip-Emp'!B:F,5,0)</f>
        <v>Bebidas</v>
      </c>
      <c r="O646" t="str">
        <f>VLOOKUP(D646,'Jer-Tip-Emp'!B:G,6,0)</f>
        <v>Bebidas</v>
      </c>
    </row>
    <row r="647" spans="1:15" ht="27.5" customHeight="1" x14ac:dyDescent="0.2">
      <c r="A647">
        <v>2026</v>
      </c>
      <c r="B647" t="s">
        <v>599</v>
      </c>
      <c r="C647" t="s">
        <v>594</v>
      </c>
      <c r="D647" s="19" t="s">
        <v>470</v>
      </c>
      <c r="E647" s="18" t="s">
        <v>550</v>
      </c>
      <c r="F647" s="18">
        <v>2</v>
      </c>
      <c r="G647" s="18">
        <v>0</v>
      </c>
      <c r="H647" s="18">
        <v>0</v>
      </c>
      <c r="I647" s="20">
        <v>6194</v>
      </c>
      <c r="J647" s="8">
        <f t="shared" si="30"/>
        <v>-6194</v>
      </c>
      <c r="K647" s="10">
        <f t="shared" si="31"/>
        <v>0</v>
      </c>
      <c r="L647" s="17">
        <f t="shared" si="32"/>
        <v>0</v>
      </c>
      <c r="M647" t="str">
        <f>VLOOKUP(D647,'Jer-Tip-Emp'!B:E,4,0)</f>
        <v>Arma tu plato</v>
      </c>
      <c r="N647" t="str">
        <f>VLOOKUP(D647,'Jer-Tip-Emp'!B:F,5,0)</f>
        <v>Personal</v>
      </c>
      <c r="O647" t="str">
        <f>VLOOKUP(D647,'Jer-Tip-Emp'!B:G,6,0)</f>
        <v>Caja</v>
      </c>
    </row>
    <row r="648" spans="1:15" ht="27.5" hidden="1" customHeight="1" x14ac:dyDescent="0.2">
      <c r="A648">
        <v>2026</v>
      </c>
      <c r="B648" t="s">
        <v>599</v>
      </c>
      <c r="C648" t="s">
        <v>594</v>
      </c>
      <c r="D648" s="19" t="s">
        <v>482</v>
      </c>
      <c r="E648" s="18" t="s">
        <v>574</v>
      </c>
      <c r="F648" s="18">
        <v>2</v>
      </c>
      <c r="G648" s="20">
        <v>11800</v>
      </c>
      <c r="H648" s="18">
        <v>0</v>
      </c>
      <c r="I648" s="20">
        <v>3390</v>
      </c>
      <c r="J648" s="8">
        <f t="shared" si="30"/>
        <v>8410</v>
      </c>
      <c r="K648" s="10">
        <f t="shared" si="31"/>
        <v>0.71271186440677969</v>
      </c>
      <c r="L648" s="17">
        <f t="shared" si="32"/>
        <v>0</v>
      </c>
      <c r="M648" t="str">
        <f>VLOOKUP(D648,'Jer-Tip-Emp'!B:E,4,0)</f>
        <v>Bebidas</v>
      </c>
      <c r="N648" t="str">
        <f>VLOOKUP(D648,'Jer-Tip-Emp'!B:F,5,0)</f>
        <v>Bebidas Adiciona tu bebida</v>
      </c>
      <c r="O648" t="str">
        <f>VLOOKUP(D648,'Jer-Tip-Emp'!B:G,6,0)</f>
        <v>Bebidas</v>
      </c>
    </row>
    <row r="649" spans="1:15" ht="27.5" hidden="1" customHeight="1" x14ac:dyDescent="0.2">
      <c r="A649">
        <v>2026</v>
      </c>
      <c r="B649" t="s">
        <v>599</v>
      </c>
      <c r="C649" t="s">
        <v>594</v>
      </c>
      <c r="D649" s="19" t="s">
        <v>432</v>
      </c>
      <c r="E649" s="18" t="s">
        <v>576</v>
      </c>
      <c r="F649" s="18">
        <v>2</v>
      </c>
      <c r="G649" s="20">
        <v>4000</v>
      </c>
      <c r="H649" s="18">
        <v>0</v>
      </c>
      <c r="I649" s="20">
        <v>2736</v>
      </c>
      <c r="J649" s="8">
        <f t="shared" si="30"/>
        <v>1264</v>
      </c>
      <c r="K649" s="10">
        <f t="shared" si="31"/>
        <v>0.316</v>
      </c>
      <c r="L649" s="17">
        <f t="shared" si="32"/>
        <v>0</v>
      </c>
      <c r="M649" t="str">
        <f>VLOOKUP(D649,'Jer-Tip-Emp'!B:E,4,0)</f>
        <v>Bebidas</v>
      </c>
      <c r="N649" t="str">
        <f>VLOOKUP(D649,'Jer-Tip-Emp'!B:F,5,0)</f>
        <v>Bebidas Cambio de bebida</v>
      </c>
      <c r="O649" t="str">
        <f>VLOOKUP(D649,'Jer-Tip-Emp'!B:G,6,0)</f>
        <v>Bebidas</v>
      </c>
    </row>
    <row r="650" spans="1:15" ht="27.5" hidden="1" customHeight="1" x14ac:dyDescent="0.2">
      <c r="A650">
        <v>2026</v>
      </c>
      <c r="B650" t="s">
        <v>599</v>
      </c>
      <c r="C650" t="s">
        <v>594</v>
      </c>
      <c r="D650" s="19" t="s">
        <v>445</v>
      </c>
      <c r="E650" s="18" t="s">
        <v>570</v>
      </c>
      <c r="F650" s="18">
        <v>2</v>
      </c>
      <c r="G650" s="20">
        <v>4000</v>
      </c>
      <c r="H650" s="18">
        <v>0</v>
      </c>
      <c r="I650" s="20">
        <v>3422</v>
      </c>
      <c r="J650" s="8">
        <f t="shared" si="30"/>
        <v>578</v>
      </c>
      <c r="K650" s="10">
        <f t="shared" si="31"/>
        <v>0.14449999999999999</v>
      </c>
      <c r="L650" s="17">
        <f t="shared" si="32"/>
        <v>0</v>
      </c>
      <c r="M650" t="str">
        <f>VLOOKUP(D650,'Jer-Tip-Emp'!B:E,4,0)</f>
        <v>Bebidas</v>
      </c>
      <c r="N650" t="str">
        <f>VLOOKUP(D650,'Jer-Tip-Emp'!B:F,5,0)</f>
        <v>Bebidas Cambio de bebida</v>
      </c>
      <c r="O650" t="str">
        <f>VLOOKUP(D650,'Jer-Tip-Emp'!B:G,6,0)</f>
        <v>Bebidas</v>
      </c>
    </row>
    <row r="651" spans="1:15" ht="27.5" hidden="1" customHeight="1" x14ac:dyDescent="0.2">
      <c r="A651">
        <v>2026</v>
      </c>
      <c r="B651" t="s">
        <v>599</v>
      </c>
      <c r="C651" t="s">
        <v>594</v>
      </c>
      <c r="D651" s="19" t="s">
        <v>338</v>
      </c>
      <c r="E651" s="18" t="s">
        <v>579</v>
      </c>
      <c r="F651" s="18">
        <v>1</v>
      </c>
      <c r="G651" s="18">
        <v>800</v>
      </c>
      <c r="H651" s="18">
        <v>0</v>
      </c>
      <c r="I651" s="18">
        <v>321</v>
      </c>
      <c r="J651" s="8">
        <f t="shared" si="30"/>
        <v>479</v>
      </c>
      <c r="K651" s="10">
        <f t="shared" si="31"/>
        <v>0.59875</v>
      </c>
      <c r="L651" s="17">
        <f t="shared" si="32"/>
        <v>0</v>
      </c>
      <c r="M651" t="str">
        <f>VLOOKUP(D651,'Jer-Tip-Emp'!B:E,4,0)</f>
        <v>Adición</v>
      </c>
      <c r="N651" t="str">
        <f>VLOOKUP(D651,'Jer-Tip-Emp'!B:F,5,0)</f>
        <v>Adición</v>
      </c>
      <c r="O651" t="str">
        <f>VLOOKUP(D651,'Jer-Tip-Emp'!B:G,6,0)</f>
        <v>Adición</v>
      </c>
    </row>
    <row r="652" spans="1:15" ht="27.5" hidden="1" customHeight="1" x14ac:dyDescent="0.2">
      <c r="A652">
        <v>2026</v>
      </c>
      <c r="B652" t="s">
        <v>599</v>
      </c>
      <c r="C652" t="s">
        <v>594</v>
      </c>
      <c r="D652" s="19" t="s">
        <v>327</v>
      </c>
      <c r="E652" s="18" t="s">
        <v>44</v>
      </c>
      <c r="F652" s="18">
        <v>1</v>
      </c>
      <c r="G652" s="20">
        <v>5900</v>
      </c>
      <c r="H652" s="18">
        <v>0</v>
      </c>
      <c r="I652" s="20">
        <v>1095</v>
      </c>
      <c r="J652" s="8">
        <f t="shared" si="30"/>
        <v>4805</v>
      </c>
      <c r="K652" s="10">
        <f t="shared" si="31"/>
        <v>0.81440677966101693</v>
      </c>
      <c r="L652" s="17">
        <f t="shared" si="32"/>
        <v>0</v>
      </c>
      <c r="M652" t="str">
        <f>VLOOKUP(D652,'Jer-Tip-Emp'!B:E,4,0)</f>
        <v>Bebidas</v>
      </c>
      <c r="N652" t="str">
        <f>VLOOKUP(D652,'Jer-Tip-Emp'!B:F,5,0)</f>
        <v>Bebidas</v>
      </c>
      <c r="O652" t="str">
        <f>VLOOKUP(D652,'Jer-Tip-Emp'!B:G,6,0)</f>
        <v>Bebidas</v>
      </c>
    </row>
    <row r="653" spans="1:15" ht="27.5" hidden="1" customHeight="1" x14ac:dyDescent="0.2">
      <c r="A653">
        <v>2026</v>
      </c>
      <c r="B653" t="s">
        <v>599</v>
      </c>
      <c r="C653" t="s">
        <v>594</v>
      </c>
      <c r="D653" s="19" t="s">
        <v>310</v>
      </c>
      <c r="E653" s="18" t="s">
        <v>53</v>
      </c>
      <c r="F653" s="18">
        <v>1</v>
      </c>
      <c r="G653" s="20">
        <v>6500</v>
      </c>
      <c r="H653" s="18">
        <v>0</v>
      </c>
      <c r="I653" s="20">
        <v>1695</v>
      </c>
      <c r="J653" s="8">
        <f t="shared" si="30"/>
        <v>4805</v>
      </c>
      <c r="K653" s="10">
        <f t="shared" si="31"/>
        <v>0.73923076923076925</v>
      </c>
      <c r="L653" s="17">
        <f t="shared" si="32"/>
        <v>0</v>
      </c>
      <c r="M653" t="str">
        <f>VLOOKUP(D653,'Jer-Tip-Emp'!B:E,4,0)</f>
        <v>Bebidas</v>
      </c>
      <c r="N653" t="str">
        <f>VLOOKUP(D653,'Jer-Tip-Emp'!B:F,5,0)</f>
        <v>Bebidas</v>
      </c>
      <c r="O653" t="str">
        <f>VLOOKUP(D653,'Jer-Tip-Emp'!B:G,6,0)</f>
        <v>Bebidas</v>
      </c>
    </row>
    <row r="654" spans="1:15" ht="27.5" customHeight="1" x14ac:dyDescent="0.2">
      <c r="A654">
        <v>2026</v>
      </c>
      <c r="B654" t="s">
        <v>599</v>
      </c>
      <c r="C654" t="s">
        <v>594</v>
      </c>
      <c r="D654" s="19" t="s">
        <v>393</v>
      </c>
      <c r="E654" s="18" t="s">
        <v>549</v>
      </c>
      <c r="F654" s="18">
        <v>1</v>
      </c>
      <c r="G654" s="20">
        <v>2000</v>
      </c>
      <c r="H654" s="18">
        <v>0</v>
      </c>
      <c r="I654" s="20">
        <v>2035</v>
      </c>
      <c r="J654" s="8">
        <f t="shared" si="30"/>
        <v>-35</v>
      </c>
      <c r="K654" s="10">
        <f t="shared" si="31"/>
        <v>-1.7500000000000002E-2</v>
      </c>
      <c r="L654" s="17">
        <f t="shared" si="32"/>
        <v>0</v>
      </c>
      <c r="M654" t="str">
        <f>VLOOKUP(D654,'Jer-Tip-Emp'!B:E,4,0)</f>
        <v>Arma tu plato</v>
      </c>
      <c r="N654" t="str">
        <f>VLOOKUP(D654,'Jer-Tip-Emp'!B:F,5,0)</f>
        <v>Personal</v>
      </c>
      <c r="O654" t="str">
        <f>VLOOKUP(D654,'Jer-Tip-Emp'!B:G,6,0)</f>
        <v>Caja</v>
      </c>
    </row>
    <row r="655" spans="1:15" ht="27.5" customHeight="1" x14ac:dyDescent="0.2">
      <c r="A655">
        <v>2026</v>
      </c>
      <c r="B655" t="s">
        <v>599</v>
      </c>
      <c r="C655" t="s">
        <v>594</v>
      </c>
      <c r="D655" s="19" t="s">
        <v>474</v>
      </c>
      <c r="E655" s="18" t="s">
        <v>553</v>
      </c>
      <c r="F655" s="18">
        <v>1</v>
      </c>
      <c r="G655" s="18">
        <v>0</v>
      </c>
      <c r="H655" s="18">
        <v>0</v>
      </c>
      <c r="I655" s="20">
        <v>2849</v>
      </c>
      <c r="J655" s="8">
        <f t="shared" si="30"/>
        <v>-2849</v>
      </c>
      <c r="K655" s="10">
        <f t="shared" si="31"/>
        <v>0</v>
      </c>
      <c r="L655" s="17">
        <f t="shared" si="32"/>
        <v>0</v>
      </c>
      <c r="M655" t="str">
        <f>VLOOKUP(D655,'Jer-Tip-Emp'!B:E,4,0)</f>
        <v>Arma tu plato</v>
      </c>
      <c r="N655" t="str">
        <f>VLOOKUP(D655,'Jer-Tip-Emp'!B:F,5,0)</f>
        <v>Personal</v>
      </c>
      <c r="O655" t="str">
        <f>VLOOKUP(D655,'Jer-Tip-Emp'!B:G,6,0)</f>
        <v>Caja</v>
      </c>
    </row>
    <row r="656" spans="1:15" ht="27.5" customHeight="1" x14ac:dyDescent="0.2">
      <c r="A656">
        <v>2026</v>
      </c>
      <c r="B656" t="s">
        <v>599</v>
      </c>
      <c r="C656" t="s">
        <v>594</v>
      </c>
      <c r="D656" s="19" t="s">
        <v>212</v>
      </c>
      <c r="E656" s="18" t="s">
        <v>160</v>
      </c>
      <c r="F656" s="18">
        <v>1</v>
      </c>
      <c r="G656" s="20">
        <v>38900</v>
      </c>
      <c r="H656" s="18">
        <v>0</v>
      </c>
      <c r="I656" s="20">
        <v>11253</v>
      </c>
      <c r="J656" s="8">
        <f t="shared" si="30"/>
        <v>27647</v>
      </c>
      <c r="K656" s="10">
        <f t="shared" si="31"/>
        <v>0.71071979434447297</v>
      </c>
      <c r="L656" s="17">
        <f t="shared" si="32"/>
        <v>0</v>
      </c>
      <c r="M656" t="str">
        <f>VLOOKUP(D656,'Jer-Tip-Emp'!B:E,4,0)</f>
        <v>Combos personales</v>
      </c>
      <c r="N656" t="str">
        <f>VLOOKUP(D656,'Jer-Tip-Emp'!B:F,5,0)</f>
        <v>Personal</v>
      </c>
      <c r="O656" t="str">
        <f>VLOOKUP(D656,'Jer-Tip-Emp'!B:G,6,0)</f>
        <v>Combo</v>
      </c>
    </row>
    <row r="657" spans="1:15" ht="27.5" hidden="1" customHeight="1" x14ac:dyDescent="0.2">
      <c r="A657">
        <v>2026</v>
      </c>
      <c r="B657" t="s">
        <v>599</v>
      </c>
      <c r="C657" t="s">
        <v>594</v>
      </c>
      <c r="D657" s="19" t="s">
        <v>465</v>
      </c>
      <c r="E657" s="18" t="s">
        <v>578</v>
      </c>
      <c r="F657" s="18">
        <v>1</v>
      </c>
      <c r="G657" s="20">
        <v>2600</v>
      </c>
      <c r="H657" s="18">
        <v>0</v>
      </c>
      <c r="I657" s="20">
        <v>2239</v>
      </c>
      <c r="J657" s="8">
        <f t="shared" si="30"/>
        <v>361</v>
      </c>
      <c r="K657" s="10">
        <f t="shared" si="31"/>
        <v>0.13884615384615384</v>
      </c>
      <c r="L657" s="17">
        <f t="shared" si="32"/>
        <v>0</v>
      </c>
      <c r="M657" t="str">
        <f>VLOOKUP(D657,'Jer-Tip-Emp'!B:E,4,0)</f>
        <v>Bebidas</v>
      </c>
      <c r="N657" t="str">
        <f>VLOOKUP(D657,'Jer-Tip-Emp'!B:F,5,0)</f>
        <v>Bebidas Cambio de bebida</v>
      </c>
      <c r="O657" t="str">
        <f>VLOOKUP(D657,'Jer-Tip-Emp'!B:G,6,0)</f>
        <v>Bebidas</v>
      </c>
    </row>
    <row r="658" spans="1:15" ht="27.5" hidden="1" customHeight="1" x14ac:dyDescent="0.2">
      <c r="A658">
        <v>2026</v>
      </c>
      <c r="B658" t="s">
        <v>599</v>
      </c>
      <c r="C658" t="s">
        <v>594</v>
      </c>
      <c r="D658" s="19" t="s">
        <v>450</v>
      </c>
      <c r="E658" s="18" t="s">
        <v>565</v>
      </c>
      <c r="F658" s="18">
        <v>1</v>
      </c>
      <c r="G658" s="20">
        <v>2000</v>
      </c>
      <c r="H658" s="18">
        <v>0</v>
      </c>
      <c r="I658" s="20">
        <v>1874</v>
      </c>
      <c r="J658" s="8">
        <f t="shared" si="30"/>
        <v>126</v>
      </c>
      <c r="K658" s="10">
        <f t="shared" si="31"/>
        <v>6.3E-2</v>
      </c>
      <c r="L658" s="17">
        <f t="shared" si="32"/>
        <v>0</v>
      </c>
      <c r="M658" t="str">
        <f>VLOOKUP(D658,'Jer-Tip-Emp'!B:E,4,0)</f>
        <v>Bebidas</v>
      </c>
      <c r="N658" t="str">
        <f>VLOOKUP(D658,'Jer-Tip-Emp'!B:F,5,0)</f>
        <v>Bebidas Cambio de bebida</v>
      </c>
      <c r="O658" t="str">
        <f>VLOOKUP(D658,'Jer-Tip-Emp'!B:G,6,0)</f>
        <v>Bebidas</v>
      </c>
    </row>
    <row r="659" spans="1:15" ht="27.5" hidden="1" customHeight="1" x14ac:dyDescent="0.2">
      <c r="A659">
        <v>2026</v>
      </c>
      <c r="B659" t="s">
        <v>599</v>
      </c>
      <c r="C659" t="s">
        <v>594</v>
      </c>
      <c r="D659" s="19" t="s">
        <v>501</v>
      </c>
      <c r="E659" s="18" t="s">
        <v>580</v>
      </c>
      <c r="F659" s="18">
        <v>1</v>
      </c>
      <c r="G659" s="20">
        <v>4900</v>
      </c>
      <c r="H659" s="18">
        <v>0</v>
      </c>
      <c r="I659" s="20">
        <v>1330</v>
      </c>
      <c r="J659" s="8">
        <f t="shared" si="30"/>
        <v>3570</v>
      </c>
      <c r="K659" s="10">
        <f t="shared" si="31"/>
        <v>0.72857142857142854</v>
      </c>
      <c r="L659" s="17">
        <f t="shared" si="32"/>
        <v>0</v>
      </c>
      <c r="M659" t="str">
        <f>VLOOKUP(D659,'Jer-Tip-Emp'!B:E,4,0)</f>
        <v>Bebidas</v>
      </c>
      <c r="N659" t="str">
        <f>VLOOKUP(D659,'Jer-Tip-Emp'!B:F,5,0)</f>
        <v>Bebidas Adiciona tu bebida</v>
      </c>
      <c r="O659" t="str">
        <f>VLOOKUP(D659,'Jer-Tip-Emp'!B:G,6,0)</f>
        <v>Bebidas</v>
      </c>
    </row>
    <row r="660" spans="1:15" ht="27.5" customHeight="1" x14ac:dyDescent="0.2">
      <c r="A660">
        <v>2026</v>
      </c>
      <c r="B660" t="s">
        <v>599</v>
      </c>
      <c r="C660" t="s">
        <v>594</v>
      </c>
      <c r="D660" s="19" t="s">
        <v>287</v>
      </c>
      <c r="E660" s="18" t="s">
        <v>32</v>
      </c>
      <c r="F660" s="18">
        <v>1</v>
      </c>
      <c r="G660" s="20">
        <v>27200</v>
      </c>
      <c r="H660" s="20">
        <v>-9100</v>
      </c>
      <c r="I660" s="18">
        <v>0</v>
      </c>
      <c r="J660" s="8">
        <f t="shared" si="30"/>
        <v>27200</v>
      </c>
      <c r="K660" s="10">
        <f t="shared" si="31"/>
        <v>1</v>
      </c>
      <c r="L660" s="17">
        <f t="shared" si="32"/>
        <v>0.33455882352941174</v>
      </c>
      <c r="M660" t="str">
        <f>VLOOKUP(D660,'Jer-Tip-Emp'!B:E,4,0)</f>
        <v>Arma tu plato</v>
      </c>
      <c r="N660" t="str">
        <f>VLOOKUP(D660,'Jer-Tip-Emp'!B:F,5,0)</f>
        <v>Personal</v>
      </c>
      <c r="O660" t="str">
        <f>VLOOKUP(D660,'Jer-Tip-Emp'!B:G,6,0)</f>
        <v>Caja</v>
      </c>
    </row>
    <row r="661" spans="1:15" ht="27.5" hidden="1" customHeight="1" x14ac:dyDescent="0.2">
      <c r="A661">
        <v>2026</v>
      </c>
      <c r="B661" t="s">
        <v>599</v>
      </c>
      <c r="C661" t="s">
        <v>594</v>
      </c>
      <c r="D661" s="19" t="s">
        <v>351</v>
      </c>
      <c r="E661" s="18" t="s">
        <v>55</v>
      </c>
      <c r="F661" s="18">
        <v>1</v>
      </c>
      <c r="G661" s="20">
        <v>6500</v>
      </c>
      <c r="H661" s="18">
        <v>0</v>
      </c>
      <c r="I661" s="20">
        <v>1448</v>
      </c>
      <c r="J661" s="8">
        <f t="shared" si="30"/>
        <v>5052</v>
      </c>
      <c r="K661" s="10">
        <f t="shared" si="31"/>
        <v>0.77723076923076928</v>
      </c>
      <c r="L661" s="17">
        <f t="shared" si="32"/>
        <v>0</v>
      </c>
      <c r="M661" t="str">
        <f>VLOOKUP(D661,'Jer-Tip-Emp'!B:E,4,0)</f>
        <v>Bebidas</v>
      </c>
      <c r="N661" t="str">
        <f>VLOOKUP(D661,'Jer-Tip-Emp'!B:F,5,0)</f>
        <v>Bebidas</v>
      </c>
      <c r="O661" t="str">
        <f>VLOOKUP(D661,'Jer-Tip-Emp'!B:G,6,0)</f>
        <v>Bebidas</v>
      </c>
    </row>
    <row r="662" spans="1:15" ht="27.5" hidden="1" customHeight="1" x14ac:dyDescent="0.2">
      <c r="A662">
        <v>2026</v>
      </c>
      <c r="B662" t="s">
        <v>599</v>
      </c>
      <c r="C662" t="s">
        <v>594</v>
      </c>
      <c r="D662" s="19" t="s">
        <v>410</v>
      </c>
      <c r="E662" s="18" t="s">
        <v>559</v>
      </c>
      <c r="F662" s="18">
        <v>1</v>
      </c>
      <c r="G662" s="20">
        <v>2600</v>
      </c>
      <c r="H662" s="18">
        <v>0</v>
      </c>
      <c r="I662" s="20">
        <v>2235</v>
      </c>
      <c r="J662" s="8">
        <f t="shared" si="30"/>
        <v>365</v>
      </c>
      <c r="K662" s="10">
        <f t="shared" si="31"/>
        <v>0.14038461538461539</v>
      </c>
      <c r="L662" s="17">
        <f t="shared" si="32"/>
        <v>0</v>
      </c>
      <c r="M662" t="str">
        <f>VLOOKUP(D662,'Jer-Tip-Emp'!B:E,4,0)</f>
        <v>Bebidas</v>
      </c>
      <c r="N662" t="str">
        <f>VLOOKUP(D662,'Jer-Tip-Emp'!B:F,5,0)</f>
        <v>Bebidas Cambio de bebida</v>
      </c>
      <c r="O662" t="str">
        <f>VLOOKUP(D662,'Jer-Tip-Emp'!B:G,6,0)</f>
        <v>Bebidas</v>
      </c>
    </row>
    <row r="663" spans="1:15" ht="27.5" customHeight="1" x14ac:dyDescent="0.2">
      <c r="A663">
        <v>2026</v>
      </c>
      <c r="B663" t="s">
        <v>599</v>
      </c>
      <c r="C663" t="s">
        <v>594</v>
      </c>
      <c r="D663" s="19" t="s">
        <v>322</v>
      </c>
      <c r="E663" s="18" t="s">
        <v>545</v>
      </c>
      <c r="F663" s="18">
        <v>1</v>
      </c>
      <c r="G663" s="20">
        <v>2000</v>
      </c>
      <c r="H663" s="18">
        <v>0</v>
      </c>
      <c r="I663" s="20">
        <v>3108</v>
      </c>
      <c r="J663" s="8">
        <f t="shared" si="30"/>
        <v>-1108</v>
      </c>
      <c r="K663" s="10">
        <f t="shared" si="31"/>
        <v>-0.55400000000000005</v>
      </c>
      <c r="L663" s="17">
        <f t="shared" si="32"/>
        <v>0</v>
      </c>
      <c r="M663" t="str">
        <f>VLOOKUP(D663,'Jer-Tip-Emp'!B:E,4,0)</f>
        <v>Arma tu plato</v>
      </c>
      <c r="N663" t="str">
        <f>VLOOKUP(D663,'Jer-Tip-Emp'!B:F,5,0)</f>
        <v>Personal</v>
      </c>
      <c r="O663" t="str">
        <f>VLOOKUP(D663,'Jer-Tip-Emp'!B:G,6,0)</f>
        <v>Caja</v>
      </c>
    </row>
    <row r="664" spans="1:15" ht="27.5" hidden="1" customHeight="1" x14ac:dyDescent="0.2">
      <c r="A664">
        <v>2026</v>
      </c>
      <c r="B664" t="s">
        <v>599</v>
      </c>
      <c r="C664" t="s">
        <v>594</v>
      </c>
      <c r="D664" s="19" t="s">
        <v>512</v>
      </c>
      <c r="E664" s="18" t="s">
        <v>582</v>
      </c>
      <c r="F664" s="18">
        <v>1</v>
      </c>
      <c r="G664" s="20">
        <v>4900</v>
      </c>
      <c r="H664" s="18">
        <v>0</v>
      </c>
      <c r="I664" s="20">
        <v>1560</v>
      </c>
      <c r="J664" s="8">
        <f t="shared" si="30"/>
        <v>3340</v>
      </c>
      <c r="K664" s="10">
        <f t="shared" si="31"/>
        <v>0.68163265306122445</v>
      </c>
      <c r="L664" s="17">
        <f t="shared" si="32"/>
        <v>0</v>
      </c>
      <c r="M664" t="str">
        <f>VLOOKUP(D664,'Jer-Tip-Emp'!B:E,4,0)</f>
        <v>Bebidas</v>
      </c>
      <c r="N664" t="str">
        <f>VLOOKUP(D664,'Jer-Tip-Emp'!B:F,5,0)</f>
        <v>Bebidas Adiciona tu bebida</v>
      </c>
      <c r="O664" t="str">
        <f>VLOOKUP(D664,'Jer-Tip-Emp'!B:G,6,0)</f>
        <v>Bebidas</v>
      </c>
    </row>
    <row r="665" spans="1:15" ht="27.5" customHeight="1" x14ac:dyDescent="0.2">
      <c r="A665">
        <v>2025</v>
      </c>
      <c r="B665" t="s">
        <v>598</v>
      </c>
      <c r="C665" t="s">
        <v>594</v>
      </c>
      <c r="D665" s="19" t="s">
        <v>207</v>
      </c>
      <c r="E665" s="18" t="s">
        <v>92</v>
      </c>
      <c r="F665" s="18">
        <v>102</v>
      </c>
      <c r="G665" s="20">
        <v>2521350</v>
      </c>
      <c r="H665" s="20">
        <v>-732450</v>
      </c>
      <c r="I665" s="20">
        <v>981954</v>
      </c>
      <c r="J665" s="8">
        <f t="shared" si="30"/>
        <v>1539396</v>
      </c>
      <c r="K665" s="10">
        <f t="shared" si="31"/>
        <v>0.61054435124040696</v>
      </c>
      <c r="L665" s="17">
        <f t="shared" si="32"/>
        <v>0.29049913736688676</v>
      </c>
      <c r="M665" t="str">
        <f>VLOOKUP(D665,'Jer-Tip-Emp'!B:E,4,0)</f>
        <v>Combos personales</v>
      </c>
      <c r="N665" t="str">
        <f>VLOOKUP(D665,'Jer-Tip-Emp'!B:F,5,0)</f>
        <v>Personal</v>
      </c>
      <c r="O665" t="str">
        <f>VLOOKUP(D665,'Jer-Tip-Emp'!B:G,6,0)</f>
        <v>Combo</v>
      </c>
    </row>
    <row r="666" spans="1:15" ht="27.5" hidden="1" customHeight="1" x14ac:dyDescent="0.2">
      <c r="A666">
        <v>2025</v>
      </c>
      <c r="B666" t="s">
        <v>598</v>
      </c>
      <c r="C666" t="s">
        <v>594</v>
      </c>
      <c r="D666" s="19" t="s">
        <v>173</v>
      </c>
      <c r="E666" s="18" t="s">
        <v>542</v>
      </c>
      <c r="F666" s="18">
        <v>99</v>
      </c>
      <c r="G666" s="18">
        <v>0</v>
      </c>
      <c r="H666" s="18">
        <v>0</v>
      </c>
      <c r="I666" s="18">
        <v>0</v>
      </c>
      <c r="J666" s="8">
        <f t="shared" si="30"/>
        <v>0</v>
      </c>
      <c r="K666" s="10">
        <f t="shared" si="31"/>
        <v>0</v>
      </c>
      <c r="L666" s="17">
        <f t="shared" si="32"/>
        <v>0</v>
      </c>
      <c r="M666" t="str">
        <f>VLOOKUP(D666,'Jer-Tip-Emp'!B:E,4,0)</f>
        <v>Bebidas</v>
      </c>
      <c r="N666" t="str">
        <f>VLOOKUP(D666,'Jer-Tip-Emp'!B:F,5,0)</f>
        <v>Bebidas Cambio de bebida</v>
      </c>
      <c r="O666" t="str">
        <f>VLOOKUP(D666,'Jer-Tip-Emp'!B:G,6,0)</f>
        <v>Bebidas</v>
      </c>
    </row>
    <row r="667" spans="1:15" ht="27.5" hidden="1" customHeight="1" x14ac:dyDescent="0.2">
      <c r="A667">
        <v>2025</v>
      </c>
      <c r="B667" t="s">
        <v>598</v>
      </c>
      <c r="C667" t="s">
        <v>594</v>
      </c>
      <c r="D667" s="19" t="s">
        <v>346</v>
      </c>
      <c r="E667" s="18" t="s">
        <v>551</v>
      </c>
      <c r="F667" s="18">
        <v>49</v>
      </c>
      <c r="G667" s="18">
        <v>0</v>
      </c>
      <c r="H667" s="18">
        <v>0</v>
      </c>
      <c r="I667" s="18">
        <v>0</v>
      </c>
      <c r="J667" s="8">
        <f t="shared" si="30"/>
        <v>0</v>
      </c>
      <c r="K667" s="10">
        <f t="shared" si="31"/>
        <v>0</v>
      </c>
      <c r="L667" s="17">
        <f t="shared" si="32"/>
        <v>0</v>
      </c>
      <c r="M667" t="str">
        <f>VLOOKUP(D667,'Jer-Tip-Emp'!B:E,4,0)</f>
        <v>Adición</v>
      </c>
      <c r="N667" t="str">
        <f>VLOOKUP(D667,'Jer-Tip-Emp'!B:F,5,0)</f>
        <v>Adición</v>
      </c>
      <c r="O667" t="str">
        <f>VLOOKUP(D667,'Jer-Tip-Emp'!B:G,6,0)</f>
        <v>Adición</v>
      </c>
    </row>
    <row r="668" spans="1:15" ht="27.5" customHeight="1" x14ac:dyDescent="0.2">
      <c r="A668">
        <v>2025</v>
      </c>
      <c r="B668" t="s">
        <v>598</v>
      </c>
      <c r="C668" t="s">
        <v>594</v>
      </c>
      <c r="D668" s="19" t="s">
        <v>196</v>
      </c>
      <c r="E668" s="18" t="s">
        <v>159</v>
      </c>
      <c r="F668" s="18">
        <v>46</v>
      </c>
      <c r="G668" s="20">
        <v>1236200</v>
      </c>
      <c r="H668" s="20">
        <v>-369200</v>
      </c>
      <c r="I668" s="20">
        <v>437046</v>
      </c>
      <c r="J668" s="8">
        <f t="shared" si="30"/>
        <v>799154</v>
      </c>
      <c r="K668" s="10">
        <f t="shared" si="31"/>
        <v>0.6464601197217279</v>
      </c>
      <c r="L668" s="17">
        <f t="shared" si="32"/>
        <v>0.29865717521436663</v>
      </c>
      <c r="M668" t="str">
        <f>VLOOKUP(D668,'Jer-Tip-Emp'!B:E,4,0)</f>
        <v>Combos personales</v>
      </c>
      <c r="N668" t="str">
        <f>VLOOKUP(D668,'Jer-Tip-Emp'!B:F,5,0)</f>
        <v>Personal</v>
      </c>
      <c r="O668" t="str">
        <f>VLOOKUP(D668,'Jer-Tip-Emp'!B:G,6,0)</f>
        <v>Combo</v>
      </c>
    </row>
    <row r="669" spans="1:15" ht="27.5" customHeight="1" x14ac:dyDescent="0.2">
      <c r="A669">
        <v>2025</v>
      </c>
      <c r="B669" t="s">
        <v>598</v>
      </c>
      <c r="C669" t="s">
        <v>594</v>
      </c>
      <c r="D669" s="19" t="s">
        <v>192</v>
      </c>
      <c r="E669" s="18" t="s">
        <v>165</v>
      </c>
      <c r="F669" s="18">
        <v>28</v>
      </c>
      <c r="G669" s="20">
        <v>1354200</v>
      </c>
      <c r="H669" s="20">
        <v>-418200</v>
      </c>
      <c r="I669" s="18">
        <v>0</v>
      </c>
      <c r="J669" s="8">
        <f t="shared" si="30"/>
        <v>1354200</v>
      </c>
      <c r="K669" s="10">
        <f t="shared" si="31"/>
        <v>1</v>
      </c>
      <c r="L669" s="17">
        <f t="shared" si="32"/>
        <v>0.3088170137350465</v>
      </c>
      <c r="M669" t="str">
        <f>VLOOKUP(D669,'Jer-Tip-Emp'!B:E,4,0)</f>
        <v>Combos para compartir</v>
      </c>
      <c r="N669" t="str">
        <f>VLOOKUP(D669,'Jer-Tip-Emp'!B:F,5,0)</f>
        <v>No Personal</v>
      </c>
      <c r="O669" t="str">
        <f>VLOOKUP(D669,'Jer-Tip-Emp'!B:G,6,0)</f>
        <v>Combo</v>
      </c>
    </row>
    <row r="670" spans="1:15" ht="27.5" customHeight="1" x14ac:dyDescent="0.2">
      <c r="A670">
        <v>2025</v>
      </c>
      <c r="B670" t="s">
        <v>598</v>
      </c>
      <c r="C670" t="s">
        <v>594</v>
      </c>
      <c r="D670" s="19" t="s">
        <v>186</v>
      </c>
      <c r="E670" s="18" t="s">
        <v>95</v>
      </c>
      <c r="F670" s="18">
        <v>25</v>
      </c>
      <c r="G670" s="20">
        <v>752150</v>
      </c>
      <c r="H670" s="20">
        <v>-220350</v>
      </c>
      <c r="I670" s="20">
        <v>239250</v>
      </c>
      <c r="J670" s="8">
        <f t="shared" si="30"/>
        <v>512900</v>
      </c>
      <c r="K670" s="10">
        <f t="shared" si="31"/>
        <v>0.68191185268895826</v>
      </c>
      <c r="L670" s="17">
        <f t="shared" si="32"/>
        <v>0.29296018081499703</v>
      </c>
      <c r="M670" t="str">
        <f>VLOOKUP(D670,'Jer-Tip-Emp'!B:E,4,0)</f>
        <v>Combos personales</v>
      </c>
      <c r="N670" t="str">
        <f>VLOOKUP(D670,'Jer-Tip-Emp'!B:F,5,0)</f>
        <v>Personal</v>
      </c>
      <c r="O670" t="str">
        <f>VLOOKUP(D670,'Jer-Tip-Emp'!B:G,6,0)</f>
        <v>Combo</v>
      </c>
    </row>
    <row r="671" spans="1:15" ht="27.5" hidden="1" customHeight="1" x14ac:dyDescent="0.2">
      <c r="A671">
        <v>2025</v>
      </c>
      <c r="B671" t="s">
        <v>598</v>
      </c>
      <c r="C671" t="s">
        <v>594</v>
      </c>
      <c r="D671" s="19" t="s">
        <v>490</v>
      </c>
      <c r="E671" s="18" t="s">
        <v>554</v>
      </c>
      <c r="F671" s="18">
        <v>17</v>
      </c>
      <c r="G671" s="18">
        <v>0</v>
      </c>
      <c r="H671" s="18">
        <v>0</v>
      </c>
      <c r="I671" s="20">
        <v>34833</v>
      </c>
      <c r="J671" s="8">
        <f t="shared" si="30"/>
        <v>-34833</v>
      </c>
      <c r="K671" s="10">
        <f t="shared" si="31"/>
        <v>0</v>
      </c>
      <c r="L671" s="17">
        <f t="shared" si="32"/>
        <v>0</v>
      </c>
      <c r="M671" t="str">
        <f>VLOOKUP(D671,'Jer-Tip-Emp'!B:E,4,0)</f>
        <v>Adición</v>
      </c>
      <c r="N671" t="str">
        <f>VLOOKUP(D671,'Jer-Tip-Emp'!B:F,5,0)</f>
        <v>Otro</v>
      </c>
      <c r="O671" t="str">
        <f>VLOOKUP(D671,'Jer-Tip-Emp'!B:G,6,0)</f>
        <v>Otro</v>
      </c>
    </row>
    <row r="672" spans="1:15" ht="27.5" hidden="1" customHeight="1" x14ac:dyDescent="0.2">
      <c r="A672">
        <v>2025</v>
      </c>
      <c r="B672" t="s">
        <v>598</v>
      </c>
      <c r="C672" t="s">
        <v>594</v>
      </c>
      <c r="D672" s="19" t="s">
        <v>284</v>
      </c>
      <c r="E672" s="18" t="s">
        <v>106</v>
      </c>
      <c r="F672" s="18">
        <v>17</v>
      </c>
      <c r="G672" s="20">
        <v>219300</v>
      </c>
      <c r="H672" s="18">
        <v>0</v>
      </c>
      <c r="I672" s="20">
        <v>53363</v>
      </c>
      <c r="J672" s="8">
        <f t="shared" si="30"/>
        <v>165937</v>
      </c>
      <c r="K672" s="10">
        <f t="shared" si="31"/>
        <v>0.75666666666666671</v>
      </c>
      <c r="L672" s="17">
        <f t="shared" si="32"/>
        <v>0</v>
      </c>
      <c r="M672" t="str">
        <f>VLOOKUP(D672,'Jer-Tip-Emp'!B:E,4,0)</f>
        <v>Entradas</v>
      </c>
      <c r="N672" t="str">
        <f>VLOOKUP(D672,'Jer-Tip-Emp'!B:F,5,0)</f>
        <v>Otro</v>
      </c>
      <c r="O672" t="str">
        <f>VLOOKUP(D672,'Jer-Tip-Emp'!B:G,6,0)</f>
        <v>Otro</v>
      </c>
    </row>
    <row r="673" spans="1:15" ht="27.5" customHeight="1" x14ac:dyDescent="0.2">
      <c r="A673">
        <v>2025</v>
      </c>
      <c r="B673" t="s">
        <v>598</v>
      </c>
      <c r="C673" t="s">
        <v>594</v>
      </c>
      <c r="D673" s="19" t="s">
        <v>289</v>
      </c>
      <c r="E673" s="18" t="s">
        <v>163</v>
      </c>
      <c r="F673" s="18">
        <v>16</v>
      </c>
      <c r="G673" s="20">
        <v>384400</v>
      </c>
      <c r="H673" s="20">
        <v>-110000</v>
      </c>
      <c r="I673" s="18">
        <v>0</v>
      </c>
      <c r="J673" s="8">
        <f t="shared" si="30"/>
        <v>384400</v>
      </c>
      <c r="K673" s="10">
        <f t="shared" si="31"/>
        <v>1</v>
      </c>
      <c r="L673" s="17">
        <f t="shared" si="32"/>
        <v>0.28616024973985432</v>
      </c>
      <c r="M673" t="str">
        <f>VLOOKUP(D673,'Jer-Tip-Emp'!B:E,4,0)</f>
        <v>Combos personales</v>
      </c>
      <c r="N673" t="str">
        <f>VLOOKUP(D673,'Jer-Tip-Emp'!B:F,5,0)</f>
        <v>Personal</v>
      </c>
      <c r="O673" t="str">
        <f>VLOOKUP(D673,'Jer-Tip-Emp'!B:G,6,0)</f>
        <v>Combo</v>
      </c>
    </row>
    <row r="674" spans="1:15" ht="27.5" hidden="1" customHeight="1" x14ac:dyDescent="0.2">
      <c r="A674">
        <v>2025</v>
      </c>
      <c r="B674" t="s">
        <v>598</v>
      </c>
      <c r="C674" t="s">
        <v>594</v>
      </c>
      <c r="D674" s="19" t="s">
        <v>500</v>
      </c>
      <c r="E674" s="18" t="s">
        <v>546</v>
      </c>
      <c r="F674" s="18">
        <v>13</v>
      </c>
      <c r="G674" s="18">
        <v>0</v>
      </c>
      <c r="H674" s="18">
        <v>0</v>
      </c>
      <c r="I674" s="20">
        <v>11284</v>
      </c>
      <c r="J674" s="8">
        <f t="shared" si="30"/>
        <v>-11284</v>
      </c>
      <c r="K674" s="10">
        <f t="shared" si="31"/>
        <v>0</v>
      </c>
      <c r="L674" s="17">
        <f t="shared" si="32"/>
        <v>0</v>
      </c>
      <c r="M674" t="str">
        <f>VLOOKUP(D674,'Jer-Tip-Emp'!B:E,4,0)</f>
        <v>Bebidas</v>
      </c>
      <c r="N674" t="str">
        <f>VLOOKUP(D674,'Jer-Tip-Emp'!B:F,5,0)</f>
        <v>Bebidas Cambio de bebida</v>
      </c>
      <c r="O674" t="str">
        <f>VLOOKUP(D674,'Jer-Tip-Emp'!B:G,6,0)</f>
        <v>Bebidas</v>
      </c>
    </row>
    <row r="675" spans="1:15" ht="27.5" hidden="1" customHeight="1" x14ac:dyDescent="0.2">
      <c r="A675">
        <v>2025</v>
      </c>
      <c r="B675" t="s">
        <v>598</v>
      </c>
      <c r="C675" t="s">
        <v>594</v>
      </c>
      <c r="D675" s="19" t="s">
        <v>328</v>
      </c>
      <c r="E675" s="18" t="s">
        <v>555</v>
      </c>
      <c r="F675" s="18">
        <v>13</v>
      </c>
      <c r="G675" s="20">
        <v>13000</v>
      </c>
      <c r="H675" s="18">
        <v>0</v>
      </c>
      <c r="I675" s="18">
        <v>767</v>
      </c>
      <c r="J675" s="8">
        <f t="shared" si="30"/>
        <v>12233</v>
      </c>
      <c r="K675" s="10">
        <f t="shared" si="31"/>
        <v>0.94099999999999995</v>
      </c>
      <c r="L675" s="17">
        <f t="shared" si="32"/>
        <v>0</v>
      </c>
      <c r="M675" t="str">
        <f>VLOOKUP(D675,'Jer-Tip-Emp'!B:E,4,0)</f>
        <v>Adición</v>
      </c>
      <c r="N675" t="str">
        <f>VLOOKUP(D675,'Jer-Tip-Emp'!B:F,5,0)</f>
        <v>Adición</v>
      </c>
      <c r="O675" t="str">
        <f>VLOOKUP(D675,'Jer-Tip-Emp'!B:G,6,0)</f>
        <v>Adición</v>
      </c>
    </row>
    <row r="676" spans="1:15" ht="27.5" customHeight="1" x14ac:dyDescent="0.2">
      <c r="A676">
        <v>2025</v>
      </c>
      <c r="B676" t="s">
        <v>598</v>
      </c>
      <c r="C676" t="s">
        <v>594</v>
      </c>
      <c r="D676" s="19" t="s">
        <v>228</v>
      </c>
      <c r="E676" s="18" t="s">
        <v>96</v>
      </c>
      <c r="F676" s="18">
        <v>12</v>
      </c>
      <c r="G676" s="20">
        <v>357700</v>
      </c>
      <c r="H676" s="20">
        <v>-109100</v>
      </c>
      <c r="I676" s="20">
        <v>122964</v>
      </c>
      <c r="J676" s="8">
        <f t="shared" si="30"/>
        <v>234736</v>
      </c>
      <c r="K676" s="10">
        <f t="shared" si="31"/>
        <v>0.65623707017053401</v>
      </c>
      <c r="L676" s="17">
        <f t="shared" si="32"/>
        <v>0.30500419345820518</v>
      </c>
      <c r="M676" t="str">
        <f>VLOOKUP(D676,'Jer-Tip-Emp'!B:E,4,0)</f>
        <v>Combos personales</v>
      </c>
      <c r="N676" t="str">
        <f>VLOOKUP(D676,'Jer-Tip-Emp'!B:F,5,0)</f>
        <v>Personal</v>
      </c>
      <c r="O676" t="str">
        <f>VLOOKUP(D676,'Jer-Tip-Emp'!B:G,6,0)</f>
        <v>Combo</v>
      </c>
    </row>
    <row r="677" spans="1:15" ht="27.5" customHeight="1" x14ac:dyDescent="0.2">
      <c r="A677">
        <v>2025</v>
      </c>
      <c r="B677" t="s">
        <v>598</v>
      </c>
      <c r="C677" t="s">
        <v>594</v>
      </c>
      <c r="D677" s="19" t="s">
        <v>215</v>
      </c>
      <c r="E677" s="18" t="s">
        <v>166</v>
      </c>
      <c r="F677" s="18">
        <v>12</v>
      </c>
      <c r="G677" s="20">
        <v>799200</v>
      </c>
      <c r="H677" s="20">
        <v>-243600</v>
      </c>
      <c r="I677" s="18">
        <v>0</v>
      </c>
      <c r="J677" s="8">
        <f t="shared" si="30"/>
        <v>799200</v>
      </c>
      <c r="K677" s="10">
        <f t="shared" si="31"/>
        <v>1</v>
      </c>
      <c r="L677" s="17">
        <f t="shared" si="32"/>
        <v>0.30480480480480482</v>
      </c>
      <c r="M677" t="str">
        <f>VLOOKUP(D677,'Jer-Tip-Emp'!B:E,4,0)</f>
        <v>Platos mong</v>
      </c>
      <c r="N677" t="str">
        <f>VLOOKUP(D677,'Jer-Tip-Emp'!B:F,5,0)</f>
        <v>No Personal</v>
      </c>
      <c r="O677" t="str">
        <f>VLOOKUP(D677,'Jer-Tip-Emp'!B:G,6,0)</f>
        <v>Caja</v>
      </c>
    </row>
    <row r="678" spans="1:15" ht="27.5" hidden="1" customHeight="1" x14ac:dyDescent="0.2">
      <c r="A678">
        <v>2025</v>
      </c>
      <c r="B678" t="s">
        <v>598</v>
      </c>
      <c r="C678" t="s">
        <v>594</v>
      </c>
      <c r="D678" s="19" t="s">
        <v>342</v>
      </c>
      <c r="E678" s="18" t="s">
        <v>556</v>
      </c>
      <c r="F678" s="18">
        <v>11</v>
      </c>
      <c r="G678" s="20">
        <v>83600</v>
      </c>
      <c r="H678" s="18">
        <v>0</v>
      </c>
      <c r="I678" s="20">
        <v>34188</v>
      </c>
      <c r="J678" s="8">
        <f t="shared" si="30"/>
        <v>49412</v>
      </c>
      <c r="K678" s="10">
        <f t="shared" si="31"/>
        <v>0.59105263157894739</v>
      </c>
      <c r="L678" s="17">
        <f t="shared" si="32"/>
        <v>0</v>
      </c>
      <c r="M678" t="str">
        <f>VLOOKUP(D678,'Jer-Tip-Emp'!B:E,4,0)</f>
        <v>Adición</v>
      </c>
      <c r="N678" t="str">
        <f>VLOOKUP(D678,'Jer-Tip-Emp'!B:F,5,0)</f>
        <v>Adición</v>
      </c>
      <c r="O678" t="str">
        <f>VLOOKUP(D678,'Jer-Tip-Emp'!B:G,6,0)</f>
        <v>Adición</v>
      </c>
    </row>
    <row r="679" spans="1:15" ht="27.5" hidden="1" customHeight="1" x14ac:dyDescent="0.2">
      <c r="A679">
        <v>2025</v>
      </c>
      <c r="B679" t="s">
        <v>598</v>
      </c>
      <c r="C679" t="s">
        <v>594</v>
      </c>
      <c r="D679" s="19" t="s">
        <v>365</v>
      </c>
      <c r="E679" s="18" t="s">
        <v>558</v>
      </c>
      <c r="F679" s="18">
        <v>11</v>
      </c>
      <c r="G679" s="20">
        <v>9900</v>
      </c>
      <c r="H679" s="18">
        <v>0</v>
      </c>
      <c r="I679" s="20">
        <v>17259</v>
      </c>
      <c r="J679" s="8">
        <f t="shared" si="30"/>
        <v>-7359</v>
      </c>
      <c r="K679" s="10">
        <f t="shared" si="31"/>
        <v>-0.74333333333333329</v>
      </c>
      <c r="L679" s="17">
        <f t="shared" si="32"/>
        <v>0</v>
      </c>
      <c r="M679" t="str">
        <f>VLOOKUP(D679,'Jer-Tip-Emp'!B:E,4,0)</f>
        <v>Adición</v>
      </c>
      <c r="N679" t="str">
        <f>VLOOKUP(D679,'Jer-Tip-Emp'!B:F,5,0)</f>
        <v>Otro</v>
      </c>
      <c r="O679" t="str">
        <f>VLOOKUP(D679,'Jer-Tip-Emp'!B:G,6,0)</f>
        <v>Otro</v>
      </c>
    </row>
    <row r="680" spans="1:15" ht="27.5" hidden="1" customHeight="1" x14ac:dyDescent="0.2">
      <c r="A680">
        <v>2025</v>
      </c>
      <c r="B680" t="s">
        <v>598</v>
      </c>
      <c r="C680" t="s">
        <v>594</v>
      </c>
      <c r="D680" s="19" t="s">
        <v>176</v>
      </c>
      <c r="E680" s="18" t="s">
        <v>544</v>
      </c>
      <c r="F680" s="18">
        <v>9</v>
      </c>
      <c r="G680" s="20">
        <v>9000</v>
      </c>
      <c r="H680" s="18">
        <v>0</v>
      </c>
      <c r="I680" s="20">
        <v>17505</v>
      </c>
      <c r="J680" s="8">
        <f t="shared" si="30"/>
        <v>-8505</v>
      </c>
      <c r="K680" s="10">
        <f t="shared" si="31"/>
        <v>-0.94499999999999995</v>
      </c>
      <c r="L680" s="17">
        <f t="shared" si="32"/>
        <v>0</v>
      </c>
      <c r="M680" t="str">
        <f>VLOOKUP(D680,'Jer-Tip-Emp'!B:E,4,0)</f>
        <v>Bebidas</v>
      </c>
      <c r="N680" t="str">
        <f>VLOOKUP(D680,'Jer-Tip-Emp'!B:F,5,0)</f>
        <v>Bebidas Cambio de bebida</v>
      </c>
      <c r="O680" t="str">
        <f>VLOOKUP(D680,'Jer-Tip-Emp'!B:G,6,0)</f>
        <v>Bebidas</v>
      </c>
    </row>
    <row r="681" spans="1:15" ht="27.5" hidden="1" customHeight="1" x14ac:dyDescent="0.2">
      <c r="A681">
        <v>2025</v>
      </c>
      <c r="B681" t="s">
        <v>598</v>
      </c>
      <c r="C681" t="s">
        <v>594</v>
      </c>
      <c r="D681" s="19" t="s">
        <v>438</v>
      </c>
      <c r="E681" s="18" t="s">
        <v>563</v>
      </c>
      <c r="F681" s="18">
        <v>7</v>
      </c>
      <c r="G681" s="20">
        <v>53200</v>
      </c>
      <c r="H681" s="18">
        <v>0</v>
      </c>
      <c r="I681" s="20">
        <v>19943</v>
      </c>
      <c r="J681" s="8">
        <f t="shared" si="30"/>
        <v>33257</v>
      </c>
      <c r="K681" s="10">
        <f t="shared" si="31"/>
        <v>0.62513157894736837</v>
      </c>
      <c r="L681" s="17">
        <f t="shared" si="32"/>
        <v>0</v>
      </c>
      <c r="M681" t="str">
        <f>VLOOKUP(D681,'Jer-Tip-Emp'!B:E,4,0)</f>
        <v>Adición</v>
      </c>
      <c r="N681" t="str">
        <f>VLOOKUP(D681,'Jer-Tip-Emp'!B:F,5,0)</f>
        <v>Adición</v>
      </c>
      <c r="O681" t="str">
        <f>VLOOKUP(D681,'Jer-Tip-Emp'!B:G,6,0)</f>
        <v>Adición</v>
      </c>
    </row>
    <row r="682" spans="1:15" ht="27.5" hidden="1" customHeight="1" x14ac:dyDescent="0.2">
      <c r="A682">
        <v>2025</v>
      </c>
      <c r="B682" t="s">
        <v>598</v>
      </c>
      <c r="C682" t="s">
        <v>594</v>
      </c>
      <c r="D682" s="19" t="s">
        <v>400</v>
      </c>
      <c r="E682" s="18" t="s">
        <v>564</v>
      </c>
      <c r="F682" s="18">
        <v>6</v>
      </c>
      <c r="G682" s="20">
        <v>28800</v>
      </c>
      <c r="H682" s="18">
        <v>0</v>
      </c>
      <c r="I682" s="20">
        <v>7692</v>
      </c>
      <c r="J682" s="8">
        <f t="shared" si="30"/>
        <v>21108</v>
      </c>
      <c r="K682" s="10">
        <f t="shared" si="31"/>
        <v>0.73291666666666666</v>
      </c>
      <c r="L682" s="17">
        <f t="shared" si="32"/>
        <v>0</v>
      </c>
      <c r="M682" t="str">
        <f>VLOOKUP(D682,'Jer-Tip-Emp'!B:E,4,0)</f>
        <v>Adición</v>
      </c>
      <c r="N682" t="str">
        <f>VLOOKUP(D682,'Jer-Tip-Emp'!B:F,5,0)</f>
        <v>Adición</v>
      </c>
      <c r="O682" t="str">
        <f>VLOOKUP(D682,'Jer-Tip-Emp'!B:G,6,0)</f>
        <v>Adición</v>
      </c>
    </row>
    <row r="683" spans="1:15" ht="27.5" hidden="1" customHeight="1" x14ac:dyDescent="0.2">
      <c r="A683">
        <v>2025</v>
      </c>
      <c r="B683" t="s">
        <v>598</v>
      </c>
      <c r="C683" t="s">
        <v>594</v>
      </c>
      <c r="D683" s="19" t="s">
        <v>410</v>
      </c>
      <c r="E683" s="18" t="s">
        <v>559</v>
      </c>
      <c r="F683" s="18">
        <v>6</v>
      </c>
      <c r="G683" s="20">
        <v>15600</v>
      </c>
      <c r="H683" s="18">
        <v>0</v>
      </c>
      <c r="I683" s="20">
        <v>13410</v>
      </c>
      <c r="J683" s="8">
        <f t="shared" si="30"/>
        <v>2190</v>
      </c>
      <c r="K683" s="10">
        <f t="shared" si="31"/>
        <v>0.14038461538461539</v>
      </c>
      <c r="L683" s="17">
        <f t="shared" si="32"/>
        <v>0</v>
      </c>
      <c r="M683" t="str">
        <f>VLOOKUP(D683,'Jer-Tip-Emp'!B:E,4,0)</f>
        <v>Bebidas</v>
      </c>
      <c r="N683" t="str">
        <f>VLOOKUP(D683,'Jer-Tip-Emp'!B:F,5,0)</f>
        <v>Bebidas Cambio de bebida</v>
      </c>
      <c r="O683" t="str">
        <f>VLOOKUP(D683,'Jer-Tip-Emp'!B:G,6,0)</f>
        <v>Bebidas</v>
      </c>
    </row>
    <row r="684" spans="1:15" ht="27.5" hidden="1" customHeight="1" x14ac:dyDescent="0.2">
      <c r="A684">
        <v>2025</v>
      </c>
      <c r="B684" t="s">
        <v>598</v>
      </c>
      <c r="C684" t="s">
        <v>594</v>
      </c>
      <c r="D684" s="19" t="s">
        <v>348</v>
      </c>
      <c r="E684" s="18" t="s">
        <v>567</v>
      </c>
      <c r="F684" s="18">
        <v>5</v>
      </c>
      <c r="G684" s="20">
        <v>40000</v>
      </c>
      <c r="H684" s="18">
        <v>0</v>
      </c>
      <c r="I684" s="20">
        <v>8735</v>
      </c>
      <c r="J684" s="8">
        <f t="shared" si="30"/>
        <v>31265</v>
      </c>
      <c r="K684" s="10">
        <f t="shared" si="31"/>
        <v>0.78162500000000001</v>
      </c>
      <c r="L684" s="17">
        <f t="shared" si="32"/>
        <v>0</v>
      </c>
      <c r="M684" t="str">
        <f>VLOOKUP(D684,'Jer-Tip-Emp'!B:E,4,0)</f>
        <v>Adición</v>
      </c>
      <c r="N684" t="str">
        <f>VLOOKUP(D684,'Jer-Tip-Emp'!B:F,5,0)</f>
        <v>Adición</v>
      </c>
      <c r="O684" t="str">
        <f>VLOOKUP(D684,'Jer-Tip-Emp'!B:G,6,0)</f>
        <v>Adición</v>
      </c>
    </row>
    <row r="685" spans="1:15" ht="27.5" hidden="1" customHeight="1" x14ac:dyDescent="0.2">
      <c r="A685">
        <v>2025</v>
      </c>
      <c r="B685" t="s">
        <v>598</v>
      </c>
      <c r="C685" t="s">
        <v>594</v>
      </c>
      <c r="D685" s="19" t="s">
        <v>418</v>
      </c>
      <c r="E685" s="18" t="s">
        <v>557</v>
      </c>
      <c r="F685" s="18">
        <v>5</v>
      </c>
      <c r="G685" s="20">
        <v>5000</v>
      </c>
      <c r="H685" s="18">
        <v>0</v>
      </c>
      <c r="I685" s="18">
        <v>0</v>
      </c>
      <c r="J685" s="8">
        <f t="shared" si="30"/>
        <v>5000</v>
      </c>
      <c r="K685" s="10">
        <f t="shared" si="31"/>
        <v>1</v>
      </c>
      <c r="L685" s="17">
        <f t="shared" si="32"/>
        <v>0</v>
      </c>
      <c r="M685" t="str">
        <f>VLOOKUP(D685,'Jer-Tip-Emp'!B:E,4,0)</f>
        <v>Adición</v>
      </c>
      <c r="N685" t="str">
        <f>VLOOKUP(D685,'Jer-Tip-Emp'!B:F,5,0)</f>
        <v>Adición</v>
      </c>
      <c r="O685" t="str">
        <f>VLOOKUP(D685,'Jer-Tip-Emp'!B:G,6,0)</f>
        <v>Adición</v>
      </c>
    </row>
    <row r="686" spans="1:15" ht="27.5" hidden="1" customHeight="1" x14ac:dyDescent="0.2">
      <c r="A686">
        <v>2025</v>
      </c>
      <c r="B686" t="s">
        <v>598</v>
      </c>
      <c r="C686" t="s">
        <v>594</v>
      </c>
      <c r="D686" s="19" t="s">
        <v>338</v>
      </c>
      <c r="E686" s="18" t="s">
        <v>579</v>
      </c>
      <c r="F686" s="18">
        <v>4</v>
      </c>
      <c r="G686" s="20">
        <v>3200</v>
      </c>
      <c r="H686" s="18">
        <v>0</v>
      </c>
      <c r="I686" s="20">
        <v>1284</v>
      </c>
      <c r="J686" s="8">
        <f t="shared" si="30"/>
        <v>1916</v>
      </c>
      <c r="K686" s="10">
        <f t="shared" si="31"/>
        <v>0.59875</v>
      </c>
      <c r="L686" s="17">
        <f t="shared" si="32"/>
        <v>0</v>
      </c>
      <c r="M686" t="str">
        <f>VLOOKUP(D686,'Jer-Tip-Emp'!B:E,4,0)</f>
        <v>Adición</v>
      </c>
      <c r="N686" t="str">
        <f>VLOOKUP(D686,'Jer-Tip-Emp'!B:F,5,0)</f>
        <v>Adición</v>
      </c>
      <c r="O686" t="str">
        <f>VLOOKUP(D686,'Jer-Tip-Emp'!B:G,6,0)</f>
        <v>Adición</v>
      </c>
    </row>
    <row r="687" spans="1:15" ht="27.5" customHeight="1" x14ac:dyDescent="0.2">
      <c r="A687">
        <v>2025</v>
      </c>
      <c r="B687" t="s">
        <v>598</v>
      </c>
      <c r="C687" t="s">
        <v>594</v>
      </c>
      <c r="D687" s="19" t="s">
        <v>212</v>
      </c>
      <c r="E687" s="18" t="s">
        <v>160</v>
      </c>
      <c r="F687" s="18">
        <v>3</v>
      </c>
      <c r="G687" s="20">
        <v>116700</v>
      </c>
      <c r="H687" s="18">
        <v>0</v>
      </c>
      <c r="I687" s="20">
        <v>33759</v>
      </c>
      <c r="J687" s="8">
        <f t="shared" si="30"/>
        <v>82941</v>
      </c>
      <c r="K687" s="10">
        <f t="shared" si="31"/>
        <v>0.71071979434447297</v>
      </c>
      <c r="L687" s="17">
        <f t="shared" si="32"/>
        <v>0</v>
      </c>
      <c r="M687" t="str">
        <f>VLOOKUP(D687,'Jer-Tip-Emp'!B:E,4,0)</f>
        <v>Combos personales</v>
      </c>
      <c r="N687" t="str">
        <f>VLOOKUP(D687,'Jer-Tip-Emp'!B:F,5,0)</f>
        <v>Personal</v>
      </c>
      <c r="O687" t="str">
        <f>VLOOKUP(D687,'Jer-Tip-Emp'!B:G,6,0)</f>
        <v>Combo</v>
      </c>
    </row>
    <row r="688" spans="1:15" ht="27.5" hidden="1" customHeight="1" x14ac:dyDescent="0.2">
      <c r="A688">
        <v>2025</v>
      </c>
      <c r="B688" t="s">
        <v>598</v>
      </c>
      <c r="C688" t="s">
        <v>594</v>
      </c>
      <c r="D688" s="19" t="s">
        <v>426</v>
      </c>
      <c r="E688" s="18" t="s">
        <v>561</v>
      </c>
      <c r="F688" s="18">
        <v>3</v>
      </c>
      <c r="G688" s="20">
        <v>6000</v>
      </c>
      <c r="H688" s="18">
        <v>0</v>
      </c>
      <c r="I688" s="20">
        <v>4548</v>
      </c>
      <c r="J688" s="8">
        <f t="shared" si="30"/>
        <v>1452</v>
      </c>
      <c r="K688" s="10">
        <f t="shared" si="31"/>
        <v>0.24199999999999999</v>
      </c>
      <c r="L688" s="17">
        <f t="shared" si="32"/>
        <v>0</v>
      </c>
      <c r="M688" t="str">
        <f>VLOOKUP(D688,'Jer-Tip-Emp'!B:E,4,0)</f>
        <v>Bebidas</v>
      </c>
      <c r="N688" t="str">
        <f>VLOOKUP(D688,'Jer-Tip-Emp'!B:F,5,0)</f>
        <v>Bebidas Cambio de bebida</v>
      </c>
      <c r="O688" t="str">
        <f>VLOOKUP(D688,'Jer-Tip-Emp'!B:G,6,0)</f>
        <v>Bebidas</v>
      </c>
    </row>
    <row r="689" spans="1:15" ht="27.5" hidden="1" customHeight="1" x14ac:dyDescent="0.2">
      <c r="A689">
        <v>2025</v>
      </c>
      <c r="B689" t="s">
        <v>598</v>
      </c>
      <c r="C689" t="s">
        <v>594</v>
      </c>
      <c r="D689" s="19" t="s">
        <v>193</v>
      </c>
      <c r="E689" s="18" t="s">
        <v>18</v>
      </c>
      <c r="F689" s="18">
        <v>3</v>
      </c>
      <c r="G689" s="20">
        <v>26700</v>
      </c>
      <c r="H689" s="18">
        <v>0</v>
      </c>
      <c r="I689" s="20">
        <v>9324</v>
      </c>
      <c r="J689" s="8">
        <f t="shared" si="30"/>
        <v>17376</v>
      </c>
      <c r="K689" s="10">
        <f t="shared" si="31"/>
        <v>0.65078651685393263</v>
      </c>
      <c r="L689" s="17">
        <f t="shared" si="32"/>
        <v>0</v>
      </c>
      <c r="M689" t="str">
        <f>VLOOKUP(D689,'Jer-Tip-Emp'!B:E,4,0)</f>
        <v>Adición</v>
      </c>
      <c r="N689" t="str">
        <f>VLOOKUP(D689,'Jer-Tip-Emp'!B:F,5,0)</f>
        <v>Adición</v>
      </c>
      <c r="O689" t="str">
        <f>VLOOKUP(D689,'Jer-Tip-Emp'!B:G,6,0)</f>
        <v>Adición</v>
      </c>
    </row>
    <row r="690" spans="1:15" ht="27.5" hidden="1" customHeight="1" x14ac:dyDescent="0.2">
      <c r="A690">
        <v>2025</v>
      </c>
      <c r="B690" t="s">
        <v>598</v>
      </c>
      <c r="C690" t="s">
        <v>594</v>
      </c>
      <c r="D690" s="19" t="s">
        <v>403</v>
      </c>
      <c r="E690" s="18" t="s">
        <v>45</v>
      </c>
      <c r="F690" s="18">
        <v>3</v>
      </c>
      <c r="G690" s="20">
        <v>35700</v>
      </c>
      <c r="H690" s="18">
        <v>0</v>
      </c>
      <c r="I690" s="20">
        <v>13503</v>
      </c>
      <c r="J690" s="8">
        <f t="shared" si="30"/>
        <v>22197</v>
      </c>
      <c r="K690" s="10">
        <f t="shared" si="31"/>
        <v>0.62176470588235289</v>
      </c>
      <c r="L690" s="17">
        <f t="shared" si="32"/>
        <v>0</v>
      </c>
      <c r="M690" t="str">
        <f>VLOOKUP(D690,'Jer-Tip-Emp'!B:E,4,0)</f>
        <v>Bebidas</v>
      </c>
      <c r="N690" t="str">
        <f>VLOOKUP(D690,'Jer-Tip-Emp'!B:F,5,0)</f>
        <v>Bebidas</v>
      </c>
      <c r="O690" t="str">
        <f>VLOOKUP(D690,'Jer-Tip-Emp'!B:G,6,0)</f>
        <v>Bebidas</v>
      </c>
    </row>
    <row r="691" spans="1:15" ht="27.5" hidden="1" customHeight="1" x14ac:dyDescent="0.2">
      <c r="A691">
        <v>2025</v>
      </c>
      <c r="B691" t="s">
        <v>598</v>
      </c>
      <c r="C691" t="s">
        <v>594</v>
      </c>
      <c r="D691" s="19" t="s">
        <v>282</v>
      </c>
      <c r="E691" s="18" t="s">
        <v>19</v>
      </c>
      <c r="F691" s="18">
        <v>3</v>
      </c>
      <c r="G691" s="20">
        <v>23700</v>
      </c>
      <c r="H691" s="18">
        <v>0</v>
      </c>
      <c r="I691" s="20">
        <v>12294</v>
      </c>
      <c r="J691" s="8">
        <f t="shared" si="30"/>
        <v>11406</v>
      </c>
      <c r="K691" s="10">
        <f t="shared" si="31"/>
        <v>0.48126582278481012</v>
      </c>
      <c r="L691" s="17">
        <f t="shared" si="32"/>
        <v>0</v>
      </c>
      <c r="M691" t="str">
        <f>VLOOKUP(D691,'Jer-Tip-Emp'!B:E,4,0)</f>
        <v>Adición</v>
      </c>
      <c r="N691" t="str">
        <f>VLOOKUP(D691,'Jer-Tip-Emp'!B:F,5,0)</f>
        <v>Adición</v>
      </c>
      <c r="O691" t="str">
        <f>VLOOKUP(D691,'Jer-Tip-Emp'!B:G,6,0)</f>
        <v>Adición</v>
      </c>
    </row>
    <row r="692" spans="1:15" ht="27.5" hidden="1" customHeight="1" x14ac:dyDescent="0.2">
      <c r="A692">
        <v>2025</v>
      </c>
      <c r="B692" t="s">
        <v>598</v>
      </c>
      <c r="C692" t="s">
        <v>594</v>
      </c>
      <c r="D692" s="19" t="s">
        <v>411</v>
      </c>
      <c r="E692" s="18" t="s">
        <v>569</v>
      </c>
      <c r="F692" s="18">
        <v>3</v>
      </c>
      <c r="G692" s="20">
        <v>6000</v>
      </c>
      <c r="H692" s="18">
        <v>0</v>
      </c>
      <c r="I692" s="20">
        <v>6705</v>
      </c>
      <c r="J692" s="8">
        <f t="shared" si="30"/>
        <v>-705</v>
      </c>
      <c r="K692" s="10">
        <f t="shared" si="31"/>
        <v>-0.11749999999999999</v>
      </c>
      <c r="L692" s="17">
        <f t="shared" si="32"/>
        <v>0</v>
      </c>
      <c r="M692" t="str">
        <f>VLOOKUP(D692,'Jer-Tip-Emp'!B:E,4,0)</f>
        <v>Bebidas</v>
      </c>
      <c r="N692" t="str">
        <f>VLOOKUP(D692,'Jer-Tip-Emp'!B:F,5,0)</f>
        <v>Bebidas Cambio de bebida</v>
      </c>
      <c r="O692" t="str">
        <f>VLOOKUP(D692,'Jer-Tip-Emp'!B:G,6,0)</f>
        <v>Bebidas</v>
      </c>
    </row>
    <row r="693" spans="1:15" ht="27.5" customHeight="1" x14ac:dyDescent="0.2">
      <c r="A693">
        <v>2025</v>
      </c>
      <c r="B693" t="s">
        <v>598</v>
      </c>
      <c r="C693" t="s">
        <v>594</v>
      </c>
      <c r="D693" s="19" t="s">
        <v>214</v>
      </c>
      <c r="E693" s="18" t="s">
        <v>81</v>
      </c>
      <c r="F693" s="18">
        <v>2</v>
      </c>
      <c r="G693" s="20">
        <v>161800</v>
      </c>
      <c r="H693" s="18">
        <v>0</v>
      </c>
      <c r="I693" s="20">
        <v>47276</v>
      </c>
      <c r="J693" s="8">
        <f t="shared" si="30"/>
        <v>114524</v>
      </c>
      <c r="K693" s="10">
        <f t="shared" si="31"/>
        <v>0.70781211372064279</v>
      </c>
      <c r="L693" s="17">
        <f t="shared" si="32"/>
        <v>0</v>
      </c>
      <c r="M693" t="str">
        <f>VLOOKUP(D693,'Jer-Tip-Emp'!B:E,4,0)</f>
        <v>Combos para compartir</v>
      </c>
      <c r="N693" t="str">
        <f>VLOOKUP(D693,'Jer-Tip-Emp'!B:F,5,0)</f>
        <v>No Personal</v>
      </c>
      <c r="O693" t="str">
        <f>VLOOKUP(D693,'Jer-Tip-Emp'!B:G,6,0)</f>
        <v>Combo</v>
      </c>
    </row>
    <row r="694" spans="1:15" ht="27.5" hidden="1" customHeight="1" x14ac:dyDescent="0.2">
      <c r="A694">
        <v>2025</v>
      </c>
      <c r="B694" t="s">
        <v>598</v>
      </c>
      <c r="C694" t="s">
        <v>594</v>
      </c>
      <c r="D694" s="19" t="s">
        <v>326</v>
      </c>
      <c r="E694" s="18" t="s">
        <v>69</v>
      </c>
      <c r="F694" s="18">
        <v>2</v>
      </c>
      <c r="G694" s="20">
        <v>11800</v>
      </c>
      <c r="H694" s="18">
        <v>0</v>
      </c>
      <c r="I694" s="20">
        <v>2660</v>
      </c>
      <c r="J694" s="8">
        <f t="shared" si="30"/>
        <v>9140</v>
      </c>
      <c r="K694" s="10">
        <f t="shared" si="31"/>
        <v>0.77457627118644068</v>
      </c>
      <c r="L694" s="17">
        <f t="shared" si="32"/>
        <v>0</v>
      </c>
      <c r="M694" t="str">
        <f>VLOOKUP(D694,'Jer-Tip-Emp'!B:E,4,0)</f>
        <v>Bebidas</v>
      </c>
      <c r="N694" t="str">
        <f>VLOOKUP(D694,'Jer-Tip-Emp'!B:F,5,0)</f>
        <v>Bebidas</v>
      </c>
      <c r="O694" t="str">
        <f>VLOOKUP(D694,'Jer-Tip-Emp'!B:G,6,0)</f>
        <v>Bebidas</v>
      </c>
    </row>
    <row r="695" spans="1:15" ht="27.5" hidden="1" customHeight="1" x14ac:dyDescent="0.2">
      <c r="A695">
        <v>2025</v>
      </c>
      <c r="B695" t="s">
        <v>598</v>
      </c>
      <c r="C695" t="s">
        <v>594</v>
      </c>
      <c r="D695" s="19" t="s">
        <v>510</v>
      </c>
      <c r="E695" s="18" t="s">
        <v>600</v>
      </c>
      <c r="F695" s="18">
        <v>2</v>
      </c>
      <c r="G695" s="20">
        <v>9800</v>
      </c>
      <c r="H695" s="18">
        <v>0</v>
      </c>
      <c r="I695" s="20">
        <v>2746</v>
      </c>
      <c r="J695" s="8">
        <f t="shared" si="30"/>
        <v>7054</v>
      </c>
      <c r="K695" s="10">
        <f t="shared" si="31"/>
        <v>0.71979591836734691</v>
      </c>
      <c r="L695" s="17">
        <f t="shared" si="32"/>
        <v>0</v>
      </c>
      <c r="M695" t="str">
        <f>VLOOKUP(D695,'Jer-Tip-Emp'!B:E,4,0)</f>
        <v>Bebidas</v>
      </c>
      <c r="N695" t="str">
        <f>VLOOKUP(D695,'Jer-Tip-Emp'!B:F,5,0)</f>
        <v>Bebidas Adiciona tu bebida</v>
      </c>
      <c r="O695" t="str">
        <f>VLOOKUP(D695,'Jer-Tip-Emp'!B:G,6,0)</f>
        <v>Bebidas</v>
      </c>
    </row>
    <row r="696" spans="1:15" ht="27.5" customHeight="1" x14ac:dyDescent="0.2">
      <c r="A696">
        <v>2025</v>
      </c>
      <c r="B696" t="s">
        <v>598</v>
      </c>
      <c r="C696" t="s">
        <v>594</v>
      </c>
      <c r="D696" s="19" t="s">
        <v>177</v>
      </c>
      <c r="E696" s="18" t="s">
        <v>99</v>
      </c>
      <c r="F696" s="18">
        <v>2</v>
      </c>
      <c r="G696" s="20">
        <v>62200</v>
      </c>
      <c r="H696" s="20">
        <v>-15600</v>
      </c>
      <c r="I696" s="18">
        <v>0</v>
      </c>
      <c r="J696" s="8">
        <f t="shared" si="30"/>
        <v>62200</v>
      </c>
      <c r="K696" s="10">
        <f t="shared" si="31"/>
        <v>1</v>
      </c>
      <c r="L696" s="17">
        <f t="shared" si="32"/>
        <v>0.25080385852090031</v>
      </c>
      <c r="M696" t="str">
        <f>VLOOKUP(D696,'Jer-Tip-Emp'!B:E,4,0)</f>
        <v>Combos personales</v>
      </c>
      <c r="N696" t="str">
        <f>VLOOKUP(D696,'Jer-Tip-Emp'!B:F,5,0)</f>
        <v>Personal</v>
      </c>
      <c r="O696" t="str">
        <f>VLOOKUP(D696,'Jer-Tip-Emp'!B:G,6,0)</f>
        <v>Combo</v>
      </c>
    </row>
    <row r="697" spans="1:15" ht="27.5" customHeight="1" x14ac:dyDescent="0.2">
      <c r="A697">
        <v>2025</v>
      </c>
      <c r="B697" t="s">
        <v>598</v>
      </c>
      <c r="C697" t="s">
        <v>594</v>
      </c>
      <c r="D697" s="19" t="s">
        <v>393</v>
      </c>
      <c r="E697" s="18" t="s">
        <v>549</v>
      </c>
      <c r="F697" s="18">
        <v>2</v>
      </c>
      <c r="G697" s="20">
        <v>4000</v>
      </c>
      <c r="H697" s="18">
        <v>0</v>
      </c>
      <c r="I697" s="20">
        <v>4070</v>
      </c>
      <c r="J697" s="8">
        <f t="shared" si="30"/>
        <v>-70</v>
      </c>
      <c r="K697" s="10">
        <f t="shared" si="31"/>
        <v>-1.7500000000000002E-2</v>
      </c>
      <c r="L697" s="17">
        <f t="shared" si="32"/>
        <v>0</v>
      </c>
      <c r="M697" t="str">
        <f>VLOOKUP(D697,'Jer-Tip-Emp'!B:E,4,0)</f>
        <v>Arma tu plato</v>
      </c>
      <c r="N697" t="str">
        <f>VLOOKUP(D697,'Jer-Tip-Emp'!B:F,5,0)</f>
        <v>Personal</v>
      </c>
      <c r="O697" t="str">
        <f>VLOOKUP(D697,'Jer-Tip-Emp'!B:G,6,0)</f>
        <v>Caja</v>
      </c>
    </row>
    <row r="698" spans="1:15" ht="27.5" customHeight="1" x14ac:dyDescent="0.2">
      <c r="A698">
        <v>2025</v>
      </c>
      <c r="B698" t="s">
        <v>598</v>
      </c>
      <c r="C698" t="s">
        <v>594</v>
      </c>
      <c r="D698" s="19" t="s">
        <v>313</v>
      </c>
      <c r="E698" s="18" t="s">
        <v>540</v>
      </c>
      <c r="F698" s="18">
        <v>2</v>
      </c>
      <c r="G698" s="18">
        <v>0</v>
      </c>
      <c r="H698" s="18">
        <v>0</v>
      </c>
      <c r="I698" s="20">
        <v>10982</v>
      </c>
      <c r="J698" s="8">
        <f t="shared" si="30"/>
        <v>-10982</v>
      </c>
      <c r="K698" s="10">
        <f t="shared" si="31"/>
        <v>0</v>
      </c>
      <c r="L698" s="17">
        <f t="shared" si="32"/>
        <v>0</v>
      </c>
      <c r="M698" t="str">
        <f>VLOOKUP(D698,'Jer-Tip-Emp'!B:E,4,0)</f>
        <v>Arma tu plato</v>
      </c>
      <c r="N698" t="str">
        <f>VLOOKUP(D698,'Jer-Tip-Emp'!B:F,5,0)</f>
        <v>Personal</v>
      </c>
      <c r="O698" t="str">
        <f>VLOOKUP(D698,'Jer-Tip-Emp'!B:G,6,0)</f>
        <v>Caja</v>
      </c>
    </row>
    <row r="699" spans="1:15" ht="27.5" customHeight="1" x14ac:dyDescent="0.2">
      <c r="A699">
        <v>2025</v>
      </c>
      <c r="B699" t="s">
        <v>598</v>
      </c>
      <c r="C699" t="s">
        <v>594</v>
      </c>
      <c r="D699" s="19" t="s">
        <v>322</v>
      </c>
      <c r="E699" s="18" t="s">
        <v>545</v>
      </c>
      <c r="F699" s="18">
        <v>2</v>
      </c>
      <c r="G699" s="20">
        <v>4000</v>
      </c>
      <c r="H699" s="18">
        <v>0</v>
      </c>
      <c r="I699" s="20">
        <v>6216</v>
      </c>
      <c r="J699" s="8">
        <f t="shared" si="30"/>
        <v>-2216</v>
      </c>
      <c r="K699" s="10">
        <f t="shared" si="31"/>
        <v>-0.55400000000000005</v>
      </c>
      <c r="L699" s="17">
        <f t="shared" si="32"/>
        <v>0</v>
      </c>
      <c r="M699" t="str">
        <f>VLOOKUP(D699,'Jer-Tip-Emp'!B:E,4,0)</f>
        <v>Arma tu plato</v>
      </c>
      <c r="N699" t="str">
        <f>VLOOKUP(D699,'Jer-Tip-Emp'!B:F,5,0)</f>
        <v>Personal</v>
      </c>
      <c r="O699" t="str">
        <f>VLOOKUP(D699,'Jer-Tip-Emp'!B:G,6,0)</f>
        <v>Caja</v>
      </c>
    </row>
    <row r="700" spans="1:15" ht="27.5" hidden="1" customHeight="1" x14ac:dyDescent="0.2">
      <c r="A700">
        <v>2025</v>
      </c>
      <c r="B700" t="s">
        <v>598</v>
      </c>
      <c r="C700" t="s">
        <v>594</v>
      </c>
      <c r="D700" s="19" t="s">
        <v>189</v>
      </c>
      <c r="E700" s="18" t="s">
        <v>21</v>
      </c>
      <c r="F700" s="18">
        <v>2</v>
      </c>
      <c r="G700" s="20">
        <v>17800</v>
      </c>
      <c r="H700" s="18">
        <v>0</v>
      </c>
      <c r="I700" s="20">
        <v>4928</v>
      </c>
      <c r="J700" s="8">
        <f t="shared" si="30"/>
        <v>12872</v>
      </c>
      <c r="K700" s="10">
        <f t="shared" si="31"/>
        <v>0.72314606741573029</v>
      </c>
      <c r="L700" s="17">
        <f t="shared" si="32"/>
        <v>0</v>
      </c>
      <c r="M700" t="str">
        <f>VLOOKUP(D700,'Jer-Tip-Emp'!B:E,4,0)</f>
        <v>Adición</v>
      </c>
      <c r="N700" t="str">
        <f>VLOOKUP(D700,'Jer-Tip-Emp'!B:F,5,0)</f>
        <v>Adición</v>
      </c>
      <c r="O700" t="str">
        <f>VLOOKUP(D700,'Jer-Tip-Emp'!B:G,6,0)</f>
        <v>Adición</v>
      </c>
    </row>
    <row r="701" spans="1:15" ht="27.5" hidden="1" customHeight="1" x14ac:dyDescent="0.2">
      <c r="A701">
        <v>2025</v>
      </c>
      <c r="B701" t="s">
        <v>598</v>
      </c>
      <c r="C701" t="s">
        <v>594</v>
      </c>
      <c r="D701" s="19" t="s">
        <v>431</v>
      </c>
      <c r="E701" s="18" t="s">
        <v>560</v>
      </c>
      <c r="F701" s="18">
        <v>2</v>
      </c>
      <c r="G701" s="20">
        <v>4000</v>
      </c>
      <c r="H701" s="18">
        <v>0</v>
      </c>
      <c r="I701" s="20">
        <v>2660</v>
      </c>
      <c r="J701" s="8">
        <f t="shared" si="30"/>
        <v>1340</v>
      </c>
      <c r="K701" s="10">
        <f t="shared" si="31"/>
        <v>0.33500000000000002</v>
      </c>
      <c r="L701" s="17">
        <f t="shared" si="32"/>
        <v>0</v>
      </c>
      <c r="M701" t="str">
        <f>VLOOKUP(D701,'Jer-Tip-Emp'!B:E,4,0)</f>
        <v>Bebidas</v>
      </c>
      <c r="N701" t="str">
        <f>VLOOKUP(D701,'Jer-Tip-Emp'!B:F,5,0)</f>
        <v>Bebidas Cambio de bebida</v>
      </c>
      <c r="O701" t="str">
        <f>VLOOKUP(D701,'Jer-Tip-Emp'!B:G,6,0)</f>
        <v>Bebidas</v>
      </c>
    </row>
    <row r="702" spans="1:15" ht="27.5" hidden="1" customHeight="1" x14ac:dyDescent="0.2">
      <c r="A702">
        <v>2025</v>
      </c>
      <c r="B702" t="s">
        <v>598</v>
      </c>
      <c r="C702" t="s">
        <v>594</v>
      </c>
      <c r="D702" s="19" t="s">
        <v>367</v>
      </c>
      <c r="E702" s="18" t="s">
        <v>566</v>
      </c>
      <c r="F702" s="18">
        <v>2</v>
      </c>
      <c r="G702" s="20">
        <v>2000</v>
      </c>
      <c r="H702" s="18">
        <v>0</v>
      </c>
      <c r="I702" s="18">
        <v>0</v>
      </c>
      <c r="J702" s="8">
        <f t="shared" si="30"/>
        <v>2000</v>
      </c>
      <c r="K702" s="10">
        <f t="shared" si="31"/>
        <v>1</v>
      </c>
      <c r="L702" s="17">
        <f t="shared" si="32"/>
        <v>0</v>
      </c>
      <c r="M702" t="str">
        <f>VLOOKUP(D702,'Jer-Tip-Emp'!B:E,4,0)</f>
        <v>Adición</v>
      </c>
      <c r="N702" t="str">
        <f>VLOOKUP(D702,'Jer-Tip-Emp'!B:F,5,0)</f>
        <v>Adición</v>
      </c>
      <c r="O702" t="str">
        <f>VLOOKUP(D702,'Jer-Tip-Emp'!B:G,6,0)</f>
        <v>Adición</v>
      </c>
    </row>
    <row r="703" spans="1:15" ht="27.5" hidden="1" customHeight="1" x14ac:dyDescent="0.2">
      <c r="A703">
        <v>2025</v>
      </c>
      <c r="B703" t="s">
        <v>598</v>
      </c>
      <c r="C703" t="s">
        <v>594</v>
      </c>
      <c r="D703" s="19" t="s">
        <v>296</v>
      </c>
      <c r="E703" s="18" t="s">
        <v>22</v>
      </c>
      <c r="F703" s="18">
        <v>1</v>
      </c>
      <c r="G703" s="20">
        <v>8900</v>
      </c>
      <c r="H703" s="18">
        <v>0</v>
      </c>
      <c r="I703" s="18">
        <v>689</v>
      </c>
      <c r="J703" s="8">
        <f t="shared" si="30"/>
        <v>8211</v>
      </c>
      <c r="K703" s="10">
        <f t="shared" si="31"/>
        <v>0.9225842696629214</v>
      </c>
      <c r="L703" s="17">
        <f t="shared" si="32"/>
        <v>0</v>
      </c>
      <c r="M703" t="str">
        <f>VLOOKUP(D703,'Jer-Tip-Emp'!B:E,4,0)</f>
        <v>Adición</v>
      </c>
      <c r="N703" t="str">
        <f>VLOOKUP(D703,'Jer-Tip-Emp'!B:F,5,0)</f>
        <v>Adición</v>
      </c>
      <c r="O703" t="str">
        <f>VLOOKUP(D703,'Jer-Tip-Emp'!B:G,6,0)</f>
        <v>Adición</v>
      </c>
    </row>
    <row r="704" spans="1:15" ht="27.5" customHeight="1" x14ac:dyDescent="0.2">
      <c r="A704">
        <v>2025</v>
      </c>
      <c r="B704" t="s">
        <v>598</v>
      </c>
      <c r="C704" t="s">
        <v>594</v>
      </c>
      <c r="D704" s="19" t="s">
        <v>184</v>
      </c>
      <c r="E704" s="18" t="s">
        <v>162</v>
      </c>
      <c r="F704" s="18">
        <v>1</v>
      </c>
      <c r="G704" s="20">
        <v>26900</v>
      </c>
      <c r="H704" s="18">
        <v>0</v>
      </c>
      <c r="I704" s="18">
        <v>0</v>
      </c>
      <c r="J704" s="8">
        <f t="shared" si="30"/>
        <v>26900</v>
      </c>
      <c r="K704" s="10">
        <f t="shared" si="31"/>
        <v>1</v>
      </c>
      <c r="L704" s="17">
        <f t="shared" si="32"/>
        <v>0</v>
      </c>
      <c r="M704" t="str">
        <f>VLOOKUP(D704,'Jer-Tip-Emp'!B:E,4,0)</f>
        <v>Combos personales</v>
      </c>
      <c r="N704" t="str">
        <f>VLOOKUP(D704,'Jer-Tip-Emp'!B:F,5,0)</f>
        <v>Personal</v>
      </c>
      <c r="O704" t="str">
        <f>VLOOKUP(D704,'Jer-Tip-Emp'!B:G,6,0)</f>
        <v>Caja</v>
      </c>
    </row>
    <row r="705" spans="1:15" ht="27.5" hidden="1" customHeight="1" x14ac:dyDescent="0.2">
      <c r="A705">
        <v>2025</v>
      </c>
      <c r="B705" t="s">
        <v>598</v>
      </c>
      <c r="C705" t="s">
        <v>594</v>
      </c>
      <c r="D705" s="19" t="s">
        <v>262</v>
      </c>
      <c r="E705" s="18" t="s">
        <v>102</v>
      </c>
      <c r="F705" s="18">
        <v>1</v>
      </c>
      <c r="G705" s="20">
        <v>22900</v>
      </c>
      <c r="H705" s="18">
        <v>0</v>
      </c>
      <c r="I705" s="20">
        <v>6215</v>
      </c>
      <c r="J705" s="8">
        <f t="shared" si="30"/>
        <v>16685</v>
      </c>
      <c r="K705" s="10">
        <f t="shared" si="31"/>
        <v>0.72860262008733623</v>
      </c>
      <c r="L705" s="17">
        <f t="shared" si="32"/>
        <v>0</v>
      </c>
      <c r="M705" t="str">
        <f>VLOOKUP(D705,'Jer-Tip-Emp'!B:E,4,0)</f>
        <v>Entradas</v>
      </c>
      <c r="N705" t="str">
        <f>VLOOKUP(D705,'Jer-Tip-Emp'!B:F,5,0)</f>
        <v>Otro</v>
      </c>
      <c r="O705" t="str">
        <f>VLOOKUP(D705,'Jer-Tip-Emp'!B:G,6,0)</f>
        <v>Otro</v>
      </c>
    </row>
    <row r="706" spans="1:15" ht="27.5" customHeight="1" x14ac:dyDescent="0.2">
      <c r="A706">
        <v>2025</v>
      </c>
      <c r="B706" t="s">
        <v>598</v>
      </c>
      <c r="C706" t="s">
        <v>594</v>
      </c>
      <c r="D706" s="19" t="s">
        <v>206</v>
      </c>
      <c r="E706" s="18" t="s">
        <v>117</v>
      </c>
      <c r="F706" s="18">
        <v>1</v>
      </c>
      <c r="G706" s="20">
        <v>19900</v>
      </c>
      <c r="H706" s="18">
        <v>0</v>
      </c>
      <c r="I706" s="20">
        <v>7125</v>
      </c>
      <c r="J706" s="8">
        <f t="shared" ref="J706:J768" si="33">G706-I706</f>
        <v>12775</v>
      </c>
      <c r="K706" s="10">
        <f t="shared" ref="K706:K768" si="34">IFERROR(J706/G706,0)</f>
        <v>0.64195979899497491</v>
      </c>
      <c r="L706" s="17">
        <f t="shared" ref="L706:L768" si="35">IFERROR((H706/G706)*-1,0)</f>
        <v>0</v>
      </c>
      <c r="M706" t="str">
        <f>VLOOKUP(D706,'Jer-Tip-Emp'!B:E,4,0)</f>
        <v>Platos especiales</v>
      </c>
      <c r="N706" t="str">
        <f>VLOOKUP(D706,'Jer-Tip-Emp'!B:F,5,0)</f>
        <v>Personal</v>
      </c>
      <c r="O706" t="str">
        <f>VLOOKUP(D706,'Jer-Tip-Emp'!B:G,6,0)</f>
        <v>Platos especiales</v>
      </c>
    </row>
    <row r="707" spans="1:15" ht="27.5" hidden="1" customHeight="1" x14ac:dyDescent="0.2">
      <c r="A707">
        <v>2025</v>
      </c>
      <c r="B707" t="s">
        <v>598</v>
      </c>
      <c r="C707" t="s">
        <v>594</v>
      </c>
      <c r="D707" s="19" t="s">
        <v>218</v>
      </c>
      <c r="E707" s="18" t="s">
        <v>33</v>
      </c>
      <c r="F707" s="18">
        <v>1</v>
      </c>
      <c r="G707" s="20">
        <v>9900</v>
      </c>
      <c r="H707" s="18">
        <v>0</v>
      </c>
      <c r="I707" s="18">
        <v>0</v>
      </c>
      <c r="J707" s="8">
        <f t="shared" si="33"/>
        <v>9900</v>
      </c>
      <c r="K707" s="10">
        <f t="shared" si="34"/>
        <v>1</v>
      </c>
      <c r="L707" s="17">
        <f t="shared" si="35"/>
        <v>0</v>
      </c>
      <c r="M707" t="str">
        <f>VLOOKUP(D707,'Jer-Tip-Emp'!B:E,4,0)</f>
        <v>Adición</v>
      </c>
      <c r="N707" t="str">
        <f>VLOOKUP(D707,'Jer-Tip-Emp'!B:F,5,0)</f>
        <v>Adición</v>
      </c>
      <c r="O707" t="str">
        <f>VLOOKUP(D707,'Jer-Tip-Emp'!B:G,6,0)</f>
        <v>Adición</v>
      </c>
    </row>
    <row r="708" spans="1:15" ht="27.5" hidden="1" customHeight="1" x14ac:dyDescent="0.2">
      <c r="A708">
        <v>2025</v>
      </c>
      <c r="B708" t="s">
        <v>598</v>
      </c>
      <c r="C708" t="s">
        <v>594</v>
      </c>
      <c r="D708" s="19" t="s">
        <v>520</v>
      </c>
      <c r="E708" s="18" t="s">
        <v>601</v>
      </c>
      <c r="F708" s="18">
        <v>1</v>
      </c>
      <c r="G708" s="20">
        <v>5900</v>
      </c>
      <c r="H708" s="18">
        <v>0</v>
      </c>
      <c r="I708" s="20">
        <v>1448</v>
      </c>
      <c r="J708" s="8">
        <f t="shared" si="33"/>
        <v>4452</v>
      </c>
      <c r="K708" s="10">
        <f t="shared" si="34"/>
        <v>0.75457627118644066</v>
      </c>
      <c r="L708" s="17">
        <f t="shared" si="35"/>
        <v>0</v>
      </c>
      <c r="M708" t="str">
        <f>VLOOKUP(D708,'Jer-Tip-Emp'!B:E,4,0)</f>
        <v>Bebidas</v>
      </c>
      <c r="N708" t="str">
        <f>VLOOKUP(D708,'Jer-Tip-Emp'!B:F,5,0)</f>
        <v>Bebidas Adiciona tu bebida</v>
      </c>
      <c r="O708" t="str">
        <f>VLOOKUP(D708,'Jer-Tip-Emp'!B:G,6,0)</f>
        <v>Bebidas</v>
      </c>
    </row>
    <row r="709" spans="1:15" ht="27.5" hidden="1" customHeight="1" x14ac:dyDescent="0.2">
      <c r="A709">
        <v>2025</v>
      </c>
      <c r="B709" t="s">
        <v>598</v>
      </c>
      <c r="C709" t="s">
        <v>594</v>
      </c>
      <c r="D709" s="19" t="s">
        <v>314</v>
      </c>
      <c r="E709" s="18" t="s">
        <v>67</v>
      </c>
      <c r="F709" s="18">
        <v>1</v>
      </c>
      <c r="G709" s="20">
        <v>5900</v>
      </c>
      <c r="H709" s="18">
        <v>0</v>
      </c>
      <c r="I709" s="20">
        <v>1330</v>
      </c>
      <c r="J709" s="8">
        <f t="shared" si="33"/>
        <v>4570</v>
      </c>
      <c r="K709" s="10">
        <f t="shared" si="34"/>
        <v>0.77457627118644068</v>
      </c>
      <c r="L709" s="17">
        <f t="shared" si="35"/>
        <v>0</v>
      </c>
      <c r="M709" t="str">
        <f>VLOOKUP(D709,'Jer-Tip-Emp'!B:E,4,0)</f>
        <v>Bebidas</v>
      </c>
      <c r="N709" t="str">
        <f>VLOOKUP(D709,'Jer-Tip-Emp'!B:F,5,0)</f>
        <v>Bebidas</v>
      </c>
      <c r="O709" t="str">
        <f>VLOOKUP(D709,'Jer-Tip-Emp'!B:G,6,0)</f>
        <v>Bebidas</v>
      </c>
    </row>
    <row r="710" spans="1:15" ht="27.5" hidden="1" customHeight="1" x14ac:dyDescent="0.2">
      <c r="A710">
        <v>2025</v>
      </c>
      <c r="B710" t="s">
        <v>598</v>
      </c>
      <c r="C710" t="s">
        <v>594</v>
      </c>
      <c r="D710" s="19" t="s">
        <v>512</v>
      </c>
      <c r="E710" s="18" t="s">
        <v>582</v>
      </c>
      <c r="F710" s="18">
        <v>1</v>
      </c>
      <c r="G710" s="20">
        <v>4900</v>
      </c>
      <c r="H710" s="18">
        <v>0</v>
      </c>
      <c r="I710" s="20">
        <v>1560</v>
      </c>
      <c r="J710" s="8">
        <f t="shared" si="33"/>
        <v>3340</v>
      </c>
      <c r="K710" s="10">
        <f t="shared" si="34"/>
        <v>0.68163265306122445</v>
      </c>
      <c r="L710" s="17">
        <f t="shared" si="35"/>
        <v>0</v>
      </c>
      <c r="M710" t="str">
        <f>VLOOKUP(D710,'Jer-Tip-Emp'!B:E,4,0)</f>
        <v>Bebidas</v>
      </c>
      <c r="N710" t="str">
        <f>VLOOKUP(D710,'Jer-Tip-Emp'!B:F,5,0)</f>
        <v>Bebidas Adiciona tu bebida</v>
      </c>
      <c r="O710" t="str">
        <f>VLOOKUP(D710,'Jer-Tip-Emp'!B:G,6,0)</f>
        <v>Bebidas</v>
      </c>
    </row>
    <row r="711" spans="1:15" ht="27.5" customHeight="1" x14ac:dyDescent="0.2">
      <c r="A711">
        <v>2025</v>
      </c>
      <c r="B711" t="s">
        <v>598</v>
      </c>
      <c r="C711" t="s">
        <v>594</v>
      </c>
      <c r="D711" s="19" t="s">
        <v>213</v>
      </c>
      <c r="E711" s="18" t="s">
        <v>101</v>
      </c>
      <c r="F711" s="18">
        <v>1</v>
      </c>
      <c r="G711" s="20">
        <v>39900</v>
      </c>
      <c r="H711" s="18">
        <v>0</v>
      </c>
      <c r="I711" s="20">
        <v>32801</v>
      </c>
      <c r="J711" s="8">
        <f t="shared" si="33"/>
        <v>7099</v>
      </c>
      <c r="K711" s="10">
        <f t="shared" si="34"/>
        <v>0.17791979949874687</v>
      </c>
      <c r="L711" s="17">
        <f t="shared" si="35"/>
        <v>0</v>
      </c>
      <c r="M711" t="str">
        <f>VLOOKUP(D711,'Jer-Tip-Emp'!B:E,4,0)</f>
        <v>Combos personales</v>
      </c>
      <c r="N711" t="str">
        <f>VLOOKUP(D711,'Jer-Tip-Emp'!B:F,5,0)</f>
        <v>Personal</v>
      </c>
      <c r="O711" t="str">
        <f>VLOOKUP(D711,'Jer-Tip-Emp'!B:G,6,0)</f>
        <v>Combo</v>
      </c>
    </row>
    <row r="712" spans="1:15" ht="27.5" customHeight="1" x14ac:dyDescent="0.2">
      <c r="A712">
        <v>2025</v>
      </c>
      <c r="B712" t="s">
        <v>598</v>
      </c>
      <c r="C712" t="s">
        <v>594</v>
      </c>
      <c r="D712" s="19" t="s">
        <v>294</v>
      </c>
      <c r="E712" s="18" t="s">
        <v>108</v>
      </c>
      <c r="F712" s="18">
        <v>1</v>
      </c>
      <c r="G712" s="20">
        <v>26900</v>
      </c>
      <c r="H712" s="18">
        <v>0</v>
      </c>
      <c r="I712" s="20">
        <v>8183</v>
      </c>
      <c r="J712" s="8">
        <f t="shared" si="33"/>
        <v>18717</v>
      </c>
      <c r="K712" s="10">
        <f t="shared" si="34"/>
        <v>0.69579925650557617</v>
      </c>
      <c r="L712" s="17">
        <f t="shared" si="35"/>
        <v>0</v>
      </c>
      <c r="M712" t="str">
        <f>VLOOKUP(D712,'Jer-Tip-Emp'!B:E,4,0)</f>
        <v>Mong Express</v>
      </c>
      <c r="N712" t="str">
        <f>VLOOKUP(D712,'Jer-Tip-Emp'!B:F,5,0)</f>
        <v>Personal</v>
      </c>
      <c r="O712" t="str">
        <f>VLOOKUP(D712,'Jer-Tip-Emp'!B:G,6,0)</f>
        <v>Caja</v>
      </c>
    </row>
    <row r="713" spans="1:15" ht="27.5" hidden="1" customHeight="1" x14ac:dyDescent="0.2">
      <c r="A713">
        <v>2025</v>
      </c>
      <c r="B713" t="s">
        <v>598</v>
      </c>
      <c r="C713" t="s">
        <v>594</v>
      </c>
      <c r="D713" s="19" t="s">
        <v>444</v>
      </c>
      <c r="E713" s="18" t="s">
        <v>562</v>
      </c>
      <c r="F713" s="18">
        <v>1</v>
      </c>
      <c r="G713" s="20">
        <v>2000</v>
      </c>
      <c r="H713" s="18">
        <v>0</v>
      </c>
      <c r="I713" s="20">
        <v>1610</v>
      </c>
      <c r="J713" s="8">
        <f t="shared" si="33"/>
        <v>390</v>
      </c>
      <c r="K713" s="10">
        <f t="shared" si="34"/>
        <v>0.19500000000000001</v>
      </c>
      <c r="L713" s="17">
        <f t="shared" si="35"/>
        <v>0</v>
      </c>
      <c r="M713" t="str">
        <f>VLOOKUP(D713,'Jer-Tip-Emp'!B:E,4,0)</f>
        <v>Bebidas</v>
      </c>
      <c r="N713" t="str">
        <f>VLOOKUP(D713,'Jer-Tip-Emp'!B:F,5,0)</f>
        <v>Bebidas Cambio de bebida</v>
      </c>
      <c r="O713" t="str">
        <f>VLOOKUP(D713,'Jer-Tip-Emp'!B:G,6,0)</f>
        <v>Bebidas</v>
      </c>
    </row>
    <row r="714" spans="1:15" ht="27.5" hidden="1" customHeight="1" x14ac:dyDescent="0.2">
      <c r="A714">
        <v>2025</v>
      </c>
      <c r="B714" t="s">
        <v>598</v>
      </c>
      <c r="C714" t="s">
        <v>594</v>
      </c>
      <c r="D714" s="19" t="s">
        <v>457</v>
      </c>
      <c r="E714" s="18" t="s">
        <v>602</v>
      </c>
      <c r="F714" s="18">
        <v>1</v>
      </c>
      <c r="G714" s="20">
        <v>6700</v>
      </c>
      <c r="H714" s="18">
        <v>0</v>
      </c>
      <c r="I714" s="18">
        <v>7</v>
      </c>
      <c r="J714" s="8">
        <f t="shared" si="33"/>
        <v>6693</v>
      </c>
      <c r="K714" s="10">
        <f t="shared" si="34"/>
        <v>0.99895522388059699</v>
      </c>
      <c r="L714" s="17">
        <f t="shared" si="35"/>
        <v>0</v>
      </c>
      <c r="M714" t="str">
        <f>VLOOKUP(D714,'Jer-Tip-Emp'!B:E,4,0)</f>
        <v>Adición</v>
      </c>
      <c r="N714" t="str">
        <f>VLOOKUP(D714,'Jer-Tip-Emp'!B:F,5,0)</f>
        <v>Adición</v>
      </c>
      <c r="O714" t="str">
        <f>VLOOKUP(D714,'Jer-Tip-Emp'!B:G,6,0)</f>
        <v>Adición</v>
      </c>
    </row>
    <row r="715" spans="1:15" ht="27.5" customHeight="1" x14ac:dyDescent="0.2">
      <c r="A715">
        <v>2025</v>
      </c>
      <c r="B715" t="s">
        <v>598</v>
      </c>
      <c r="C715" t="s">
        <v>594</v>
      </c>
      <c r="D715" s="19" t="s">
        <v>287</v>
      </c>
      <c r="E715" s="18" t="s">
        <v>32</v>
      </c>
      <c r="F715" s="18">
        <v>1</v>
      </c>
      <c r="G715" s="20">
        <v>29050</v>
      </c>
      <c r="H715" s="20">
        <v>-7250</v>
      </c>
      <c r="I715" s="18">
        <v>0</v>
      </c>
      <c r="J715" s="8">
        <f t="shared" si="33"/>
        <v>29050</v>
      </c>
      <c r="K715" s="10">
        <f t="shared" si="34"/>
        <v>1</v>
      </c>
      <c r="L715" s="17">
        <f t="shared" si="35"/>
        <v>0.24956970740103271</v>
      </c>
      <c r="M715" t="str">
        <f>VLOOKUP(D715,'Jer-Tip-Emp'!B:E,4,0)</f>
        <v>Arma tu plato</v>
      </c>
      <c r="N715" t="str">
        <f>VLOOKUP(D715,'Jer-Tip-Emp'!B:F,5,0)</f>
        <v>Personal</v>
      </c>
      <c r="O715" t="str">
        <f>VLOOKUP(D715,'Jer-Tip-Emp'!B:G,6,0)</f>
        <v>Caja</v>
      </c>
    </row>
    <row r="716" spans="1:15" ht="27.5" hidden="1" customHeight="1" x14ac:dyDescent="0.2">
      <c r="A716">
        <v>2025</v>
      </c>
      <c r="B716" t="s">
        <v>598</v>
      </c>
      <c r="C716" t="s">
        <v>594</v>
      </c>
      <c r="D716" s="19" t="s">
        <v>417</v>
      </c>
      <c r="E716" s="18" t="s">
        <v>603</v>
      </c>
      <c r="F716" s="18">
        <v>1</v>
      </c>
      <c r="G716" s="20">
        <v>3500</v>
      </c>
      <c r="H716" s="18">
        <v>0</v>
      </c>
      <c r="I716" s="20">
        <v>1163</v>
      </c>
      <c r="J716" s="8">
        <f t="shared" si="33"/>
        <v>2337</v>
      </c>
      <c r="K716" s="10">
        <f t="shared" si="34"/>
        <v>0.6677142857142857</v>
      </c>
      <c r="L716" s="17">
        <f t="shared" si="35"/>
        <v>0</v>
      </c>
      <c r="M716" t="str">
        <f>VLOOKUP(D716,'Jer-Tip-Emp'!B:E,4,0)</f>
        <v>Bebidas</v>
      </c>
      <c r="N716" t="str">
        <f>VLOOKUP(D716,'Jer-Tip-Emp'!B:F,5,0)</f>
        <v>Bebidas Cambio de bebida</v>
      </c>
      <c r="O716" t="str">
        <f>VLOOKUP(D716,'Jer-Tip-Emp'!B:G,6,0)</f>
        <v>Bebidas</v>
      </c>
    </row>
    <row r="717" spans="1:15" ht="27.5" hidden="1" customHeight="1" x14ac:dyDescent="0.2">
      <c r="A717">
        <v>2025</v>
      </c>
      <c r="B717" t="s">
        <v>604</v>
      </c>
      <c r="C717" t="s">
        <v>594</v>
      </c>
      <c r="D717" s="19" t="s">
        <v>173</v>
      </c>
      <c r="E717" s="18" t="s">
        <v>542</v>
      </c>
      <c r="F717" s="18">
        <v>56</v>
      </c>
      <c r="G717" s="18">
        <v>0</v>
      </c>
      <c r="H717" s="18">
        <v>0</v>
      </c>
      <c r="I717" s="18">
        <v>0</v>
      </c>
      <c r="J717" s="8">
        <f t="shared" si="33"/>
        <v>0</v>
      </c>
      <c r="K717" s="10">
        <f t="shared" si="34"/>
        <v>0</v>
      </c>
      <c r="L717" s="17">
        <f t="shared" si="35"/>
        <v>0</v>
      </c>
      <c r="M717" t="str">
        <f>VLOOKUP(D717,'Jer-Tip-Emp'!B:E,4,0)</f>
        <v>Bebidas</v>
      </c>
      <c r="N717" t="str">
        <f>VLOOKUP(D717,'Jer-Tip-Emp'!B:F,5,0)</f>
        <v>Bebidas Cambio de bebida</v>
      </c>
      <c r="O717" t="str">
        <f>VLOOKUP(D717,'Jer-Tip-Emp'!B:G,6,0)</f>
        <v>Bebidas</v>
      </c>
    </row>
    <row r="718" spans="1:15" ht="27.5" hidden="1" customHeight="1" x14ac:dyDescent="0.2">
      <c r="A718">
        <v>2025</v>
      </c>
      <c r="B718" t="s">
        <v>604</v>
      </c>
      <c r="C718" t="s">
        <v>594</v>
      </c>
      <c r="D718" s="19" t="s">
        <v>346</v>
      </c>
      <c r="E718" s="18" t="s">
        <v>551</v>
      </c>
      <c r="F718" s="18">
        <v>45</v>
      </c>
      <c r="G718" s="18">
        <v>0</v>
      </c>
      <c r="H718" s="18">
        <v>0</v>
      </c>
      <c r="I718" s="18">
        <v>0</v>
      </c>
      <c r="J718" s="8">
        <f t="shared" si="33"/>
        <v>0</v>
      </c>
      <c r="K718" s="10">
        <f t="shared" si="34"/>
        <v>0</v>
      </c>
      <c r="L718" s="17">
        <f t="shared" si="35"/>
        <v>0</v>
      </c>
      <c r="M718" t="str">
        <f>VLOOKUP(D718,'Jer-Tip-Emp'!B:E,4,0)</f>
        <v>Adición</v>
      </c>
      <c r="N718" t="str">
        <f>VLOOKUP(D718,'Jer-Tip-Emp'!B:F,5,0)</f>
        <v>Adición</v>
      </c>
      <c r="O718" t="str">
        <f>VLOOKUP(D718,'Jer-Tip-Emp'!B:G,6,0)</f>
        <v>Adición</v>
      </c>
    </row>
    <row r="719" spans="1:15" ht="27.5" customHeight="1" x14ac:dyDescent="0.2">
      <c r="A719">
        <v>2025</v>
      </c>
      <c r="B719" t="s">
        <v>604</v>
      </c>
      <c r="C719" t="s">
        <v>594</v>
      </c>
      <c r="D719" s="19" t="s">
        <v>207</v>
      </c>
      <c r="E719" s="18" t="s">
        <v>92</v>
      </c>
      <c r="F719" s="18">
        <v>41</v>
      </c>
      <c r="G719" s="20">
        <v>1016150</v>
      </c>
      <c r="H719" s="20">
        <v>-291750</v>
      </c>
      <c r="I719" s="20">
        <v>394707</v>
      </c>
      <c r="J719" s="8">
        <f t="shared" si="33"/>
        <v>621443</v>
      </c>
      <c r="K719" s="10">
        <f t="shared" si="34"/>
        <v>0.61156620577670617</v>
      </c>
      <c r="L719" s="17">
        <f t="shared" si="35"/>
        <v>0.28711312306254</v>
      </c>
      <c r="M719" t="str">
        <f>VLOOKUP(D719,'Jer-Tip-Emp'!B:E,4,0)</f>
        <v>Combos personales</v>
      </c>
      <c r="N719" t="str">
        <f>VLOOKUP(D719,'Jer-Tip-Emp'!B:F,5,0)</f>
        <v>Personal</v>
      </c>
      <c r="O719" t="str">
        <f>VLOOKUP(D719,'Jer-Tip-Emp'!B:G,6,0)</f>
        <v>Combo</v>
      </c>
    </row>
    <row r="720" spans="1:15" ht="27.5" customHeight="1" x14ac:dyDescent="0.2">
      <c r="A720">
        <v>2025</v>
      </c>
      <c r="B720" t="s">
        <v>604</v>
      </c>
      <c r="C720" t="s">
        <v>594</v>
      </c>
      <c r="D720" s="19" t="s">
        <v>192</v>
      </c>
      <c r="E720" s="18" t="s">
        <v>165</v>
      </c>
      <c r="F720" s="18">
        <v>32</v>
      </c>
      <c r="G720" s="20">
        <v>1569200</v>
      </c>
      <c r="H720" s="20">
        <v>-456400</v>
      </c>
      <c r="I720" s="18">
        <v>0</v>
      </c>
      <c r="J720" s="8">
        <f t="shared" si="33"/>
        <v>1569200</v>
      </c>
      <c r="K720" s="10">
        <f t="shared" si="34"/>
        <v>1</v>
      </c>
      <c r="L720" s="17">
        <f t="shared" si="35"/>
        <v>0.29084884017333673</v>
      </c>
      <c r="M720" t="str">
        <f>VLOOKUP(D720,'Jer-Tip-Emp'!B:E,4,0)</f>
        <v>Combos para compartir</v>
      </c>
      <c r="N720" t="str">
        <f>VLOOKUP(D720,'Jer-Tip-Emp'!B:F,5,0)</f>
        <v>No Personal</v>
      </c>
      <c r="O720" t="str">
        <f>VLOOKUP(D720,'Jer-Tip-Emp'!B:G,6,0)</f>
        <v>Combo</v>
      </c>
    </row>
    <row r="721" spans="1:15" ht="27.5" customHeight="1" x14ac:dyDescent="0.2">
      <c r="A721">
        <v>2025</v>
      </c>
      <c r="B721" t="s">
        <v>604</v>
      </c>
      <c r="C721" t="s">
        <v>594</v>
      </c>
      <c r="D721" s="19" t="s">
        <v>196</v>
      </c>
      <c r="E721" s="18" t="s">
        <v>159</v>
      </c>
      <c r="F721" s="18">
        <v>24</v>
      </c>
      <c r="G721" s="20">
        <v>650100</v>
      </c>
      <c r="H721" s="20">
        <v>-187500</v>
      </c>
      <c r="I721" s="20">
        <v>228024</v>
      </c>
      <c r="J721" s="8">
        <f t="shared" si="33"/>
        <v>422076</v>
      </c>
      <c r="K721" s="10">
        <f t="shared" si="34"/>
        <v>0.64924780802953397</v>
      </c>
      <c r="L721" s="17">
        <f t="shared" si="35"/>
        <v>0.28841716658975541</v>
      </c>
      <c r="M721" t="str">
        <f>VLOOKUP(D721,'Jer-Tip-Emp'!B:E,4,0)</f>
        <v>Combos personales</v>
      </c>
      <c r="N721" t="str">
        <f>VLOOKUP(D721,'Jer-Tip-Emp'!B:F,5,0)</f>
        <v>Personal</v>
      </c>
      <c r="O721" t="str">
        <f>VLOOKUP(D721,'Jer-Tip-Emp'!B:G,6,0)</f>
        <v>Combo</v>
      </c>
    </row>
    <row r="722" spans="1:15" ht="27.5" customHeight="1" x14ac:dyDescent="0.2">
      <c r="A722">
        <v>2025</v>
      </c>
      <c r="B722" t="s">
        <v>604</v>
      </c>
      <c r="C722" t="s">
        <v>594</v>
      </c>
      <c r="D722" s="19" t="s">
        <v>289</v>
      </c>
      <c r="E722" s="18" t="s">
        <v>163</v>
      </c>
      <c r="F722" s="18">
        <v>18</v>
      </c>
      <c r="G722" s="20">
        <v>436750</v>
      </c>
      <c r="H722" s="20">
        <v>-119450</v>
      </c>
      <c r="I722" s="18">
        <v>0</v>
      </c>
      <c r="J722" s="8">
        <f t="shared" si="33"/>
        <v>436750</v>
      </c>
      <c r="K722" s="10">
        <f t="shared" si="34"/>
        <v>1</v>
      </c>
      <c r="L722" s="17">
        <f t="shared" si="35"/>
        <v>0.2734974241556955</v>
      </c>
      <c r="M722" t="str">
        <f>VLOOKUP(D722,'Jer-Tip-Emp'!B:E,4,0)</f>
        <v>Combos personales</v>
      </c>
      <c r="N722" t="str">
        <f>VLOOKUP(D722,'Jer-Tip-Emp'!B:F,5,0)</f>
        <v>Personal</v>
      </c>
      <c r="O722" t="str">
        <f>VLOOKUP(D722,'Jer-Tip-Emp'!B:G,6,0)</f>
        <v>Combo</v>
      </c>
    </row>
    <row r="723" spans="1:15" ht="27.5" customHeight="1" x14ac:dyDescent="0.2">
      <c r="A723">
        <v>2025</v>
      </c>
      <c r="B723" t="s">
        <v>604</v>
      </c>
      <c r="C723" t="s">
        <v>594</v>
      </c>
      <c r="D723" s="19" t="s">
        <v>215</v>
      </c>
      <c r="E723" s="18" t="s">
        <v>166</v>
      </c>
      <c r="F723" s="18">
        <v>17</v>
      </c>
      <c r="G723" s="20">
        <v>1152850</v>
      </c>
      <c r="H723" s="20">
        <v>-324450</v>
      </c>
      <c r="I723" s="18">
        <v>0</v>
      </c>
      <c r="J723" s="8">
        <f t="shared" si="33"/>
        <v>1152850</v>
      </c>
      <c r="K723" s="10">
        <f t="shared" si="34"/>
        <v>1</v>
      </c>
      <c r="L723" s="17">
        <f t="shared" si="35"/>
        <v>0.281432970464501</v>
      </c>
      <c r="M723" t="str">
        <f>VLOOKUP(D723,'Jer-Tip-Emp'!B:E,4,0)</f>
        <v>Platos mong</v>
      </c>
      <c r="N723" t="str">
        <f>VLOOKUP(D723,'Jer-Tip-Emp'!B:F,5,0)</f>
        <v>No Personal</v>
      </c>
      <c r="O723" t="str">
        <f>VLOOKUP(D723,'Jer-Tip-Emp'!B:G,6,0)</f>
        <v>Caja</v>
      </c>
    </row>
    <row r="724" spans="1:15" ht="27.5" hidden="1" customHeight="1" x14ac:dyDescent="0.2">
      <c r="A724">
        <v>2025</v>
      </c>
      <c r="B724" t="s">
        <v>604</v>
      </c>
      <c r="C724" t="s">
        <v>594</v>
      </c>
      <c r="D724" s="19" t="s">
        <v>284</v>
      </c>
      <c r="E724" s="18" t="s">
        <v>106</v>
      </c>
      <c r="F724" s="18">
        <v>14</v>
      </c>
      <c r="G724" s="20">
        <v>180600</v>
      </c>
      <c r="H724" s="18">
        <v>0</v>
      </c>
      <c r="I724" s="20">
        <v>43946</v>
      </c>
      <c r="J724" s="8">
        <f t="shared" si="33"/>
        <v>136654</v>
      </c>
      <c r="K724" s="10">
        <f t="shared" si="34"/>
        <v>0.75666666666666671</v>
      </c>
      <c r="L724" s="17">
        <f t="shared" si="35"/>
        <v>0</v>
      </c>
      <c r="M724" t="str">
        <f>VLOOKUP(D724,'Jer-Tip-Emp'!B:E,4,0)</f>
        <v>Entradas</v>
      </c>
      <c r="N724" t="str">
        <f>VLOOKUP(D724,'Jer-Tip-Emp'!B:F,5,0)</f>
        <v>Otro</v>
      </c>
      <c r="O724" t="str">
        <f>VLOOKUP(D724,'Jer-Tip-Emp'!B:G,6,0)</f>
        <v>Otro</v>
      </c>
    </row>
    <row r="725" spans="1:15" ht="27.5" hidden="1" customHeight="1" x14ac:dyDescent="0.2">
      <c r="A725">
        <v>2025</v>
      </c>
      <c r="B725" t="s">
        <v>604</v>
      </c>
      <c r="C725" t="s">
        <v>594</v>
      </c>
      <c r="D725" s="19" t="s">
        <v>490</v>
      </c>
      <c r="E725" s="18" t="s">
        <v>554</v>
      </c>
      <c r="F725" s="18">
        <v>11</v>
      </c>
      <c r="G725" s="18">
        <v>0</v>
      </c>
      <c r="H725" s="18">
        <v>0</v>
      </c>
      <c r="I725" s="20">
        <v>22539</v>
      </c>
      <c r="J725" s="8">
        <f t="shared" si="33"/>
        <v>-22539</v>
      </c>
      <c r="K725" s="10">
        <f t="shared" si="34"/>
        <v>0</v>
      </c>
      <c r="L725" s="17">
        <f t="shared" si="35"/>
        <v>0</v>
      </c>
      <c r="M725" t="str">
        <f>VLOOKUP(D725,'Jer-Tip-Emp'!B:E,4,0)</f>
        <v>Adición</v>
      </c>
      <c r="N725" t="str">
        <f>VLOOKUP(D725,'Jer-Tip-Emp'!B:F,5,0)</f>
        <v>Otro</v>
      </c>
      <c r="O725" t="str">
        <f>VLOOKUP(D725,'Jer-Tip-Emp'!B:G,6,0)</f>
        <v>Otro</v>
      </c>
    </row>
    <row r="726" spans="1:15" ht="27.5" hidden="1" customHeight="1" x14ac:dyDescent="0.2">
      <c r="A726">
        <v>2025</v>
      </c>
      <c r="B726" t="s">
        <v>604</v>
      </c>
      <c r="C726" t="s">
        <v>594</v>
      </c>
      <c r="D726" s="19" t="s">
        <v>500</v>
      </c>
      <c r="E726" s="18" t="s">
        <v>546</v>
      </c>
      <c r="F726" s="18">
        <v>10</v>
      </c>
      <c r="G726" s="18">
        <v>0</v>
      </c>
      <c r="H726" s="18">
        <v>0</v>
      </c>
      <c r="I726" s="20">
        <v>8680</v>
      </c>
      <c r="J726" s="8">
        <f t="shared" si="33"/>
        <v>-8680</v>
      </c>
      <c r="K726" s="10">
        <f t="shared" si="34"/>
        <v>0</v>
      </c>
      <c r="L726" s="17">
        <f t="shared" si="35"/>
        <v>0</v>
      </c>
      <c r="M726" t="str">
        <f>VLOOKUP(D726,'Jer-Tip-Emp'!B:E,4,0)</f>
        <v>Bebidas</v>
      </c>
      <c r="N726" t="str">
        <f>VLOOKUP(D726,'Jer-Tip-Emp'!B:F,5,0)</f>
        <v>Bebidas Cambio de bebida</v>
      </c>
      <c r="O726" t="str">
        <f>VLOOKUP(D726,'Jer-Tip-Emp'!B:G,6,0)</f>
        <v>Bebidas</v>
      </c>
    </row>
    <row r="727" spans="1:15" ht="27.5" customHeight="1" x14ac:dyDescent="0.2">
      <c r="A727">
        <v>2025</v>
      </c>
      <c r="B727" t="s">
        <v>604</v>
      </c>
      <c r="C727" t="s">
        <v>594</v>
      </c>
      <c r="D727" s="19" t="s">
        <v>186</v>
      </c>
      <c r="E727" s="18" t="s">
        <v>95</v>
      </c>
      <c r="F727" s="18">
        <v>10</v>
      </c>
      <c r="G727" s="20">
        <v>300100</v>
      </c>
      <c r="H727" s="20">
        <v>-88900</v>
      </c>
      <c r="I727" s="20">
        <v>95700</v>
      </c>
      <c r="J727" s="8">
        <f t="shared" si="33"/>
        <v>204400</v>
      </c>
      <c r="K727" s="10">
        <f t="shared" si="34"/>
        <v>0.68110629790069976</v>
      </c>
      <c r="L727" s="17">
        <f t="shared" si="35"/>
        <v>0.29623458847050982</v>
      </c>
      <c r="M727" t="str">
        <f>VLOOKUP(D727,'Jer-Tip-Emp'!B:E,4,0)</f>
        <v>Combos personales</v>
      </c>
      <c r="N727" t="str">
        <f>VLOOKUP(D727,'Jer-Tip-Emp'!B:F,5,0)</f>
        <v>Personal</v>
      </c>
      <c r="O727" t="str">
        <f>VLOOKUP(D727,'Jer-Tip-Emp'!B:G,6,0)</f>
        <v>Combo</v>
      </c>
    </row>
    <row r="728" spans="1:15" ht="27.5" customHeight="1" x14ac:dyDescent="0.2">
      <c r="A728">
        <v>2025</v>
      </c>
      <c r="B728" t="s">
        <v>604</v>
      </c>
      <c r="C728" t="s">
        <v>594</v>
      </c>
      <c r="D728" s="19" t="s">
        <v>184</v>
      </c>
      <c r="E728" s="18" t="s">
        <v>162</v>
      </c>
      <c r="F728" s="18">
        <v>9</v>
      </c>
      <c r="G728" s="20">
        <v>188700</v>
      </c>
      <c r="H728" s="20">
        <v>-53400</v>
      </c>
      <c r="I728" s="18">
        <v>0</v>
      </c>
      <c r="J728" s="8">
        <f t="shared" si="33"/>
        <v>188700</v>
      </c>
      <c r="K728" s="10">
        <f t="shared" si="34"/>
        <v>1</v>
      </c>
      <c r="L728" s="17">
        <f t="shared" si="35"/>
        <v>0.28298887122416533</v>
      </c>
      <c r="M728" t="str">
        <f>VLOOKUP(D728,'Jer-Tip-Emp'!B:E,4,0)</f>
        <v>Combos personales</v>
      </c>
      <c r="N728" t="str">
        <f>VLOOKUP(D728,'Jer-Tip-Emp'!B:F,5,0)</f>
        <v>Personal</v>
      </c>
      <c r="O728" t="str">
        <f>VLOOKUP(D728,'Jer-Tip-Emp'!B:G,6,0)</f>
        <v>Caja</v>
      </c>
    </row>
    <row r="729" spans="1:15" ht="27.5" customHeight="1" x14ac:dyDescent="0.2">
      <c r="A729">
        <v>2025</v>
      </c>
      <c r="B729" t="s">
        <v>604</v>
      </c>
      <c r="C729" t="s">
        <v>594</v>
      </c>
      <c r="D729" s="19" t="s">
        <v>212</v>
      </c>
      <c r="E729" s="18" t="s">
        <v>160</v>
      </c>
      <c r="F729" s="18">
        <v>8</v>
      </c>
      <c r="G729" s="20">
        <v>276550</v>
      </c>
      <c r="H729" s="20">
        <v>-34650</v>
      </c>
      <c r="I729" s="20">
        <v>90024</v>
      </c>
      <c r="J729" s="8">
        <f t="shared" si="33"/>
        <v>186526</v>
      </c>
      <c r="K729" s="10">
        <f t="shared" si="34"/>
        <v>0.67447477852106308</v>
      </c>
      <c r="L729" s="17">
        <f t="shared" si="35"/>
        <v>0.12529379858976677</v>
      </c>
      <c r="M729" t="str">
        <f>VLOOKUP(D729,'Jer-Tip-Emp'!B:E,4,0)</f>
        <v>Combos personales</v>
      </c>
      <c r="N729" t="str">
        <f>VLOOKUP(D729,'Jer-Tip-Emp'!B:F,5,0)</f>
        <v>Personal</v>
      </c>
      <c r="O729" t="str">
        <f>VLOOKUP(D729,'Jer-Tip-Emp'!B:G,6,0)</f>
        <v>Combo</v>
      </c>
    </row>
    <row r="730" spans="1:15" ht="27.5" hidden="1" customHeight="1" x14ac:dyDescent="0.2">
      <c r="A730">
        <v>2025</v>
      </c>
      <c r="B730" t="s">
        <v>604</v>
      </c>
      <c r="C730" t="s">
        <v>594</v>
      </c>
      <c r="D730" s="19" t="s">
        <v>418</v>
      </c>
      <c r="E730" s="18" t="s">
        <v>557</v>
      </c>
      <c r="F730" s="18">
        <v>7</v>
      </c>
      <c r="G730" s="20">
        <v>7000</v>
      </c>
      <c r="H730" s="18">
        <v>0</v>
      </c>
      <c r="I730" s="18">
        <v>0</v>
      </c>
      <c r="J730" s="8">
        <f t="shared" si="33"/>
        <v>7000</v>
      </c>
      <c r="K730" s="10">
        <f t="shared" si="34"/>
        <v>1</v>
      </c>
      <c r="L730" s="17">
        <f t="shared" si="35"/>
        <v>0</v>
      </c>
      <c r="M730" t="str">
        <f>VLOOKUP(D730,'Jer-Tip-Emp'!B:E,4,0)</f>
        <v>Adición</v>
      </c>
      <c r="N730" t="str">
        <f>VLOOKUP(D730,'Jer-Tip-Emp'!B:F,5,0)</f>
        <v>Adición</v>
      </c>
      <c r="O730" t="str">
        <f>VLOOKUP(D730,'Jer-Tip-Emp'!B:G,6,0)</f>
        <v>Adición</v>
      </c>
    </row>
    <row r="731" spans="1:15" ht="27.5" hidden="1" customHeight="1" x14ac:dyDescent="0.2">
      <c r="A731">
        <v>2025</v>
      </c>
      <c r="B731" t="s">
        <v>604</v>
      </c>
      <c r="C731" t="s">
        <v>594</v>
      </c>
      <c r="D731" s="19" t="s">
        <v>262</v>
      </c>
      <c r="E731" s="18" t="s">
        <v>102</v>
      </c>
      <c r="F731" s="18">
        <v>6</v>
      </c>
      <c r="G731" s="20">
        <v>137400</v>
      </c>
      <c r="H731" s="18">
        <v>0</v>
      </c>
      <c r="I731" s="20">
        <v>37290</v>
      </c>
      <c r="J731" s="8">
        <f t="shared" si="33"/>
        <v>100110</v>
      </c>
      <c r="K731" s="10">
        <f t="shared" si="34"/>
        <v>0.72860262008733623</v>
      </c>
      <c r="L731" s="17">
        <f t="shared" si="35"/>
        <v>0</v>
      </c>
      <c r="M731" t="str">
        <f>VLOOKUP(D731,'Jer-Tip-Emp'!B:E,4,0)</f>
        <v>Entradas</v>
      </c>
      <c r="N731" t="str">
        <f>VLOOKUP(D731,'Jer-Tip-Emp'!B:F,5,0)</f>
        <v>Otro</v>
      </c>
      <c r="O731" t="str">
        <f>VLOOKUP(D731,'Jer-Tip-Emp'!B:G,6,0)</f>
        <v>Otro</v>
      </c>
    </row>
    <row r="732" spans="1:15" ht="27.5" customHeight="1" x14ac:dyDescent="0.2">
      <c r="A732">
        <v>2025</v>
      </c>
      <c r="B732" t="s">
        <v>604</v>
      </c>
      <c r="C732" t="s">
        <v>594</v>
      </c>
      <c r="D732" s="19" t="s">
        <v>177</v>
      </c>
      <c r="E732" s="18" t="s">
        <v>99</v>
      </c>
      <c r="F732" s="18">
        <v>6</v>
      </c>
      <c r="G732" s="20">
        <v>185450</v>
      </c>
      <c r="H732" s="20">
        <v>-47950</v>
      </c>
      <c r="I732" s="18">
        <v>0</v>
      </c>
      <c r="J732" s="8">
        <f t="shared" si="33"/>
        <v>185450</v>
      </c>
      <c r="K732" s="10">
        <f t="shared" si="34"/>
        <v>1</v>
      </c>
      <c r="L732" s="17">
        <f t="shared" si="35"/>
        <v>0.25856025882987327</v>
      </c>
      <c r="M732" t="str">
        <f>VLOOKUP(D732,'Jer-Tip-Emp'!B:E,4,0)</f>
        <v>Combos personales</v>
      </c>
      <c r="N732" t="str">
        <f>VLOOKUP(D732,'Jer-Tip-Emp'!B:F,5,0)</f>
        <v>Personal</v>
      </c>
      <c r="O732" t="str">
        <f>VLOOKUP(D732,'Jer-Tip-Emp'!B:G,6,0)</f>
        <v>Combo</v>
      </c>
    </row>
    <row r="733" spans="1:15" ht="27.5" hidden="1" customHeight="1" x14ac:dyDescent="0.2">
      <c r="A733">
        <v>2025</v>
      </c>
      <c r="B733" t="s">
        <v>604</v>
      </c>
      <c r="C733" t="s">
        <v>594</v>
      </c>
      <c r="D733" s="19" t="s">
        <v>328</v>
      </c>
      <c r="E733" s="18" t="s">
        <v>555</v>
      </c>
      <c r="F733" s="18">
        <v>6</v>
      </c>
      <c r="G733" s="20">
        <v>6000</v>
      </c>
      <c r="H733" s="18">
        <v>0</v>
      </c>
      <c r="I733" s="18">
        <v>354</v>
      </c>
      <c r="J733" s="8">
        <f t="shared" si="33"/>
        <v>5646</v>
      </c>
      <c r="K733" s="10">
        <f t="shared" si="34"/>
        <v>0.94099999999999995</v>
      </c>
      <c r="L733" s="17">
        <f t="shared" si="35"/>
        <v>0</v>
      </c>
      <c r="M733" t="str">
        <f>VLOOKUP(D733,'Jer-Tip-Emp'!B:E,4,0)</f>
        <v>Adición</v>
      </c>
      <c r="N733" t="str">
        <f>VLOOKUP(D733,'Jer-Tip-Emp'!B:F,5,0)</f>
        <v>Adición</v>
      </c>
      <c r="O733" t="str">
        <f>VLOOKUP(D733,'Jer-Tip-Emp'!B:G,6,0)</f>
        <v>Adición</v>
      </c>
    </row>
    <row r="734" spans="1:15" ht="27.5" hidden="1" customHeight="1" x14ac:dyDescent="0.2">
      <c r="A734">
        <v>2025</v>
      </c>
      <c r="B734" t="s">
        <v>604</v>
      </c>
      <c r="C734" t="s">
        <v>594</v>
      </c>
      <c r="D734" s="19" t="s">
        <v>403</v>
      </c>
      <c r="E734" s="18" t="s">
        <v>45</v>
      </c>
      <c r="F734" s="18">
        <v>6</v>
      </c>
      <c r="G734" s="20">
        <v>71400</v>
      </c>
      <c r="H734" s="18">
        <v>0</v>
      </c>
      <c r="I734" s="20">
        <v>27006</v>
      </c>
      <c r="J734" s="8">
        <f t="shared" si="33"/>
        <v>44394</v>
      </c>
      <c r="K734" s="10">
        <f t="shared" si="34"/>
        <v>0.62176470588235289</v>
      </c>
      <c r="L734" s="17">
        <f t="shared" si="35"/>
        <v>0</v>
      </c>
      <c r="M734" t="str">
        <f>VLOOKUP(D734,'Jer-Tip-Emp'!B:E,4,0)</f>
        <v>Bebidas</v>
      </c>
      <c r="N734" t="str">
        <f>VLOOKUP(D734,'Jer-Tip-Emp'!B:F,5,0)</f>
        <v>Bebidas</v>
      </c>
      <c r="O734" t="str">
        <f>VLOOKUP(D734,'Jer-Tip-Emp'!B:G,6,0)</f>
        <v>Bebidas</v>
      </c>
    </row>
    <row r="735" spans="1:15" ht="27.5" hidden="1" customHeight="1" x14ac:dyDescent="0.2">
      <c r="A735">
        <v>2025</v>
      </c>
      <c r="B735" t="s">
        <v>604</v>
      </c>
      <c r="C735" t="s">
        <v>594</v>
      </c>
      <c r="D735" s="19" t="s">
        <v>410</v>
      </c>
      <c r="E735" s="18" t="s">
        <v>559</v>
      </c>
      <c r="F735" s="18">
        <v>5</v>
      </c>
      <c r="G735" s="20">
        <v>13000</v>
      </c>
      <c r="H735" s="18">
        <v>0</v>
      </c>
      <c r="I735" s="20">
        <v>11175</v>
      </c>
      <c r="J735" s="8">
        <f t="shared" si="33"/>
        <v>1825</v>
      </c>
      <c r="K735" s="10">
        <f t="shared" si="34"/>
        <v>0.14038461538461539</v>
      </c>
      <c r="L735" s="17">
        <f t="shared" si="35"/>
        <v>0</v>
      </c>
      <c r="M735" t="str">
        <f>VLOOKUP(D735,'Jer-Tip-Emp'!B:E,4,0)</f>
        <v>Bebidas</v>
      </c>
      <c r="N735" t="str">
        <f>VLOOKUP(D735,'Jer-Tip-Emp'!B:F,5,0)</f>
        <v>Bebidas Cambio de bebida</v>
      </c>
      <c r="O735" t="str">
        <f>VLOOKUP(D735,'Jer-Tip-Emp'!B:G,6,0)</f>
        <v>Bebidas</v>
      </c>
    </row>
    <row r="736" spans="1:15" ht="27.5" hidden="1" customHeight="1" x14ac:dyDescent="0.2">
      <c r="A736">
        <v>2025</v>
      </c>
      <c r="B736" t="s">
        <v>604</v>
      </c>
      <c r="C736" t="s">
        <v>594</v>
      </c>
      <c r="D736" s="19" t="s">
        <v>338</v>
      </c>
      <c r="E736" s="18" t="s">
        <v>579</v>
      </c>
      <c r="F736" s="18">
        <v>5</v>
      </c>
      <c r="G736" s="20">
        <v>4000</v>
      </c>
      <c r="H736" s="18">
        <v>0</v>
      </c>
      <c r="I736" s="20">
        <v>1605</v>
      </c>
      <c r="J736" s="8">
        <f t="shared" si="33"/>
        <v>2395</v>
      </c>
      <c r="K736" s="10">
        <f t="shared" si="34"/>
        <v>0.59875</v>
      </c>
      <c r="L736" s="17">
        <f t="shared" si="35"/>
        <v>0</v>
      </c>
      <c r="M736" t="str">
        <f>VLOOKUP(D736,'Jer-Tip-Emp'!B:E,4,0)</f>
        <v>Adición</v>
      </c>
      <c r="N736" t="str">
        <f>VLOOKUP(D736,'Jer-Tip-Emp'!B:F,5,0)</f>
        <v>Adición</v>
      </c>
      <c r="O736" t="str">
        <f>VLOOKUP(D736,'Jer-Tip-Emp'!B:G,6,0)</f>
        <v>Adición</v>
      </c>
    </row>
    <row r="737" spans="1:15" ht="27.5" customHeight="1" x14ac:dyDescent="0.2">
      <c r="A737">
        <v>2025</v>
      </c>
      <c r="B737" t="s">
        <v>604</v>
      </c>
      <c r="C737" t="s">
        <v>594</v>
      </c>
      <c r="D737" s="19" t="s">
        <v>470</v>
      </c>
      <c r="E737" s="18" t="s">
        <v>550</v>
      </c>
      <c r="F737" s="18">
        <v>4</v>
      </c>
      <c r="G737" s="18">
        <v>0</v>
      </c>
      <c r="H737" s="18">
        <v>0</v>
      </c>
      <c r="I737" s="20">
        <v>12388</v>
      </c>
      <c r="J737" s="8">
        <f t="shared" si="33"/>
        <v>-12388</v>
      </c>
      <c r="K737" s="10">
        <f t="shared" si="34"/>
        <v>0</v>
      </c>
      <c r="L737" s="17">
        <f t="shared" si="35"/>
        <v>0</v>
      </c>
      <c r="M737" t="str">
        <f>VLOOKUP(D737,'Jer-Tip-Emp'!B:E,4,0)</f>
        <v>Arma tu plato</v>
      </c>
      <c r="N737" t="str">
        <f>VLOOKUP(D737,'Jer-Tip-Emp'!B:F,5,0)</f>
        <v>Personal</v>
      </c>
      <c r="O737" t="str">
        <f>VLOOKUP(D737,'Jer-Tip-Emp'!B:G,6,0)</f>
        <v>Caja</v>
      </c>
    </row>
    <row r="738" spans="1:15" ht="27.5" hidden="1" customHeight="1" x14ac:dyDescent="0.2">
      <c r="A738">
        <v>2025</v>
      </c>
      <c r="B738" t="s">
        <v>604</v>
      </c>
      <c r="C738" t="s">
        <v>594</v>
      </c>
      <c r="D738" s="19" t="s">
        <v>342</v>
      </c>
      <c r="E738" s="18" t="s">
        <v>556</v>
      </c>
      <c r="F738" s="18">
        <v>4</v>
      </c>
      <c r="G738" s="20">
        <v>30400</v>
      </c>
      <c r="H738" s="18">
        <v>0</v>
      </c>
      <c r="I738" s="20">
        <v>12432</v>
      </c>
      <c r="J738" s="8">
        <f t="shared" si="33"/>
        <v>17968</v>
      </c>
      <c r="K738" s="10">
        <f t="shared" si="34"/>
        <v>0.59105263157894739</v>
      </c>
      <c r="L738" s="17">
        <f t="shared" si="35"/>
        <v>0</v>
      </c>
      <c r="M738" t="str">
        <f>VLOOKUP(D738,'Jer-Tip-Emp'!B:E,4,0)</f>
        <v>Adición</v>
      </c>
      <c r="N738" t="str">
        <f>VLOOKUP(D738,'Jer-Tip-Emp'!B:F,5,0)</f>
        <v>Adición</v>
      </c>
      <c r="O738" t="str">
        <f>VLOOKUP(D738,'Jer-Tip-Emp'!B:G,6,0)</f>
        <v>Adición</v>
      </c>
    </row>
    <row r="739" spans="1:15" ht="27.5" hidden="1" customHeight="1" x14ac:dyDescent="0.2">
      <c r="A739">
        <v>2025</v>
      </c>
      <c r="B739" t="s">
        <v>604</v>
      </c>
      <c r="C739" t="s">
        <v>594</v>
      </c>
      <c r="D739" s="19" t="s">
        <v>400</v>
      </c>
      <c r="E739" s="18" t="s">
        <v>564</v>
      </c>
      <c r="F739" s="18">
        <v>4</v>
      </c>
      <c r="G739" s="20">
        <v>19200</v>
      </c>
      <c r="H739" s="18">
        <v>0</v>
      </c>
      <c r="I739" s="20">
        <v>5128</v>
      </c>
      <c r="J739" s="8">
        <f t="shared" si="33"/>
        <v>14072</v>
      </c>
      <c r="K739" s="10">
        <f t="shared" si="34"/>
        <v>0.73291666666666666</v>
      </c>
      <c r="L739" s="17">
        <f t="shared" si="35"/>
        <v>0</v>
      </c>
      <c r="M739" t="str">
        <f>VLOOKUP(D739,'Jer-Tip-Emp'!B:E,4,0)</f>
        <v>Adición</v>
      </c>
      <c r="N739" t="str">
        <f>VLOOKUP(D739,'Jer-Tip-Emp'!B:F,5,0)</f>
        <v>Adición</v>
      </c>
      <c r="O739" t="str">
        <f>VLOOKUP(D739,'Jer-Tip-Emp'!B:G,6,0)</f>
        <v>Adición</v>
      </c>
    </row>
    <row r="740" spans="1:15" ht="27.5" customHeight="1" x14ac:dyDescent="0.2">
      <c r="A740">
        <v>2025</v>
      </c>
      <c r="B740" t="s">
        <v>604</v>
      </c>
      <c r="C740" t="s">
        <v>594</v>
      </c>
      <c r="D740" s="19" t="s">
        <v>206</v>
      </c>
      <c r="E740" s="18" t="s">
        <v>117</v>
      </c>
      <c r="F740" s="18">
        <v>4</v>
      </c>
      <c r="G740" s="20">
        <v>71000</v>
      </c>
      <c r="H740" s="20">
        <v>-8600</v>
      </c>
      <c r="I740" s="20">
        <v>28500</v>
      </c>
      <c r="J740" s="8">
        <f t="shared" si="33"/>
        <v>42500</v>
      </c>
      <c r="K740" s="10">
        <f t="shared" si="34"/>
        <v>0.59859154929577463</v>
      </c>
      <c r="L740" s="17">
        <f t="shared" si="35"/>
        <v>0.12112676056338029</v>
      </c>
      <c r="M740" t="str">
        <f>VLOOKUP(D740,'Jer-Tip-Emp'!B:E,4,0)</f>
        <v>Platos especiales</v>
      </c>
      <c r="N740" t="str">
        <f>VLOOKUP(D740,'Jer-Tip-Emp'!B:F,5,0)</f>
        <v>Personal</v>
      </c>
      <c r="O740" t="str">
        <f>VLOOKUP(D740,'Jer-Tip-Emp'!B:G,6,0)</f>
        <v>Platos especiales</v>
      </c>
    </row>
    <row r="741" spans="1:15" ht="27.5" hidden="1" customHeight="1" x14ac:dyDescent="0.2">
      <c r="A741">
        <v>2025</v>
      </c>
      <c r="B741" t="s">
        <v>604</v>
      </c>
      <c r="C741" t="s">
        <v>594</v>
      </c>
      <c r="D741" s="19" t="s">
        <v>438</v>
      </c>
      <c r="E741" s="18" t="s">
        <v>563</v>
      </c>
      <c r="F741" s="18">
        <v>3</v>
      </c>
      <c r="G741" s="20">
        <v>22800</v>
      </c>
      <c r="H741" s="18">
        <v>0</v>
      </c>
      <c r="I741" s="20">
        <v>8547</v>
      </c>
      <c r="J741" s="8">
        <f t="shared" si="33"/>
        <v>14253</v>
      </c>
      <c r="K741" s="10">
        <f t="shared" si="34"/>
        <v>0.62513157894736837</v>
      </c>
      <c r="L741" s="17">
        <f t="shared" si="35"/>
        <v>0</v>
      </c>
      <c r="M741" t="str">
        <f>VLOOKUP(D741,'Jer-Tip-Emp'!B:E,4,0)</f>
        <v>Adición</v>
      </c>
      <c r="N741" t="str">
        <f>VLOOKUP(D741,'Jer-Tip-Emp'!B:F,5,0)</f>
        <v>Adición</v>
      </c>
      <c r="O741" t="str">
        <f>VLOOKUP(D741,'Jer-Tip-Emp'!B:G,6,0)</f>
        <v>Adición</v>
      </c>
    </row>
    <row r="742" spans="1:15" ht="27.5" customHeight="1" x14ac:dyDescent="0.2">
      <c r="A742">
        <v>2025</v>
      </c>
      <c r="B742" t="s">
        <v>604</v>
      </c>
      <c r="C742" t="s">
        <v>594</v>
      </c>
      <c r="D742" s="19" t="s">
        <v>213</v>
      </c>
      <c r="E742" s="18" t="s">
        <v>101</v>
      </c>
      <c r="F742" s="18">
        <v>3</v>
      </c>
      <c r="G742" s="20">
        <v>103700</v>
      </c>
      <c r="H742" s="20">
        <v>-16000</v>
      </c>
      <c r="I742" s="20">
        <v>98403</v>
      </c>
      <c r="J742" s="8">
        <f t="shared" si="33"/>
        <v>5297</v>
      </c>
      <c r="K742" s="10">
        <f t="shared" si="34"/>
        <v>5.1080038572806172E-2</v>
      </c>
      <c r="L742" s="17">
        <f t="shared" si="35"/>
        <v>0.15429122468659595</v>
      </c>
      <c r="M742" t="str">
        <f>VLOOKUP(D742,'Jer-Tip-Emp'!B:E,4,0)</f>
        <v>Combos personales</v>
      </c>
      <c r="N742" t="str">
        <f>VLOOKUP(D742,'Jer-Tip-Emp'!B:F,5,0)</f>
        <v>Personal</v>
      </c>
      <c r="O742" t="str">
        <f>VLOOKUP(D742,'Jer-Tip-Emp'!B:G,6,0)</f>
        <v>Combo</v>
      </c>
    </row>
    <row r="743" spans="1:15" ht="27.5" customHeight="1" x14ac:dyDescent="0.2">
      <c r="A743">
        <v>2025</v>
      </c>
      <c r="B743" t="s">
        <v>604</v>
      </c>
      <c r="C743" t="s">
        <v>594</v>
      </c>
      <c r="D743" s="19" t="s">
        <v>313</v>
      </c>
      <c r="E743" s="18" t="s">
        <v>540</v>
      </c>
      <c r="F743" s="18">
        <v>3</v>
      </c>
      <c r="G743" s="18">
        <v>0</v>
      </c>
      <c r="H743" s="18">
        <v>0</v>
      </c>
      <c r="I743" s="20">
        <v>16473</v>
      </c>
      <c r="J743" s="8">
        <f t="shared" si="33"/>
        <v>-16473</v>
      </c>
      <c r="K743" s="10">
        <f t="shared" si="34"/>
        <v>0</v>
      </c>
      <c r="L743" s="17">
        <f t="shared" si="35"/>
        <v>0</v>
      </c>
      <c r="M743" t="str">
        <f>VLOOKUP(D743,'Jer-Tip-Emp'!B:E,4,0)</f>
        <v>Arma tu plato</v>
      </c>
      <c r="N743" t="str">
        <f>VLOOKUP(D743,'Jer-Tip-Emp'!B:F,5,0)</f>
        <v>Personal</v>
      </c>
      <c r="O743" t="str">
        <f>VLOOKUP(D743,'Jer-Tip-Emp'!B:G,6,0)</f>
        <v>Caja</v>
      </c>
    </row>
    <row r="744" spans="1:15" ht="27.5" customHeight="1" x14ac:dyDescent="0.2">
      <c r="A744">
        <v>2025</v>
      </c>
      <c r="B744" t="s">
        <v>604</v>
      </c>
      <c r="C744" t="s">
        <v>594</v>
      </c>
      <c r="D744" s="19" t="s">
        <v>389</v>
      </c>
      <c r="E744" s="18" t="s">
        <v>541</v>
      </c>
      <c r="F744" s="18">
        <v>3</v>
      </c>
      <c r="G744" s="18">
        <v>0</v>
      </c>
      <c r="H744" s="18">
        <v>0</v>
      </c>
      <c r="I744" s="20">
        <v>16401</v>
      </c>
      <c r="J744" s="8">
        <f t="shared" si="33"/>
        <v>-16401</v>
      </c>
      <c r="K744" s="10">
        <f t="shared" si="34"/>
        <v>0</v>
      </c>
      <c r="L744" s="17">
        <f t="shared" si="35"/>
        <v>0</v>
      </c>
      <c r="M744" t="str">
        <f>VLOOKUP(D744,'Jer-Tip-Emp'!B:E,4,0)</f>
        <v>Arma tu plato</v>
      </c>
      <c r="N744" t="str">
        <f>VLOOKUP(D744,'Jer-Tip-Emp'!B:F,5,0)</f>
        <v>Personal</v>
      </c>
      <c r="O744" t="str">
        <f>VLOOKUP(D744,'Jer-Tip-Emp'!B:G,6,0)</f>
        <v>Caja</v>
      </c>
    </row>
    <row r="745" spans="1:15" ht="27.5" hidden="1" customHeight="1" x14ac:dyDescent="0.2">
      <c r="A745">
        <v>2025</v>
      </c>
      <c r="B745" t="s">
        <v>604</v>
      </c>
      <c r="C745" t="s">
        <v>594</v>
      </c>
      <c r="D745" s="19" t="s">
        <v>417</v>
      </c>
      <c r="E745" s="18" t="s">
        <v>603</v>
      </c>
      <c r="F745" s="18">
        <v>3</v>
      </c>
      <c r="G745" s="20">
        <v>10500</v>
      </c>
      <c r="H745" s="18">
        <v>0</v>
      </c>
      <c r="I745" s="20">
        <v>3489</v>
      </c>
      <c r="J745" s="8">
        <f t="shared" si="33"/>
        <v>7011</v>
      </c>
      <c r="K745" s="10">
        <f t="shared" si="34"/>
        <v>0.6677142857142857</v>
      </c>
      <c r="L745" s="17">
        <f t="shared" si="35"/>
        <v>0</v>
      </c>
      <c r="M745" t="str">
        <f>VLOOKUP(D745,'Jer-Tip-Emp'!B:E,4,0)</f>
        <v>Bebidas</v>
      </c>
      <c r="N745" t="str">
        <f>VLOOKUP(D745,'Jer-Tip-Emp'!B:F,5,0)</f>
        <v>Bebidas Cambio de bebida</v>
      </c>
      <c r="O745" t="str">
        <f>VLOOKUP(D745,'Jer-Tip-Emp'!B:G,6,0)</f>
        <v>Bebidas</v>
      </c>
    </row>
    <row r="746" spans="1:15" ht="27.5" hidden="1" customHeight="1" x14ac:dyDescent="0.2">
      <c r="A746">
        <v>2025</v>
      </c>
      <c r="B746" t="s">
        <v>604</v>
      </c>
      <c r="C746" t="s">
        <v>594</v>
      </c>
      <c r="D746" s="19" t="s">
        <v>365</v>
      </c>
      <c r="E746" s="18" t="s">
        <v>558</v>
      </c>
      <c r="F746" s="18">
        <v>3</v>
      </c>
      <c r="G746" s="20">
        <v>2700</v>
      </c>
      <c r="H746" s="18">
        <v>0</v>
      </c>
      <c r="I746" s="20">
        <v>4707</v>
      </c>
      <c r="J746" s="8">
        <f t="shared" si="33"/>
        <v>-2007</v>
      </c>
      <c r="K746" s="10">
        <f t="shared" si="34"/>
        <v>-0.74333333333333329</v>
      </c>
      <c r="L746" s="17">
        <f t="shared" si="35"/>
        <v>0</v>
      </c>
      <c r="M746" t="str">
        <f>VLOOKUP(D746,'Jer-Tip-Emp'!B:E,4,0)</f>
        <v>Adición</v>
      </c>
      <c r="N746" t="str">
        <f>VLOOKUP(D746,'Jer-Tip-Emp'!B:F,5,0)</f>
        <v>Otro</v>
      </c>
      <c r="O746" t="str">
        <f>VLOOKUP(D746,'Jer-Tip-Emp'!B:G,6,0)</f>
        <v>Otro</v>
      </c>
    </row>
    <row r="747" spans="1:15" ht="27.5" hidden="1" customHeight="1" x14ac:dyDescent="0.2">
      <c r="A747">
        <v>2025</v>
      </c>
      <c r="B747" t="s">
        <v>604</v>
      </c>
      <c r="C747" t="s">
        <v>594</v>
      </c>
      <c r="D747" s="19" t="s">
        <v>348</v>
      </c>
      <c r="E747" s="18" t="s">
        <v>567</v>
      </c>
      <c r="F747" s="18">
        <v>3</v>
      </c>
      <c r="G747" s="20">
        <v>24000</v>
      </c>
      <c r="H747" s="18">
        <v>0</v>
      </c>
      <c r="I747" s="20">
        <v>5241</v>
      </c>
      <c r="J747" s="8">
        <f t="shared" si="33"/>
        <v>18759</v>
      </c>
      <c r="K747" s="10">
        <f t="shared" si="34"/>
        <v>0.78162500000000001</v>
      </c>
      <c r="L747" s="17">
        <f t="shared" si="35"/>
        <v>0</v>
      </c>
      <c r="M747" t="str">
        <f>VLOOKUP(D747,'Jer-Tip-Emp'!B:E,4,0)</f>
        <v>Adición</v>
      </c>
      <c r="N747" t="str">
        <f>VLOOKUP(D747,'Jer-Tip-Emp'!B:F,5,0)</f>
        <v>Adición</v>
      </c>
      <c r="O747" t="str">
        <f>VLOOKUP(D747,'Jer-Tip-Emp'!B:G,6,0)</f>
        <v>Adición</v>
      </c>
    </row>
    <row r="748" spans="1:15" ht="27.5" hidden="1" customHeight="1" x14ac:dyDescent="0.2">
      <c r="A748">
        <v>2025</v>
      </c>
      <c r="B748" t="s">
        <v>604</v>
      </c>
      <c r="C748" t="s">
        <v>594</v>
      </c>
      <c r="D748" s="19" t="s">
        <v>397</v>
      </c>
      <c r="E748" s="18" t="s">
        <v>61</v>
      </c>
      <c r="F748" s="18">
        <v>2</v>
      </c>
      <c r="G748" s="20">
        <v>11800</v>
      </c>
      <c r="H748" s="18">
        <v>0</v>
      </c>
      <c r="I748" s="20">
        <v>3792</v>
      </c>
      <c r="J748" s="8">
        <f t="shared" si="33"/>
        <v>8008</v>
      </c>
      <c r="K748" s="10">
        <f t="shared" si="34"/>
        <v>0.67864406779661013</v>
      </c>
      <c r="L748" s="17">
        <f t="shared" si="35"/>
        <v>0</v>
      </c>
      <c r="M748" t="str">
        <f>VLOOKUP(D748,'Jer-Tip-Emp'!B:E,4,0)</f>
        <v>Bebidas</v>
      </c>
      <c r="N748" t="str">
        <f>VLOOKUP(D748,'Jer-Tip-Emp'!B:F,5,0)</f>
        <v>Bebidas</v>
      </c>
      <c r="O748" t="str">
        <f>VLOOKUP(D748,'Jer-Tip-Emp'!B:G,6,0)</f>
        <v>Bebidas</v>
      </c>
    </row>
    <row r="749" spans="1:15" ht="27.5" customHeight="1" x14ac:dyDescent="0.2">
      <c r="A749">
        <v>2025</v>
      </c>
      <c r="B749" t="s">
        <v>604</v>
      </c>
      <c r="C749" t="s">
        <v>594</v>
      </c>
      <c r="D749" s="19" t="s">
        <v>322</v>
      </c>
      <c r="E749" s="18" t="s">
        <v>545</v>
      </c>
      <c r="F749" s="18">
        <v>2</v>
      </c>
      <c r="G749" s="20">
        <v>4000</v>
      </c>
      <c r="H749" s="18">
        <v>0</v>
      </c>
      <c r="I749" s="20">
        <v>6216</v>
      </c>
      <c r="J749" s="8">
        <f t="shared" si="33"/>
        <v>-2216</v>
      </c>
      <c r="K749" s="10">
        <f t="shared" si="34"/>
        <v>-0.55400000000000005</v>
      </c>
      <c r="L749" s="17">
        <f t="shared" si="35"/>
        <v>0</v>
      </c>
      <c r="M749" t="str">
        <f>VLOOKUP(D749,'Jer-Tip-Emp'!B:E,4,0)</f>
        <v>Arma tu plato</v>
      </c>
      <c r="N749" t="str">
        <f>VLOOKUP(D749,'Jer-Tip-Emp'!B:F,5,0)</f>
        <v>Personal</v>
      </c>
      <c r="O749" t="str">
        <f>VLOOKUP(D749,'Jer-Tip-Emp'!B:G,6,0)</f>
        <v>Caja</v>
      </c>
    </row>
    <row r="750" spans="1:15" ht="27.5" hidden="1" customHeight="1" x14ac:dyDescent="0.2">
      <c r="A750">
        <v>2025</v>
      </c>
      <c r="B750" t="s">
        <v>604</v>
      </c>
      <c r="C750" t="s">
        <v>594</v>
      </c>
      <c r="D750" s="19" t="s">
        <v>282</v>
      </c>
      <c r="E750" s="18" t="s">
        <v>19</v>
      </c>
      <c r="F750" s="18">
        <v>2</v>
      </c>
      <c r="G750" s="20">
        <v>15800</v>
      </c>
      <c r="H750" s="18">
        <v>0</v>
      </c>
      <c r="I750" s="20">
        <v>8196</v>
      </c>
      <c r="J750" s="8">
        <f t="shared" si="33"/>
        <v>7604</v>
      </c>
      <c r="K750" s="10">
        <f t="shared" si="34"/>
        <v>0.48126582278481012</v>
      </c>
      <c r="L750" s="17">
        <f t="shared" si="35"/>
        <v>0</v>
      </c>
      <c r="M750" t="str">
        <f>VLOOKUP(D750,'Jer-Tip-Emp'!B:E,4,0)</f>
        <v>Adición</v>
      </c>
      <c r="N750" t="str">
        <f>VLOOKUP(D750,'Jer-Tip-Emp'!B:F,5,0)</f>
        <v>Adición</v>
      </c>
      <c r="O750" t="str">
        <f>VLOOKUP(D750,'Jer-Tip-Emp'!B:G,6,0)</f>
        <v>Adición</v>
      </c>
    </row>
    <row r="751" spans="1:15" ht="27.5" customHeight="1" x14ac:dyDescent="0.2">
      <c r="A751">
        <v>2025</v>
      </c>
      <c r="B751" t="s">
        <v>604</v>
      </c>
      <c r="C751" t="s">
        <v>594</v>
      </c>
      <c r="D751" s="19" t="s">
        <v>228</v>
      </c>
      <c r="E751" s="18" t="s">
        <v>96</v>
      </c>
      <c r="F751" s="18">
        <v>2</v>
      </c>
      <c r="G751" s="20">
        <v>61050</v>
      </c>
      <c r="H751" s="20">
        <v>-16750</v>
      </c>
      <c r="I751" s="20">
        <v>20494</v>
      </c>
      <c r="J751" s="8">
        <f t="shared" si="33"/>
        <v>40556</v>
      </c>
      <c r="K751" s="10">
        <f t="shared" si="34"/>
        <v>0.66430794430794426</v>
      </c>
      <c r="L751" s="17">
        <f t="shared" si="35"/>
        <v>0.27436527436527436</v>
      </c>
      <c r="M751" t="str">
        <f>VLOOKUP(D751,'Jer-Tip-Emp'!B:E,4,0)</f>
        <v>Combos personales</v>
      </c>
      <c r="N751" t="str">
        <f>VLOOKUP(D751,'Jer-Tip-Emp'!B:F,5,0)</f>
        <v>Personal</v>
      </c>
      <c r="O751" t="str">
        <f>VLOOKUP(D751,'Jer-Tip-Emp'!B:G,6,0)</f>
        <v>Combo</v>
      </c>
    </row>
    <row r="752" spans="1:15" ht="27.5" hidden="1" customHeight="1" x14ac:dyDescent="0.2">
      <c r="A752">
        <v>2025</v>
      </c>
      <c r="B752" t="s">
        <v>604</v>
      </c>
      <c r="C752" t="s">
        <v>594</v>
      </c>
      <c r="D752" s="19" t="s">
        <v>176</v>
      </c>
      <c r="E752" s="18" t="s">
        <v>544</v>
      </c>
      <c r="F752" s="18">
        <v>2</v>
      </c>
      <c r="G752" s="20">
        <v>2000</v>
      </c>
      <c r="H752" s="18">
        <v>0</v>
      </c>
      <c r="I752" s="20">
        <v>3890</v>
      </c>
      <c r="J752" s="8">
        <f t="shared" si="33"/>
        <v>-1890</v>
      </c>
      <c r="K752" s="10">
        <f t="shared" si="34"/>
        <v>-0.94499999999999995</v>
      </c>
      <c r="L752" s="17">
        <f t="shared" si="35"/>
        <v>0</v>
      </c>
      <c r="M752" t="str">
        <f>VLOOKUP(D752,'Jer-Tip-Emp'!B:E,4,0)</f>
        <v>Bebidas</v>
      </c>
      <c r="N752" t="str">
        <f>VLOOKUP(D752,'Jer-Tip-Emp'!B:F,5,0)</f>
        <v>Bebidas Cambio de bebida</v>
      </c>
      <c r="O752" t="str">
        <f>VLOOKUP(D752,'Jer-Tip-Emp'!B:G,6,0)</f>
        <v>Bebidas</v>
      </c>
    </row>
    <row r="753" spans="1:15" ht="27.5" hidden="1" customHeight="1" x14ac:dyDescent="0.2">
      <c r="A753">
        <v>2025</v>
      </c>
      <c r="B753" t="s">
        <v>604</v>
      </c>
      <c r="C753" t="s">
        <v>594</v>
      </c>
      <c r="D753" s="19" t="s">
        <v>367</v>
      </c>
      <c r="E753" s="18" t="s">
        <v>566</v>
      </c>
      <c r="F753" s="18">
        <v>2</v>
      </c>
      <c r="G753" s="20">
        <v>2000</v>
      </c>
      <c r="H753" s="18">
        <v>0</v>
      </c>
      <c r="I753" s="18">
        <v>0</v>
      </c>
      <c r="J753" s="8">
        <f t="shared" si="33"/>
        <v>2000</v>
      </c>
      <c r="K753" s="10">
        <f t="shared" si="34"/>
        <v>1</v>
      </c>
      <c r="L753" s="17">
        <f t="shared" si="35"/>
        <v>0</v>
      </c>
      <c r="M753" t="str">
        <f>VLOOKUP(D753,'Jer-Tip-Emp'!B:E,4,0)</f>
        <v>Adición</v>
      </c>
      <c r="N753" t="str">
        <f>VLOOKUP(D753,'Jer-Tip-Emp'!B:F,5,0)</f>
        <v>Adición</v>
      </c>
      <c r="O753" t="str">
        <f>VLOOKUP(D753,'Jer-Tip-Emp'!B:G,6,0)</f>
        <v>Adición</v>
      </c>
    </row>
    <row r="754" spans="1:15" ht="27.5" customHeight="1" x14ac:dyDescent="0.2">
      <c r="A754">
        <v>2025</v>
      </c>
      <c r="B754" t="s">
        <v>604</v>
      </c>
      <c r="C754" t="s">
        <v>594</v>
      </c>
      <c r="D754" s="19" t="s">
        <v>266</v>
      </c>
      <c r="E754" s="18" t="s">
        <v>85</v>
      </c>
      <c r="F754" s="18">
        <v>2</v>
      </c>
      <c r="G754" s="20">
        <v>175650</v>
      </c>
      <c r="H754" s="20">
        <v>-48150</v>
      </c>
      <c r="I754" s="20">
        <v>78442</v>
      </c>
      <c r="J754" s="8">
        <f t="shared" si="33"/>
        <v>97208</v>
      </c>
      <c r="K754" s="10">
        <f t="shared" si="34"/>
        <v>0.55341873042983203</v>
      </c>
      <c r="L754" s="17">
        <f t="shared" si="35"/>
        <v>0.27412467976088811</v>
      </c>
      <c r="M754" t="str">
        <f>VLOOKUP(D754,'Jer-Tip-Emp'!B:E,4,0)</f>
        <v>Combos para compartir</v>
      </c>
      <c r="N754" t="str">
        <f>VLOOKUP(D754,'Jer-Tip-Emp'!B:F,5,0)</f>
        <v>No Personal</v>
      </c>
      <c r="O754" t="str">
        <f>VLOOKUP(D754,'Jer-Tip-Emp'!B:G,6,0)</f>
        <v>Combo</v>
      </c>
    </row>
    <row r="755" spans="1:15" ht="27.5" customHeight="1" x14ac:dyDescent="0.2">
      <c r="A755">
        <v>2025</v>
      </c>
      <c r="B755" t="s">
        <v>604</v>
      </c>
      <c r="C755" t="s">
        <v>594</v>
      </c>
      <c r="D755" s="19" t="s">
        <v>354</v>
      </c>
      <c r="E755" s="18" t="s">
        <v>548</v>
      </c>
      <c r="F755" s="18">
        <v>2</v>
      </c>
      <c r="G755" s="18">
        <v>0</v>
      </c>
      <c r="H755" s="18">
        <v>0</v>
      </c>
      <c r="I755" s="20">
        <v>5268</v>
      </c>
      <c r="J755" s="8">
        <f t="shared" si="33"/>
        <v>-5268</v>
      </c>
      <c r="K755" s="10">
        <f t="shared" si="34"/>
        <v>0</v>
      </c>
      <c r="L755" s="17">
        <f t="shared" si="35"/>
        <v>0</v>
      </c>
      <c r="M755" t="str">
        <f>VLOOKUP(D755,'Jer-Tip-Emp'!B:E,4,0)</f>
        <v>Arma tu plato</v>
      </c>
      <c r="N755" t="str">
        <f>VLOOKUP(D755,'Jer-Tip-Emp'!B:F,5,0)</f>
        <v>Personal</v>
      </c>
      <c r="O755" t="str">
        <f>VLOOKUP(D755,'Jer-Tip-Emp'!B:G,6,0)</f>
        <v>Caja</v>
      </c>
    </row>
    <row r="756" spans="1:15" ht="27.5" customHeight="1" x14ac:dyDescent="0.2">
      <c r="A756">
        <v>2025</v>
      </c>
      <c r="B756" t="s">
        <v>604</v>
      </c>
      <c r="C756" t="s">
        <v>594</v>
      </c>
      <c r="D756" s="19" t="s">
        <v>448</v>
      </c>
      <c r="E756" s="18" t="s">
        <v>552</v>
      </c>
      <c r="F756" s="18">
        <v>2</v>
      </c>
      <c r="G756" s="18">
        <v>0</v>
      </c>
      <c r="H756" s="18">
        <v>0</v>
      </c>
      <c r="I756" s="20">
        <v>10526</v>
      </c>
      <c r="J756" s="8">
        <f t="shared" si="33"/>
        <v>-10526</v>
      </c>
      <c r="K756" s="10">
        <f t="shared" si="34"/>
        <v>0</v>
      </c>
      <c r="L756" s="17">
        <f t="shared" si="35"/>
        <v>0</v>
      </c>
      <c r="M756" t="str">
        <f>VLOOKUP(D756,'Jer-Tip-Emp'!B:E,4,0)</f>
        <v>Arma tu plato</v>
      </c>
      <c r="N756" t="str">
        <f>VLOOKUP(D756,'Jer-Tip-Emp'!B:F,5,0)</f>
        <v>Personal</v>
      </c>
      <c r="O756" t="str">
        <f>VLOOKUP(D756,'Jer-Tip-Emp'!B:G,6,0)</f>
        <v>Caja</v>
      </c>
    </row>
    <row r="757" spans="1:15" ht="27.5" hidden="1" customHeight="1" x14ac:dyDescent="0.2">
      <c r="A757">
        <v>2025</v>
      </c>
      <c r="B757" t="s">
        <v>604</v>
      </c>
      <c r="C757" t="s">
        <v>594</v>
      </c>
      <c r="D757" s="19" t="s">
        <v>457</v>
      </c>
      <c r="E757" s="18" t="s">
        <v>602</v>
      </c>
      <c r="F757" s="18">
        <v>2</v>
      </c>
      <c r="G757" s="20">
        <v>13400</v>
      </c>
      <c r="H757" s="18">
        <v>0</v>
      </c>
      <c r="I757" s="18">
        <v>14</v>
      </c>
      <c r="J757" s="8">
        <f t="shared" si="33"/>
        <v>13386</v>
      </c>
      <c r="K757" s="10">
        <f t="shared" si="34"/>
        <v>0.99895522388059699</v>
      </c>
      <c r="L757" s="17">
        <f t="shared" si="35"/>
        <v>0</v>
      </c>
      <c r="M757" t="str">
        <f>VLOOKUP(D757,'Jer-Tip-Emp'!B:E,4,0)</f>
        <v>Adición</v>
      </c>
      <c r="N757" t="str">
        <f>VLOOKUP(D757,'Jer-Tip-Emp'!B:F,5,0)</f>
        <v>Adición</v>
      </c>
      <c r="O757" t="str">
        <f>VLOOKUP(D757,'Jer-Tip-Emp'!B:G,6,0)</f>
        <v>Adición</v>
      </c>
    </row>
    <row r="758" spans="1:15" ht="27.5" hidden="1" customHeight="1" x14ac:dyDescent="0.2">
      <c r="A758">
        <v>2025</v>
      </c>
      <c r="B758" t="s">
        <v>604</v>
      </c>
      <c r="C758" t="s">
        <v>594</v>
      </c>
      <c r="D758" s="19" t="s">
        <v>411</v>
      </c>
      <c r="E758" s="18" t="s">
        <v>569</v>
      </c>
      <c r="F758" s="18">
        <v>1</v>
      </c>
      <c r="G758" s="20">
        <v>2000</v>
      </c>
      <c r="H758" s="18">
        <v>0</v>
      </c>
      <c r="I758" s="20">
        <v>2235</v>
      </c>
      <c r="J758" s="8">
        <f t="shared" si="33"/>
        <v>-235</v>
      </c>
      <c r="K758" s="10">
        <f t="shared" si="34"/>
        <v>-0.11749999999999999</v>
      </c>
      <c r="L758" s="17">
        <f t="shared" si="35"/>
        <v>0</v>
      </c>
      <c r="M758" t="str">
        <f>VLOOKUP(D758,'Jer-Tip-Emp'!B:E,4,0)</f>
        <v>Bebidas</v>
      </c>
      <c r="N758" t="str">
        <f>VLOOKUP(D758,'Jer-Tip-Emp'!B:F,5,0)</f>
        <v>Bebidas Cambio de bebida</v>
      </c>
      <c r="O758" t="str">
        <f>VLOOKUP(D758,'Jer-Tip-Emp'!B:G,6,0)</f>
        <v>Bebidas</v>
      </c>
    </row>
    <row r="759" spans="1:15" ht="27.5" customHeight="1" x14ac:dyDescent="0.2">
      <c r="A759">
        <v>2025</v>
      </c>
      <c r="B759" t="s">
        <v>604</v>
      </c>
      <c r="C759" t="s">
        <v>594</v>
      </c>
      <c r="D759" s="19" t="s">
        <v>333</v>
      </c>
      <c r="E759" s="18" t="s">
        <v>547</v>
      </c>
      <c r="F759" s="18">
        <v>1</v>
      </c>
      <c r="G759" s="18">
        <v>0</v>
      </c>
      <c r="H759" s="18">
        <v>0</v>
      </c>
      <c r="I759" s="20">
        <v>3322</v>
      </c>
      <c r="J759" s="8">
        <f t="shared" si="33"/>
        <v>-3322</v>
      </c>
      <c r="K759" s="10">
        <f t="shared" si="34"/>
        <v>0</v>
      </c>
      <c r="L759" s="17">
        <f t="shared" si="35"/>
        <v>0</v>
      </c>
      <c r="M759" t="str">
        <f>VLOOKUP(D759,'Jer-Tip-Emp'!B:E,4,0)</f>
        <v>Arma tu plato</v>
      </c>
      <c r="N759" t="str">
        <f>VLOOKUP(D759,'Jer-Tip-Emp'!B:F,5,0)</f>
        <v>Personal</v>
      </c>
      <c r="O759" t="str">
        <f>VLOOKUP(D759,'Jer-Tip-Emp'!B:G,6,0)</f>
        <v>Caja</v>
      </c>
    </row>
    <row r="760" spans="1:15" ht="27.5" hidden="1" customHeight="1" x14ac:dyDescent="0.2">
      <c r="A760">
        <v>2025</v>
      </c>
      <c r="B760" t="s">
        <v>604</v>
      </c>
      <c r="C760" t="s">
        <v>594</v>
      </c>
      <c r="D760" s="19" t="s">
        <v>193</v>
      </c>
      <c r="E760" s="18" t="s">
        <v>18</v>
      </c>
      <c r="F760" s="18">
        <v>1</v>
      </c>
      <c r="G760" s="20">
        <v>8900</v>
      </c>
      <c r="H760" s="18">
        <v>0</v>
      </c>
      <c r="I760" s="20">
        <v>3108</v>
      </c>
      <c r="J760" s="8">
        <f t="shared" si="33"/>
        <v>5792</v>
      </c>
      <c r="K760" s="10">
        <f t="shared" si="34"/>
        <v>0.65078651685393263</v>
      </c>
      <c r="L760" s="17">
        <f t="shared" si="35"/>
        <v>0</v>
      </c>
      <c r="M760" t="str">
        <f>VLOOKUP(D760,'Jer-Tip-Emp'!B:E,4,0)</f>
        <v>Adición</v>
      </c>
      <c r="N760" t="str">
        <f>VLOOKUP(D760,'Jer-Tip-Emp'!B:F,5,0)</f>
        <v>Adición</v>
      </c>
      <c r="O760" t="str">
        <f>VLOOKUP(D760,'Jer-Tip-Emp'!B:G,6,0)</f>
        <v>Adición</v>
      </c>
    </row>
    <row r="761" spans="1:15" ht="27.5" customHeight="1" x14ac:dyDescent="0.2">
      <c r="A761">
        <v>2025</v>
      </c>
      <c r="B761" t="s">
        <v>604</v>
      </c>
      <c r="C761" t="s">
        <v>594</v>
      </c>
      <c r="D761" s="19" t="s">
        <v>278</v>
      </c>
      <c r="E761" s="18" t="s">
        <v>84</v>
      </c>
      <c r="F761" s="18">
        <v>1</v>
      </c>
      <c r="G761" s="20">
        <v>23000</v>
      </c>
      <c r="H761" s="20">
        <v>-6900</v>
      </c>
      <c r="I761" s="20">
        <v>7973</v>
      </c>
      <c r="J761" s="8">
        <f t="shared" si="33"/>
        <v>15027</v>
      </c>
      <c r="K761" s="10">
        <f t="shared" si="34"/>
        <v>0.65334782608695652</v>
      </c>
      <c r="L761" s="17">
        <f t="shared" si="35"/>
        <v>0.3</v>
      </c>
      <c r="M761" t="str">
        <f>VLOOKUP(D761,'Jer-Tip-Emp'!B:E,4,0)</f>
        <v>Combos para compartir</v>
      </c>
      <c r="N761" t="str">
        <f>VLOOKUP(D761,'Jer-Tip-Emp'!B:F,5,0)</f>
        <v>No Personal</v>
      </c>
      <c r="O761" t="str">
        <f>VLOOKUP(D761,'Jer-Tip-Emp'!B:G,6,0)</f>
        <v>Combo</v>
      </c>
    </row>
    <row r="762" spans="1:15" ht="27.5" hidden="1" customHeight="1" x14ac:dyDescent="0.2">
      <c r="A762">
        <v>2025</v>
      </c>
      <c r="B762" t="s">
        <v>604</v>
      </c>
      <c r="C762" t="s">
        <v>594</v>
      </c>
      <c r="D762" s="19" t="s">
        <v>218</v>
      </c>
      <c r="E762" s="18" t="s">
        <v>33</v>
      </c>
      <c r="F762" s="18">
        <v>1</v>
      </c>
      <c r="G762" s="20">
        <v>9900</v>
      </c>
      <c r="H762" s="18">
        <v>0</v>
      </c>
      <c r="I762" s="18">
        <v>0</v>
      </c>
      <c r="J762" s="8">
        <f t="shared" si="33"/>
        <v>9900</v>
      </c>
      <c r="K762" s="10">
        <f t="shared" si="34"/>
        <v>1</v>
      </c>
      <c r="L762" s="17">
        <f t="shared" si="35"/>
        <v>0</v>
      </c>
      <c r="M762" t="str">
        <f>VLOOKUP(D762,'Jer-Tip-Emp'!B:E,4,0)</f>
        <v>Adición</v>
      </c>
      <c r="N762" t="str">
        <f>VLOOKUP(D762,'Jer-Tip-Emp'!B:F,5,0)</f>
        <v>Adición</v>
      </c>
      <c r="O762" t="str">
        <f>VLOOKUP(D762,'Jer-Tip-Emp'!B:G,6,0)</f>
        <v>Adición</v>
      </c>
    </row>
    <row r="763" spans="1:15" ht="27.5" hidden="1" customHeight="1" x14ac:dyDescent="0.2">
      <c r="A763">
        <v>2025</v>
      </c>
      <c r="B763" t="s">
        <v>604</v>
      </c>
      <c r="C763" t="s">
        <v>594</v>
      </c>
      <c r="D763" s="19" t="s">
        <v>505</v>
      </c>
      <c r="E763" s="18" t="s">
        <v>605</v>
      </c>
      <c r="F763" s="18">
        <v>1</v>
      </c>
      <c r="G763" s="20">
        <v>4900</v>
      </c>
      <c r="H763" s="18">
        <v>0</v>
      </c>
      <c r="I763" s="20">
        <v>1330</v>
      </c>
      <c r="J763" s="8">
        <f t="shared" si="33"/>
        <v>3570</v>
      </c>
      <c r="K763" s="10">
        <f t="shared" si="34"/>
        <v>0.72857142857142854</v>
      </c>
      <c r="L763" s="17">
        <f t="shared" si="35"/>
        <v>0</v>
      </c>
      <c r="M763" t="str">
        <f>VLOOKUP(D763,'Jer-Tip-Emp'!B:E,4,0)</f>
        <v>Bebidas</v>
      </c>
      <c r="N763" t="str">
        <f>VLOOKUP(D763,'Jer-Tip-Emp'!B:F,5,0)</f>
        <v>Bebidas Adiciona tu bebida</v>
      </c>
      <c r="O763" t="str">
        <f>VLOOKUP(D763,'Jer-Tip-Emp'!B:G,6,0)</f>
        <v>Bebidas</v>
      </c>
    </row>
    <row r="764" spans="1:15" ht="27.5" hidden="1" customHeight="1" x14ac:dyDescent="0.2">
      <c r="A764">
        <v>2025</v>
      </c>
      <c r="B764" t="s">
        <v>604</v>
      </c>
      <c r="C764" t="s">
        <v>594</v>
      </c>
      <c r="D764" s="19" t="s">
        <v>308</v>
      </c>
      <c r="E764" s="18" t="s">
        <v>606</v>
      </c>
      <c r="F764" s="18">
        <v>1</v>
      </c>
      <c r="G764" s="20">
        <v>2000</v>
      </c>
      <c r="H764" s="18">
        <v>0</v>
      </c>
      <c r="I764" s="18">
        <v>0</v>
      </c>
      <c r="J764" s="8">
        <f t="shared" si="33"/>
        <v>2000</v>
      </c>
      <c r="K764" s="10">
        <f t="shared" si="34"/>
        <v>1</v>
      </c>
      <c r="L764" s="17">
        <f t="shared" si="35"/>
        <v>0</v>
      </c>
      <c r="M764" t="str">
        <f>VLOOKUP(D764,'Jer-Tip-Emp'!B:E,4,0)</f>
        <v>Bebidas</v>
      </c>
      <c r="N764" t="str">
        <f>VLOOKUP(D764,'Jer-Tip-Emp'!B:F,5,0)</f>
        <v>Bebidas Cambio de bebida</v>
      </c>
      <c r="O764" t="str">
        <f>VLOOKUP(D764,'Jer-Tip-Emp'!B:G,6,0)</f>
        <v>Bebidas</v>
      </c>
    </row>
    <row r="765" spans="1:15" ht="27.5" hidden="1" customHeight="1" x14ac:dyDescent="0.2">
      <c r="A765">
        <v>2025</v>
      </c>
      <c r="B765" t="s">
        <v>604</v>
      </c>
      <c r="C765" t="s">
        <v>594</v>
      </c>
      <c r="D765" s="19" t="s">
        <v>321</v>
      </c>
      <c r="E765" s="18" t="s">
        <v>72</v>
      </c>
      <c r="F765" s="18">
        <v>1</v>
      </c>
      <c r="G765" s="20">
        <v>5900</v>
      </c>
      <c r="H765" s="18">
        <v>0</v>
      </c>
      <c r="I765" s="20">
        <v>1330</v>
      </c>
      <c r="J765" s="8">
        <f t="shared" si="33"/>
        <v>4570</v>
      </c>
      <c r="K765" s="10">
        <f t="shared" si="34"/>
        <v>0.77457627118644068</v>
      </c>
      <c r="L765" s="17">
        <f t="shared" si="35"/>
        <v>0</v>
      </c>
      <c r="M765" t="str">
        <f>VLOOKUP(D765,'Jer-Tip-Emp'!B:E,4,0)</f>
        <v>Bebidas</v>
      </c>
      <c r="N765" t="str">
        <f>VLOOKUP(D765,'Jer-Tip-Emp'!B:F,5,0)</f>
        <v>Bebidas</v>
      </c>
      <c r="O765" t="str">
        <f>VLOOKUP(D765,'Jer-Tip-Emp'!B:G,6,0)</f>
        <v>Bebidas</v>
      </c>
    </row>
    <row r="766" spans="1:15" ht="27.5" hidden="1" customHeight="1" x14ac:dyDescent="0.2">
      <c r="A766">
        <v>2025</v>
      </c>
      <c r="B766" t="s">
        <v>604</v>
      </c>
      <c r="C766" t="s">
        <v>594</v>
      </c>
      <c r="D766" s="19" t="s">
        <v>512</v>
      </c>
      <c r="E766" s="18" t="s">
        <v>582</v>
      </c>
      <c r="F766" s="18">
        <v>1</v>
      </c>
      <c r="G766" s="20">
        <v>4900</v>
      </c>
      <c r="H766" s="18">
        <v>0</v>
      </c>
      <c r="I766" s="20">
        <v>1560</v>
      </c>
      <c r="J766" s="8">
        <f t="shared" si="33"/>
        <v>3340</v>
      </c>
      <c r="K766" s="10">
        <f t="shared" si="34"/>
        <v>0.68163265306122445</v>
      </c>
      <c r="L766" s="17">
        <f t="shared" si="35"/>
        <v>0</v>
      </c>
      <c r="M766" t="str">
        <f>VLOOKUP(D766,'Jer-Tip-Emp'!B:E,4,0)</f>
        <v>Bebidas</v>
      </c>
      <c r="N766" t="str">
        <f>VLOOKUP(D766,'Jer-Tip-Emp'!B:F,5,0)</f>
        <v>Bebidas Adiciona tu bebida</v>
      </c>
      <c r="O766" t="str">
        <f>VLOOKUP(D766,'Jer-Tip-Emp'!B:G,6,0)</f>
        <v>Bebidas</v>
      </c>
    </row>
    <row r="767" spans="1:15" ht="27.5" hidden="1" customHeight="1" x14ac:dyDescent="0.2">
      <c r="A767">
        <v>2025</v>
      </c>
      <c r="B767" t="s">
        <v>604</v>
      </c>
      <c r="C767" t="s">
        <v>594</v>
      </c>
      <c r="D767" s="19" t="s">
        <v>351</v>
      </c>
      <c r="E767" s="18" t="s">
        <v>55</v>
      </c>
      <c r="F767" s="18">
        <v>1</v>
      </c>
      <c r="G767" s="20">
        <v>6500</v>
      </c>
      <c r="H767" s="18">
        <v>0</v>
      </c>
      <c r="I767" s="20">
        <v>1448</v>
      </c>
      <c r="J767" s="8">
        <f t="shared" si="33"/>
        <v>5052</v>
      </c>
      <c r="K767" s="10">
        <f t="shared" si="34"/>
        <v>0.77723076923076928</v>
      </c>
      <c r="L767" s="17">
        <f t="shared" si="35"/>
        <v>0</v>
      </c>
      <c r="M767" t="str">
        <f>VLOOKUP(D767,'Jer-Tip-Emp'!B:E,4,0)</f>
        <v>Bebidas</v>
      </c>
      <c r="N767" t="str">
        <f>VLOOKUP(D767,'Jer-Tip-Emp'!B:F,5,0)</f>
        <v>Bebidas</v>
      </c>
      <c r="O767" t="str">
        <f>VLOOKUP(D767,'Jer-Tip-Emp'!B:G,6,0)</f>
        <v>Bebidas</v>
      </c>
    </row>
    <row r="768" spans="1:15" ht="27.5" hidden="1" customHeight="1" x14ac:dyDescent="0.2">
      <c r="A768">
        <v>2025</v>
      </c>
      <c r="B768" t="s">
        <v>604</v>
      </c>
      <c r="C768" t="s">
        <v>594</v>
      </c>
      <c r="D768" s="19" t="s">
        <v>336</v>
      </c>
      <c r="E768" s="18" t="s">
        <v>60</v>
      </c>
      <c r="F768" s="18">
        <v>1</v>
      </c>
      <c r="G768" s="20">
        <v>5900</v>
      </c>
      <c r="H768" s="18">
        <v>0</v>
      </c>
      <c r="I768" s="20">
        <v>1560</v>
      </c>
      <c r="J768" s="8">
        <f t="shared" si="33"/>
        <v>4340</v>
      </c>
      <c r="K768" s="10">
        <f t="shared" si="34"/>
        <v>0.735593220338983</v>
      </c>
      <c r="L768" s="17">
        <f t="shared" si="35"/>
        <v>0</v>
      </c>
      <c r="M768" t="str">
        <f>VLOOKUP(D768,'Jer-Tip-Emp'!B:E,4,0)</f>
        <v>Bebidas</v>
      </c>
      <c r="N768" t="str">
        <f>VLOOKUP(D768,'Jer-Tip-Emp'!B:F,5,0)</f>
        <v>Bebidas</v>
      </c>
      <c r="O768" t="str">
        <f>VLOOKUP(D768,'Jer-Tip-Emp'!B:G,6,0)</f>
        <v>Bebidas</v>
      </c>
    </row>
    <row r="769" spans="1:15" ht="27.5" customHeight="1" x14ac:dyDescent="0.2">
      <c r="A769">
        <v>2025</v>
      </c>
      <c r="B769" t="s">
        <v>613</v>
      </c>
      <c r="C769" t="s">
        <v>609</v>
      </c>
      <c r="D769" s="19" t="s">
        <v>207</v>
      </c>
      <c r="E769" s="18" t="s">
        <v>92</v>
      </c>
      <c r="F769" s="18">
        <v>229</v>
      </c>
      <c r="G769" s="20">
        <v>5472110</v>
      </c>
      <c r="H769" s="18">
        <v>-990</v>
      </c>
      <c r="I769" s="20">
        <v>2204583</v>
      </c>
      <c r="J769" s="8">
        <f t="shared" ref="J769:J832" si="36">G769-I769</f>
        <v>3267527</v>
      </c>
      <c r="K769" s="10">
        <f t="shared" ref="K769:K832" si="37">IFERROR(J769/G769,0)</f>
        <v>0.59712377857901244</v>
      </c>
      <c r="L769" s="17">
        <f t="shared" ref="L769:L832" si="38">IFERROR((H769/G769)*-1,0)</f>
        <v>1.8091741576832336E-4</v>
      </c>
      <c r="M769" t="str">
        <f>VLOOKUP(D769,'Jer-Tip-Emp'!B:E,4,0)</f>
        <v>Combos personales</v>
      </c>
      <c r="N769" t="str">
        <f>VLOOKUP(D769,'Jer-Tip-Emp'!B:F,5,0)</f>
        <v>Personal</v>
      </c>
      <c r="O769" t="str">
        <f>VLOOKUP(D769,'Jer-Tip-Emp'!B:G,6,0)</f>
        <v>Combo</v>
      </c>
    </row>
    <row r="770" spans="1:15" ht="27.5" customHeight="1" x14ac:dyDescent="0.2">
      <c r="A770">
        <v>2025</v>
      </c>
      <c r="B770" t="s">
        <v>613</v>
      </c>
      <c r="C770" t="s">
        <v>609</v>
      </c>
      <c r="D770" s="19" t="s">
        <v>273</v>
      </c>
      <c r="E770" s="18" t="s">
        <v>23</v>
      </c>
      <c r="F770" s="18">
        <v>183</v>
      </c>
      <c r="G770" s="20">
        <v>4444733</v>
      </c>
      <c r="H770" s="20">
        <v>-111967</v>
      </c>
      <c r="I770" s="18">
        <v>0</v>
      </c>
      <c r="J770" s="8">
        <f t="shared" si="36"/>
        <v>4444733</v>
      </c>
      <c r="K770" s="10">
        <f t="shared" si="37"/>
        <v>1</v>
      </c>
      <c r="L770" s="17">
        <f t="shared" si="38"/>
        <v>2.5190939478254373E-2</v>
      </c>
      <c r="M770" t="str">
        <f>VLOOKUP(D770,'Jer-Tip-Emp'!B:E,4,0)</f>
        <v>Arma tu plato</v>
      </c>
      <c r="N770" t="str">
        <f>VLOOKUP(D770,'Jer-Tip-Emp'!B:F,5,0)</f>
        <v>Personal</v>
      </c>
      <c r="O770" t="str">
        <f>VLOOKUP(D770,'Jer-Tip-Emp'!B:G,6,0)</f>
        <v>Caja</v>
      </c>
    </row>
    <row r="771" spans="1:15" ht="27.5" customHeight="1" x14ac:dyDescent="0.2">
      <c r="A771">
        <v>2025</v>
      </c>
      <c r="B771" t="s">
        <v>613</v>
      </c>
      <c r="C771" t="s">
        <v>609</v>
      </c>
      <c r="D771" s="19" t="s">
        <v>313</v>
      </c>
      <c r="E771" s="18" t="s">
        <v>540</v>
      </c>
      <c r="F771" s="18">
        <v>108</v>
      </c>
      <c r="G771" s="18">
        <v>0</v>
      </c>
      <c r="H771" s="18">
        <v>0</v>
      </c>
      <c r="I771" s="20">
        <v>593028</v>
      </c>
      <c r="J771" s="8">
        <f t="shared" si="36"/>
        <v>-593028</v>
      </c>
      <c r="K771" s="10">
        <f t="shared" si="37"/>
        <v>0</v>
      </c>
      <c r="L771" s="17">
        <f t="shared" si="38"/>
        <v>0</v>
      </c>
      <c r="M771" t="str">
        <f>VLOOKUP(D771,'Jer-Tip-Emp'!B:E,4,0)</f>
        <v>Arma tu plato</v>
      </c>
      <c r="N771" t="str">
        <f>VLOOKUP(D771,'Jer-Tip-Emp'!B:F,5,0)</f>
        <v>Personal</v>
      </c>
      <c r="O771" t="str">
        <f>VLOOKUP(D771,'Jer-Tip-Emp'!B:G,6,0)</f>
        <v>Caja</v>
      </c>
    </row>
    <row r="772" spans="1:15" ht="27.5" customHeight="1" x14ac:dyDescent="0.2">
      <c r="A772">
        <v>2025</v>
      </c>
      <c r="B772" t="s">
        <v>613</v>
      </c>
      <c r="C772" t="s">
        <v>609</v>
      </c>
      <c r="D772" s="19" t="s">
        <v>389</v>
      </c>
      <c r="E772" s="18" t="s">
        <v>541</v>
      </c>
      <c r="F772" s="18">
        <v>91</v>
      </c>
      <c r="G772" s="18">
        <v>0</v>
      </c>
      <c r="H772" s="18">
        <v>0</v>
      </c>
      <c r="I772" s="20">
        <v>497497</v>
      </c>
      <c r="J772" s="8">
        <f t="shared" si="36"/>
        <v>-497497</v>
      </c>
      <c r="K772" s="10">
        <f t="shared" si="37"/>
        <v>0</v>
      </c>
      <c r="L772" s="17">
        <f t="shared" si="38"/>
        <v>0</v>
      </c>
      <c r="M772" t="str">
        <f>VLOOKUP(D772,'Jer-Tip-Emp'!B:E,4,0)</f>
        <v>Arma tu plato</v>
      </c>
      <c r="N772" t="str">
        <f>VLOOKUP(D772,'Jer-Tip-Emp'!B:F,5,0)</f>
        <v>Personal</v>
      </c>
      <c r="O772" t="str">
        <f>VLOOKUP(D772,'Jer-Tip-Emp'!B:G,6,0)</f>
        <v>Caja</v>
      </c>
    </row>
    <row r="773" spans="1:15" ht="27.5" hidden="1" customHeight="1" x14ac:dyDescent="0.2">
      <c r="A773">
        <v>2025</v>
      </c>
      <c r="B773" t="s">
        <v>613</v>
      </c>
      <c r="C773" t="s">
        <v>609</v>
      </c>
      <c r="D773" s="19" t="s">
        <v>284</v>
      </c>
      <c r="E773" s="18" t="s">
        <v>106</v>
      </c>
      <c r="F773" s="18">
        <v>84</v>
      </c>
      <c r="G773" s="20">
        <v>746577</v>
      </c>
      <c r="H773" s="20">
        <v>-1023</v>
      </c>
      <c r="I773" s="20">
        <v>263676</v>
      </c>
      <c r="J773" s="8">
        <f t="shared" si="36"/>
        <v>482901</v>
      </c>
      <c r="K773" s="10">
        <f t="shared" si="37"/>
        <v>0.64682008687650439</v>
      </c>
      <c r="L773" s="17">
        <f t="shared" si="38"/>
        <v>1.3702538385190006E-3</v>
      </c>
      <c r="M773" t="str">
        <f>VLOOKUP(D773,'Jer-Tip-Emp'!B:E,4,0)</f>
        <v>Entradas</v>
      </c>
      <c r="N773" t="str">
        <f>VLOOKUP(D773,'Jer-Tip-Emp'!B:F,5,0)</f>
        <v>Otro</v>
      </c>
      <c r="O773" t="str">
        <f>VLOOKUP(D773,'Jer-Tip-Emp'!B:G,6,0)</f>
        <v>Otro</v>
      </c>
    </row>
    <row r="774" spans="1:15" ht="27.5" customHeight="1" x14ac:dyDescent="0.2">
      <c r="A774">
        <v>2025</v>
      </c>
      <c r="B774" t="s">
        <v>613</v>
      </c>
      <c r="C774" t="s">
        <v>609</v>
      </c>
      <c r="D774" s="19" t="s">
        <v>186</v>
      </c>
      <c r="E774" s="18" t="s">
        <v>95</v>
      </c>
      <c r="F774" s="18">
        <v>80</v>
      </c>
      <c r="G774" s="20">
        <v>2283100</v>
      </c>
      <c r="H774" s="20">
        <v>-28900</v>
      </c>
      <c r="I774" s="20">
        <v>765600</v>
      </c>
      <c r="J774" s="8">
        <f t="shared" si="36"/>
        <v>1517500</v>
      </c>
      <c r="K774" s="10">
        <f t="shared" si="37"/>
        <v>0.66466646226621695</v>
      </c>
      <c r="L774" s="17">
        <f t="shared" si="38"/>
        <v>1.2658227848101266E-2</v>
      </c>
      <c r="M774" t="str">
        <f>VLOOKUP(D774,'Jer-Tip-Emp'!B:E,4,0)</f>
        <v>Combos personales</v>
      </c>
      <c r="N774" t="str">
        <f>VLOOKUP(D774,'Jer-Tip-Emp'!B:F,5,0)</f>
        <v>Personal</v>
      </c>
      <c r="O774" t="str">
        <f>VLOOKUP(D774,'Jer-Tip-Emp'!B:G,6,0)</f>
        <v>Combo</v>
      </c>
    </row>
    <row r="775" spans="1:15" ht="27.5" customHeight="1" x14ac:dyDescent="0.2">
      <c r="A775">
        <v>2025</v>
      </c>
      <c r="B775" t="s">
        <v>613</v>
      </c>
      <c r="C775" t="s">
        <v>609</v>
      </c>
      <c r="D775" s="19" t="s">
        <v>196</v>
      </c>
      <c r="E775" s="18" t="s">
        <v>159</v>
      </c>
      <c r="F775" s="18">
        <v>77</v>
      </c>
      <c r="G775" s="20">
        <v>1982781</v>
      </c>
      <c r="H775" s="20">
        <v>-11519</v>
      </c>
      <c r="I775" s="20">
        <v>731577</v>
      </c>
      <c r="J775" s="8">
        <f t="shared" si="36"/>
        <v>1251204</v>
      </c>
      <c r="K775" s="10">
        <f t="shared" si="37"/>
        <v>0.63103489492788156</v>
      </c>
      <c r="L775" s="17">
        <f t="shared" si="38"/>
        <v>5.809517036929444E-3</v>
      </c>
      <c r="M775" t="str">
        <f>VLOOKUP(D775,'Jer-Tip-Emp'!B:E,4,0)</f>
        <v>Combos personales</v>
      </c>
      <c r="N775" t="str">
        <f>VLOOKUP(D775,'Jer-Tip-Emp'!B:F,5,0)</f>
        <v>Personal</v>
      </c>
      <c r="O775" t="str">
        <f>VLOOKUP(D775,'Jer-Tip-Emp'!B:G,6,0)</f>
        <v>Combo</v>
      </c>
    </row>
    <row r="776" spans="1:15" ht="27.5" customHeight="1" x14ac:dyDescent="0.2">
      <c r="A776">
        <v>2025</v>
      </c>
      <c r="B776" t="s">
        <v>613</v>
      </c>
      <c r="C776" t="s">
        <v>609</v>
      </c>
      <c r="D776" s="19" t="s">
        <v>212</v>
      </c>
      <c r="E776" s="18" t="s">
        <v>160</v>
      </c>
      <c r="F776" s="18">
        <v>71</v>
      </c>
      <c r="G776" s="20">
        <v>2050933</v>
      </c>
      <c r="H776" s="18">
        <v>-967</v>
      </c>
      <c r="I776" s="20">
        <v>798963</v>
      </c>
      <c r="J776" s="8">
        <f t="shared" si="36"/>
        <v>1251970</v>
      </c>
      <c r="K776" s="10">
        <f t="shared" si="37"/>
        <v>0.61043924886868561</v>
      </c>
      <c r="L776" s="17">
        <f t="shared" si="38"/>
        <v>4.7149273038173356E-4</v>
      </c>
      <c r="M776" t="str">
        <f>VLOOKUP(D776,'Jer-Tip-Emp'!B:E,4,0)</f>
        <v>Combos personales</v>
      </c>
      <c r="N776" t="str">
        <f>VLOOKUP(D776,'Jer-Tip-Emp'!B:F,5,0)</f>
        <v>Personal</v>
      </c>
      <c r="O776" t="str">
        <f>VLOOKUP(D776,'Jer-Tip-Emp'!B:G,6,0)</f>
        <v>Combo</v>
      </c>
    </row>
    <row r="777" spans="1:15" ht="27.5" customHeight="1" x14ac:dyDescent="0.2">
      <c r="A777">
        <v>2025</v>
      </c>
      <c r="B777" t="s">
        <v>613</v>
      </c>
      <c r="C777" t="s">
        <v>609</v>
      </c>
      <c r="D777" s="19" t="s">
        <v>322</v>
      </c>
      <c r="E777" s="18" t="s">
        <v>545</v>
      </c>
      <c r="F777" s="18">
        <v>62</v>
      </c>
      <c r="G777" s="20">
        <v>121799</v>
      </c>
      <c r="H777" s="20">
        <v>-2201</v>
      </c>
      <c r="I777" s="20">
        <v>192696</v>
      </c>
      <c r="J777" s="8">
        <f t="shared" si="36"/>
        <v>-70897</v>
      </c>
      <c r="K777" s="10">
        <f t="shared" si="37"/>
        <v>-0.58208195469585133</v>
      </c>
      <c r="L777" s="17">
        <f t="shared" si="38"/>
        <v>1.807075591753627E-2</v>
      </c>
      <c r="M777" t="str">
        <f>VLOOKUP(D777,'Jer-Tip-Emp'!B:E,4,0)</f>
        <v>Arma tu plato</v>
      </c>
      <c r="N777" t="str">
        <f>VLOOKUP(D777,'Jer-Tip-Emp'!B:F,5,0)</f>
        <v>Personal</v>
      </c>
      <c r="O777" t="str">
        <f>VLOOKUP(D777,'Jer-Tip-Emp'!B:G,6,0)</f>
        <v>Caja</v>
      </c>
    </row>
    <row r="778" spans="1:15" ht="27.5" hidden="1" customHeight="1" x14ac:dyDescent="0.2">
      <c r="A778">
        <v>2025</v>
      </c>
      <c r="B778" t="s">
        <v>613</v>
      </c>
      <c r="C778" t="s">
        <v>609</v>
      </c>
      <c r="D778" s="19" t="s">
        <v>500</v>
      </c>
      <c r="E778" s="18" t="s">
        <v>546</v>
      </c>
      <c r="F778" s="18">
        <v>61</v>
      </c>
      <c r="G778" s="18">
        <v>0</v>
      </c>
      <c r="H778" s="18">
        <v>0</v>
      </c>
      <c r="I778" s="20">
        <v>52948</v>
      </c>
      <c r="J778" s="8">
        <f t="shared" si="36"/>
        <v>-52948</v>
      </c>
      <c r="K778" s="10">
        <f t="shared" si="37"/>
        <v>0</v>
      </c>
      <c r="L778" s="17">
        <f t="shared" si="38"/>
        <v>0</v>
      </c>
      <c r="M778" t="str">
        <f>VLOOKUP(D778,'Jer-Tip-Emp'!B:E,4,0)</f>
        <v>Bebidas</v>
      </c>
      <c r="N778" t="str">
        <f>VLOOKUP(D778,'Jer-Tip-Emp'!B:F,5,0)</f>
        <v>Bebidas Cambio de bebida</v>
      </c>
      <c r="O778" t="str">
        <f>VLOOKUP(D778,'Jer-Tip-Emp'!B:G,6,0)</f>
        <v>Bebidas</v>
      </c>
    </row>
    <row r="779" spans="1:15" ht="27.5" customHeight="1" x14ac:dyDescent="0.2">
      <c r="A779">
        <v>2025</v>
      </c>
      <c r="B779" t="s">
        <v>613</v>
      </c>
      <c r="C779" t="s">
        <v>609</v>
      </c>
      <c r="D779" s="19" t="s">
        <v>333</v>
      </c>
      <c r="E779" s="18" t="s">
        <v>547</v>
      </c>
      <c r="F779" s="18">
        <v>61</v>
      </c>
      <c r="G779" s="18">
        <v>0</v>
      </c>
      <c r="H779" s="18">
        <v>0</v>
      </c>
      <c r="I779" s="20">
        <v>202642</v>
      </c>
      <c r="J779" s="8">
        <f t="shared" si="36"/>
        <v>-202642</v>
      </c>
      <c r="K779" s="10">
        <f t="shared" si="37"/>
        <v>0</v>
      </c>
      <c r="L779" s="17">
        <f t="shared" si="38"/>
        <v>0</v>
      </c>
      <c r="M779" t="str">
        <f>VLOOKUP(D779,'Jer-Tip-Emp'!B:E,4,0)</f>
        <v>Arma tu plato</v>
      </c>
      <c r="N779" t="str">
        <f>VLOOKUP(D779,'Jer-Tip-Emp'!B:F,5,0)</f>
        <v>Personal</v>
      </c>
      <c r="O779" t="str">
        <f>VLOOKUP(D779,'Jer-Tip-Emp'!B:G,6,0)</f>
        <v>Caja</v>
      </c>
    </row>
    <row r="780" spans="1:15" ht="27.5" hidden="1" customHeight="1" x14ac:dyDescent="0.2">
      <c r="A780">
        <v>2025</v>
      </c>
      <c r="B780" t="s">
        <v>613</v>
      </c>
      <c r="C780" t="s">
        <v>609</v>
      </c>
      <c r="D780" s="19" t="s">
        <v>310</v>
      </c>
      <c r="E780" s="18" t="s">
        <v>53</v>
      </c>
      <c r="F780" s="18">
        <v>58</v>
      </c>
      <c r="G780" s="20">
        <v>342200</v>
      </c>
      <c r="H780" s="18">
        <v>0</v>
      </c>
      <c r="I780" s="20">
        <v>98310</v>
      </c>
      <c r="J780" s="8">
        <f t="shared" si="36"/>
        <v>243890</v>
      </c>
      <c r="K780" s="10">
        <f t="shared" si="37"/>
        <v>0.71271186440677969</v>
      </c>
      <c r="L780" s="17">
        <f t="shared" si="38"/>
        <v>0</v>
      </c>
      <c r="M780" t="str">
        <f>VLOOKUP(D780,'Jer-Tip-Emp'!B:E,4,0)</f>
        <v>Bebidas</v>
      </c>
      <c r="N780" t="str">
        <f>VLOOKUP(D780,'Jer-Tip-Emp'!B:F,5,0)</f>
        <v>Bebidas</v>
      </c>
      <c r="O780" t="str">
        <f>VLOOKUP(D780,'Jer-Tip-Emp'!B:G,6,0)</f>
        <v>Bebidas</v>
      </c>
    </row>
    <row r="781" spans="1:15" ht="27.5" customHeight="1" x14ac:dyDescent="0.2">
      <c r="A781">
        <v>2025</v>
      </c>
      <c r="B781" t="s">
        <v>613</v>
      </c>
      <c r="C781" t="s">
        <v>609</v>
      </c>
      <c r="D781" s="19" t="s">
        <v>376</v>
      </c>
      <c r="E781" s="18" t="s">
        <v>543</v>
      </c>
      <c r="F781" s="18">
        <v>56</v>
      </c>
      <c r="G781" s="18">
        <v>0</v>
      </c>
      <c r="H781" s="18">
        <v>0</v>
      </c>
      <c r="I781" s="20">
        <v>71792</v>
      </c>
      <c r="J781" s="8">
        <f t="shared" si="36"/>
        <v>-71792</v>
      </c>
      <c r="K781" s="10">
        <f t="shared" si="37"/>
        <v>0</v>
      </c>
      <c r="L781" s="17">
        <f t="shared" si="38"/>
        <v>0</v>
      </c>
      <c r="M781" t="str">
        <f>VLOOKUP(D781,'Jer-Tip-Emp'!B:E,4,0)</f>
        <v>Arma tu plato</v>
      </c>
      <c r="N781" t="str">
        <f>VLOOKUP(D781,'Jer-Tip-Emp'!B:F,5,0)</f>
        <v>Personal</v>
      </c>
      <c r="O781" t="str">
        <f>VLOOKUP(D781,'Jer-Tip-Emp'!B:G,6,0)</f>
        <v>Caja</v>
      </c>
    </row>
    <row r="782" spans="1:15" ht="27.5" hidden="1" customHeight="1" x14ac:dyDescent="0.2">
      <c r="A782">
        <v>2025</v>
      </c>
      <c r="B782" t="s">
        <v>613</v>
      </c>
      <c r="C782" t="s">
        <v>609</v>
      </c>
      <c r="D782" s="19" t="s">
        <v>176</v>
      </c>
      <c r="E782" s="18" t="s">
        <v>544</v>
      </c>
      <c r="F782" s="18">
        <v>54</v>
      </c>
      <c r="G782" s="20">
        <v>53518</v>
      </c>
      <c r="H782" s="18">
        <v>-482</v>
      </c>
      <c r="I782" s="20">
        <v>105030</v>
      </c>
      <c r="J782" s="8">
        <f t="shared" si="36"/>
        <v>-51512</v>
      </c>
      <c r="K782" s="10">
        <f t="shared" si="37"/>
        <v>-0.96251728390448077</v>
      </c>
      <c r="L782" s="17">
        <f t="shared" si="38"/>
        <v>9.0063156321237708E-3</v>
      </c>
      <c r="M782" t="str">
        <f>VLOOKUP(D782,'Jer-Tip-Emp'!B:E,4,0)</f>
        <v>Bebidas</v>
      </c>
      <c r="N782" t="str">
        <f>VLOOKUP(D782,'Jer-Tip-Emp'!B:F,5,0)</f>
        <v>Bebidas Cambio de bebida</v>
      </c>
      <c r="O782" t="str">
        <f>VLOOKUP(D782,'Jer-Tip-Emp'!B:G,6,0)</f>
        <v>Bebidas</v>
      </c>
    </row>
    <row r="783" spans="1:15" ht="27.5" hidden="1" customHeight="1" x14ac:dyDescent="0.2">
      <c r="A783">
        <v>2025</v>
      </c>
      <c r="B783" t="s">
        <v>613</v>
      </c>
      <c r="C783" t="s">
        <v>609</v>
      </c>
      <c r="D783" s="19" t="s">
        <v>327</v>
      </c>
      <c r="E783" s="18" t="s">
        <v>44</v>
      </c>
      <c r="F783" s="18">
        <v>54</v>
      </c>
      <c r="G783" s="20">
        <v>264600</v>
      </c>
      <c r="H783" s="18">
        <v>0</v>
      </c>
      <c r="I783" s="20">
        <v>59130</v>
      </c>
      <c r="J783" s="8">
        <f t="shared" si="36"/>
        <v>205470</v>
      </c>
      <c r="K783" s="10">
        <f t="shared" si="37"/>
        <v>0.77653061224489794</v>
      </c>
      <c r="L783" s="17">
        <f t="shared" si="38"/>
        <v>0</v>
      </c>
      <c r="M783" t="str">
        <f>VLOOKUP(D783,'Jer-Tip-Emp'!B:E,4,0)</f>
        <v>Bebidas</v>
      </c>
      <c r="N783" t="str">
        <f>VLOOKUP(D783,'Jer-Tip-Emp'!B:F,5,0)</f>
        <v>Bebidas</v>
      </c>
      <c r="O783" t="str">
        <f>VLOOKUP(D783,'Jer-Tip-Emp'!B:G,6,0)</f>
        <v>Bebidas</v>
      </c>
    </row>
    <row r="784" spans="1:15" ht="27.5" customHeight="1" x14ac:dyDescent="0.2">
      <c r="A784">
        <v>2025</v>
      </c>
      <c r="B784" t="s">
        <v>613</v>
      </c>
      <c r="C784" t="s">
        <v>609</v>
      </c>
      <c r="D784" s="19" t="s">
        <v>393</v>
      </c>
      <c r="E784" s="18" t="s">
        <v>549</v>
      </c>
      <c r="F784" s="18">
        <v>50</v>
      </c>
      <c r="G784" s="20">
        <v>98000</v>
      </c>
      <c r="H784" s="20">
        <v>-2000</v>
      </c>
      <c r="I784" s="20">
        <v>101750</v>
      </c>
      <c r="J784" s="8">
        <f t="shared" si="36"/>
        <v>-3750</v>
      </c>
      <c r="K784" s="10">
        <f t="shared" si="37"/>
        <v>-3.826530612244898E-2</v>
      </c>
      <c r="L784" s="17">
        <f t="shared" si="38"/>
        <v>2.0408163265306121E-2</v>
      </c>
      <c r="M784" t="str">
        <f>VLOOKUP(D784,'Jer-Tip-Emp'!B:E,4,0)</f>
        <v>Arma tu plato</v>
      </c>
      <c r="N784" t="str">
        <f>VLOOKUP(D784,'Jer-Tip-Emp'!B:F,5,0)</f>
        <v>Personal</v>
      </c>
      <c r="O784" t="str">
        <f>VLOOKUP(D784,'Jer-Tip-Emp'!B:G,6,0)</f>
        <v>Caja</v>
      </c>
    </row>
    <row r="785" spans="1:15" ht="27.5" customHeight="1" x14ac:dyDescent="0.2">
      <c r="A785">
        <v>2025</v>
      </c>
      <c r="B785" t="s">
        <v>613</v>
      </c>
      <c r="C785" t="s">
        <v>609</v>
      </c>
      <c r="D785" s="19" t="s">
        <v>245</v>
      </c>
      <c r="E785" s="18" t="s">
        <v>167</v>
      </c>
      <c r="F785" s="18">
        <v>43</v>
      </c>
      <c r="G785" s="20">
        <v>846183</v>
      </c>
      <c r="H785" s="20">
        <v>-9517</v>
      </c>
      <c r="I785" s="18">
        <v>0</v>
      </c>
      <c r="J785" s="8">
        <f t="shared" si="36"/>
        <v>846183</v>
      </c>
      <c r="K785" s="10">
        <f t="shared" si="37"/>
        <v>1</v>
      </c>
      <c r="L785" s="17">
        <f t="shared" si="38"/>
        <v>1.1246976126913446E-2</v>
      </c>
      <c r="M785" t="str">
        <f>VLOOKUP(D785,'Jer-Tip-Emp'!B:E,4,0)</f>
        <v>Mong Express</v>
      </c>
      <c r="N785" t="str">
        <f>VLOOKUP(D785,'Jer-Tip-Emp'!B:F,5,0)</f>
        <v>Personal</v>
      </c>
      <c r="O785" t="str">
        <f>VLOOKUP(D785,'Jer-Tip-Emp'!B:G,6,0)</f>
        <v>Caja</v>
      </c>
    </row>
    <row r="786" spans="1:15" ht="27.5" customHeight="1" x14ac:dyDescent="0.2">
      <c r="A786">
        <v>2025</v>
      </c>
      <c r="B786" t="s">
        <v>613</v>
      </c>
      <c r="C786" t="s">
        <v>609</v>
      </c>
      <c r="D786" s="19" t="s">
        <v>223</v>
      </c>
      <c r="E786" s="18" t="s">
        <v>116</v>
      </c>
      <c r="F786" s="18">
        <v>41</v>
      </c>
      <c r="G786" s="20">
        <v>1102900</v>
      </c>
      <c r="H786" s="18">
        <v>0</v>
      </c>
      <c r="I786" s="20">
        <v>559158</v>
      </c>
      <c r="J786" s="8">
        <f t="shared" si="36"/>
        <v>543742</v>
      </c>
      <c r="K786" s="10">
        <f t="shared" si="37"/>
        <v>0.4930111524163569</v>
      </c>
      <c r="L786" s="17">
        <f t="shared" si="38"/>
        <v>0</v>
      </c>
      <c r="M786" t="str">
        <f>VLOOKUP(D786,'Jer-Tip-Emp'!B:E,4,0)</f>
        <v>Platos especiales</v>
      </c>
      <c r="N786" t="str">
        <f>VLOOKUP(D786,'Jer-Tip-Emp'!B:F,5,0)</f>
        <v>Personal</v>
      </c>
      <c r="O786" t="str">
        <f>VLOOKUP(D786,'Jer-Tip-Emp'!B:G,6,0)</f>
        <v>Platos especiales</v>
      </c>
    </row>
    <row r="787" spans="1:15" ht="27.5" customHeight="1" x14ac:dyDescent="0.2">
      <c r="A787">
        <v>2025</v>
      </c>
      <c r="B787" t="s">
        <v>613</v>
      </c>
      <c r="C787" t="s">
        <v>609</v>
      </c>
      <c r="D787" s="19" t="s">
        <v>354</v>
      </c>
      <c r="E787" s="18" t="s">
        <v>548</v>
      </c>
      <c r="F787" s="18">
        <v>41</v>
      </c>
      <c r="G787" s="18">
        <v>0</v>
      </c>
      <c r="H787" s="18">
        <v>0</v>
      </c>
      <c r="I787" s="20">
        <v>107994</v>
      </c>
      <c r="J787" s="8">
        <f t="shared" si="36"/>
        <v>-107994</v>
      </c>
      <c r="K787" s="10">
        <f t="shared" si="37"/>
        <v>0</v>
      </c>
      <c r="L787" s="17">
        <f t="shared" si="38"/>
        <v>0</v>
      </c>
      <c r="M787" t="str">
        <f>VLOOKUP(D787,'Jer-Tip-Emp'!B:E,4,0)</f>
        <v>Arma tu plato</v>
      </c>
      <c r="N787" t="str">
        <f>VLOOKUP(D787,'Jer-Tip-Emp'!B:F,5,0)</f>
        <v>Personal</v>
      </c>
      <c r="O787" t="str">
        <f>VLOOKUP(D787,'Jer-Tip-Emp'!B:G,6,0)</f>
        <v>Caja</v>
      </c>
    </row>
    <row r="788" spans="1:15" ht="27.5" customHeight="1" x14ac:dyDescent="0.2">
      <c r="A788">
        <v>2025</v>
      </c>
      <c r="B788" t="s">
        <v>613</v>
      </c>
      <c r="C788" t="s">
        <v>609</v>
      </c>
      <c r="D788" s="19" t="s">
        <v>470</v>
      </c>
      <c r="E788" s="18" t="s">
        <v>550</v>
      </c>
      <c r="F788" s="18">
        <v>36</v>
      </c>
      <c r="G788" s="18">
        <v>0</v>
      </c>
      <c r="H788" s="18">
        <v>0</v>
      </c>
      <c r="I788" s="20">
        <v>111492</v>
      </c>
      <c r="J788" s="8">
        <f t="shared" si="36"/>
        <v>-111492</v>
      </c>
      <c r="K788" s="10">
        <f t="shared" si="37"/>
        <v>0</v>
      </c>
      <c r="L788" s="17">
        <f t="shared" si="38"/>
        <v>0</v>
      </c>
      <c r="M788" t="str">
        <f>VLOOKUP(D788,'Jer-Tip-Emp'!B:E,4,0)</f>
        <v>Arma tu plato</v>
      </c>
      <c r="N788" t="str">
        <f>VLOOKUP(D788,'Jer-Tip-Emp'!B:F,5,0)</f>
        <v>Personal</v>
      </c>
      <c r="O788" t="str">
        <f>VLOOKUP(D788,'Jer-Tip-Emp'!B:G,6,0)</f>
        <v>Caja</v>
      </c>
    </row>
    <row r="789" spans="1:15" ht="27.5" customHeight="1" x14ac:dyDescent="0.2">
      <c r="A789">
        <v>2025</v>
      </c>
      <c r="B789" t="s">
        <v>613</v>
      </c>
      <c r="C789" t="s">
        <v>609</v>
      </c>
      <c r="D789" s="19" t="s">
        <v>219</v>
      </c>
      <c r="E789" s="18" t="s">
        <v>111</v>
      </c>
      <c r="F789" s="18">
        <v>30</v>
      </c>
      <c r="G789" s="20">
        <v>807000</v>
      </c>
      <c r="H789" s="18">
        <v>0</v>
      </c>
      <c r="I789" s="20">
        <v>407010</v>
      </c>
      <c r="J789" s="8">
        <f t="shared" si="36"/>
        <v>399990</v>
      </c>
      <c r="K789" s="10">
        <f t="shared" si="37"/>
        <v>0.49565055762081783</v>
      </c>
      <c r="L789" s="17">
        <f t="shared" si="38"/>
        <v>0</v>
      </c>
      <c r="M789" t="str">
        <f>VLOOKUP(D789,'Jer-Tip-Emp'!B:E,4,0)</f>
        <v>Platos especiales</v>
      </c>
      <c r="N789" t="str">
        <f>VLOOKUP(D789,'Jer-Tip-Emp'!B:F,5,0)</f>
        <v>Personal</v>
      </c>
      <c r="O789" t="str">
        <f>VLOOKUP(D789,'Jer-Tip-Emp'!B:G,6,0)</f>
        <v>Platos especiales</v>
      </c>
    </row>
    <row r="790" spans="1:15" ht="27.5" customHeight="1" x14ac:dyDescent="0.2">
      <c r="A790">
        <v>2025</v>
      </c>
      <c r="B790" t="s">
        <v>613</v>
      </c>
      <c r="C790" t="s">
        <v>609</v>
      </c>
      <c r="D790" s="19" t="s">
        <v>303</v>
      </c>
      <c r="E790" s="18" t="s">
        <v>120</v>
      </c>
      <c r="F790" s="18">
        <v>29</v>
      </c>
      <c r="G790" s="20">
        <v>658300</v>
      </c>
      <c r="H790" s="20">
        <v>-5800</v>
      </c>
      <c r="I790" s="20">
        <v>217906</v>
      </c>
      <c r="J790" s="8">
        <f t="shared" si="36"/>
        <v>440394</v>
      </c>
      <c r="K790" s="10">
        <f t="shared" si="37"/>
        <v>0.66898678414096913</v>
      </c>
      <c r="L790" s="17">
        <f t="shared" si="38"/>
        <v>8.8105726872246704E-3</v>
      </c>
      <c r="M790" t="str">
        <f>VLOOKUP(D790,'Jer-Tip-Emp'!B:E,4,0)</f>
        <v>Platos mong</v>
      </c>
      <c r="N790" t="str">
        <f>VLOOKUP(D790,'Jer-Tip-Emp'!B:F,5,0)</f>
        <v>Personal</v>
      </c>
      <c r="O790" t="str">
        <f>VLOOKUP(D790,'Jer-Tip-Emp'!B:G,6,0)</f>
        <v>Caja</v>
      </c>
    </row>
    <row r="791" spans="1:15" ht="27.5" hidden="1" customHeight="1" x14ac:dyDescent="0.2">
      <c r="A791">
        <v>2025</v>
      </c>
      <c r="B791" t="s">
        <v>613</v>
      </c>
      <c r="C791" t="s">
        <v>609</v>
      </c>
      <c r="D791" s="19" t="s">
        <v>253</v>
      </c>
      <c r="E791" s="18" t="s">
        <v>105</v>
      </c>
      <c r="F791" s="18">
        <v>25</v>
      </c>
      <c r="G791" s="20">
        <v>124164</v>
      </c>
      <c r="H791" s="18">
        <v>-836</v>
      </c>
      <c r="I791" s="20">
        <v>39225</v>
      </c>
      <c r="J791" s="8">
        <f t="shared" si="36"/>
        <v>84939</v>
      </c>
      <c r="K791" s="10">
        <f t="shared" si="37"/>
        <v>0.68408717502657779</v>
      </c>
      <c r="L791" s="17">
        <f t="shared" si="38"/>
        <v>6.7330305080377569E-3</v>
      </c>
      <c r="M791" t="str">
        <f>VLOOKUP(D791,'Jer-Tip-Emp'!B:E,4,0)</f>
        <v>Entradas</v>
      </c>
      <c r="N791" t="str">
        <f>VLOOKUP(D791,'Jer-Tip-Emp'!B:F,5,0)</f>
        <v>Otro</v>
      </c>
      <c r="O791" t="str">
        <f>VLOOKUP(D791,'Jer-Tip-Emp'!B:G,6,0)</f>
        <v>Otro</v>
      </c>
    </row>
    <row r="792" spans="1:15" ht="27.5" customHeight="1" x14ac:dyDescent="0.2">
      <c r="A792">
        <v>2025</v>
      </c>
      <c r="B792" t="s">
        <v>613</v>
      </c>
      <c r="C792" t="s">
        <v>609</v>
      </c>
      <c r="D792" s="19" t="s">
        <v>294</v>
      </c>
      <c r="E792" s="18" t="s">
        <v>108</v>
      </c>
      <c r="F792" s="18">
        <v>24</v>
      </c>
      <c r="G792" s="20">
        <v>473600</v>
      </c>
      <c r="H792" s="20">
        <v>-4000</v>
      </c>
      <c r="I792" s="20">
        <v>196392</v>
      </c>
      <c r="J792" s="8">
        <f t="shared" si="36"/>
        <v>277208</v>
      </c>
      <c r="K792" s="10">
        <f t="shared" si="37"/>
        <v>0.58532094594594597</v>
      </c>
      <c r="L792" s="17">
        <f t="shared" si="38"/>
        <v>8.4459459459459464E-3</v>
      </c>
      <c r="M792" t="str">
        <f>VLOOKUP(D792,'Jer-Tip-Emp'!B:E,4,0)</f>
        <v>Mong Express</v>
      </c>
      <c r="N792" t="str">
        <f>VLOOKUP(D792,'Jer-Tip-Emp'!B:F,5,0)</f>
        <v>Personal</v>
      </c>
      <c r="O792" t="str">
        <f>VLOOKUP(D792,'Jer-Tip-Emp'!B:G,6,0)</f>
        <v>Caja</v>
      </c>
    </row>
    <row r="793" spans="1:15" ht="27.5" hidden="1" customHeight="1" x14ac:dyDescent="0.2">
      <c r="A793">
        <v>2025</v>
      </c>
      <c r="B793" t="s">
        <v>613</v>
      </c>
      <c r="C793" t="s">
        <v>609</v>
      </c>
      <c r="D793" s="19" t="s">
        <v>309</v>
      </c>
      <c r="E793" s="18" t="s">
        <v>48</v>
      </c>
      <c r="F793" s="18">
        <v>23</v>
      </c>
      <c r="G793" s="20">
        <v>89700</v>
      </c>
      <c r="H793" s="18">
        <v>0</v>
      </c>
      <c r="I793" s="20">
        <v>26749</v>
      </c>
      <c r="J793" s="8">
        <f t="shared" si="36"/>
        <v>62951</v>
      </c>
      <c r="K793" s="10">
        <f t="shared" si="37"/>
        <v>0.70179487179487177</v>
      </c>
      <c r="L793" s="17">
        <f t="shared" si="38"/>
        <v>0</v>
      </c>
      <c r="M793" t="str">
        <f>VLOOKUP(D793,'Jer-Tip-Emp'!B:E,4,0)</f>
        <v>Bebidas</v>
      </c>
      <c r="N793" t="str">
        <f>VLOOKUP(D793,'Jer-Tip-Emp'!B:F,5,0)</f>
        <v>Bebidas</v>
      </c>
      <c r="O793" t="str">
        <f>VLOOKUP(D793,'Jer-Tip-Emp'!B:G,6,0)</f>
        <v>Bebidas</v>
      </c>
    </row>
    <row r="794" spans="1:15" ht="27.5" hidden="1" customHeight="1" x14ac:dyDescent="0.2">
      <c r="A794">
        <v>2025</v>
      </c>
      <c r="B794" t="s">
        <v>613</v>
      </c>
      <c r="C794" t="s">
        <v>609</v>
      </c>
      <c r="D794" s="19" t="s">
        <v>282</v>
      </c>
      <c r="E794" s="18" t="s">
        <v>19</v>
      </c>
      <c r="F794" s="18">
        <v>23</v>
      </c>
      <c r="G794" s="20">
        <v>135700</v>
      </c>
      <c r="H794" s="18">
        <v>0</v>
      </c>
      <c r="I794" s="20">
        <v>94254</v>
      </c>
      <c r="J794" s="8">
        <f t="shared" si="36"/>
        <v>41446</v>
      </c>
      <c r="K794" s="10">
        <f t="shared" si="37"/>
        <v>0.30542372881355934</v>
      </c>
      <c r="L794" s="17">
        <f t="shared" si="38"/>
        <v>0</v>
      </c>
      <c r="M794" t="str">
        <f>VLOOKUP(D794,'Jer-Tip-Emp'!B:E,4,0)</f>
        <v>Adición</v>
      </c>
      <c r="N794" t="str">
        <f>VLOOKUP(D794,'Jer-Tip-Emp'!B:F,5,0)</f>
        <v>Adición</v>
      </c>
      <c r="O794" t="str">
        <f>VLOOKUP(D794,'Jer-Tip-Emp'!B:G,6,0)</f>
        <v>Adición</v>
      </c>
    </row>
    <row r="795" spans="1:15" ht="27.5" customHeight="1" x14ac:dyDescent="0.2">
      <c r="A795">
        <v>2025</v>
      </c>
      <c r="B795" t="s">
        <v>613</v>
      </c>
      <c r="C795" t="s">
        <v>609</v>
      </c>
      <c r="D795" s="19" t="s">
        <v>448</v>
      </c>
      <c r="E795" s="18" t="s">
        <v>552</v>
      </c>
      <c r="F795" s="18">
        <v>22</v>
      </c>
      <c r="G795" s="18">
        <v>0</v>
      </c>
      <c r="H795" s="18">
        <v>0</v>
      </c>
      <c r="I795" s="20">
        <v>115786</v>
      </c>
      <c r="J795" s="8">
        <f t="shared" si="36"/>
        <v>-115786</v>
      </c>
      <c r="K795" s="10">
        <f t="shared" si="37"/>
        <v>0</v>
      </c>
      <c r="L795" s="17">
        <f t="shared" si="38"/>
        <v>0</v>
      </c>
      <c r="M795" t="str">
        <f>VLOOKUP(D795,'Jer-Tip-Emp'!B:E,4,0)</f>
        <v>Arma tu plato</v>
      </c>
      <c r="N795" t="str">
        <f>VLOOKUP(D795,'Jer-Tip-Emp'!B:F,5,0)</f>
        <v>Personal</v>
      </c>
      <c r="O795" t="str">
        <f>VLOOKUP(D795,'Jer-Tip-Emp'!B:G,6,0)</f>
        <v>Caja</v>
      </c>
    </row>
    <row r="796" spans="1:15" ht="27.5" customHeight="1" x14ac:dyDescent="0.2">
      <c r="A796">
        <v>2025</v>
      </c>
      <c r="B796" t="s">
        <v>613</v>
      </c>
      <c r="C796" t="s">
        <v>609</v>
      </c>
      <c r="D796" s="19" t="s">
        <v>295</v>
      </c>
      <c r="E796" s="18" t="s">
        <v>110</v>
      </c>
      <c r="F796" s="18">
        <v>19</v>
      </c>
      <c r="G796" s="20">
        <v>370200</v>
      </c>
      <c r="H796" s="20">
        <v>-7900</v>
      </c>
      <c r="I796" s="20">
        <v>128592</v>
      </c>
      <c r="J796" s="8">
        <f t="shared" si="36"/>
        <v>241608</v>
      </c>
      <c r="K796" s="10">
        <f t="shared" si="37"/>
        <v>0.65264181523500808</v>
      </c>
      <c r="L796" s="17">
        <f t="shared" si="38"/>
        <v>2.1339816315505133E-2</v>
      </c>
      <c r="M796" t="str">
        <f>VLOOKUP(D796,'Jer-Tip-Emp'!B:E,4,0)</f>
        <v>Platos mong</v>
      </c>
      <c r="N796" t="str">
        <f>VLOOKUP(D796,'Jer-Tip-Emp'!B:F,5,0)</f>
        <v>Personal</v>
      </c>
      <c r="O796" t="str">
        <f>VLOOKUP(D796,'Jer-Tip-Emp'!B:G,6,0)</f>
        <v>Caja</v>
      </c>
    </row>
    <row r="797" spans="1:15" ht="27.5" customHeight="1" x14ac:dyDescent="0.2">
      <c r="A797">
        <v>2025</v>
      </c>
      <c r="B797" t="s">
        <v>613</v>
      </c>
      <c r="C797" t="s">
        <v>609</v>
      </c>
      <c r="D797" s="19" t="s">
        <v>185</v>
      </c>
      <c r="E797" s="18" t="s">
        <v>137</v>
      </c>
      <c r="F797" s="18">
        <v>18</v>
      </c>
      <c r="G797" s="20">
        <v>834963</v>
      </c>
      <c r="H797" s="20">
        <v>-9237</v>
      </c>
      <c r="I797" s="20">
        <v>360954</v>
      </c>
      <c r="J797" s="8">
        <f t="shared" si="36"/>
        <v>474009</v>
      </c>
      <c r="K797" s="10">
        <f t="shared" si="37"/>
        <v>0.56770060469745365</v>
      </c>
      <c r="L797" s="17">
        <f t="shared" si="38"/>
        <v>1.1062765655484134E-2</v>
      </c>
      <c r="M797" t="str">
        <f>VLOOKUP(D797,'Jer-Tip-Emp'!B:E,4,0)</f>
        <v>Platos mong</v>
      </c>
      <c r="N797" t="str">
        <f>VLOOKUP(D797,'Jer-Tip-Emp'!B:F,5,0)</f>
        <v>No Personal</v>
      </c>
      <c r="O797" t="str">
        <f>VLOOKUP(D797,'Jer-Tip-Emp'!B:G,6,0)</f>
        <v>Platos Especiales</v>
      </c>
    </row>
    <row r="798" spans="1:15" ht="27.5" hidden="1" customHeight="1" x14ac:dyDescent="0.2">
      <c r="A798">
        <v>2025</v>
      </c>
      <c r="B798" t="s">
        <v>613</v>
      </c>
      <c r="C798" t="s">
        <v>609</v>
      </c>
      <c r="D798" s="19" t="s">
        <v>337</v>
      </c>
      <c r="E798" s="18" t="s">
        <v>58</v>
      </c>
      <c r="F798" s="18">
        <v>18</v>
      </c>
      <c r="G798" s="20">
        <v>88200</v>
      </c>
      <c r="H798" s="18">
        <v>0</v>
      </c>
      <c r="I798" s="20">
        <v>28080</v>
      </c>
      <c r="J798" s="8">
        <f t="shared" si="36"/>
        <v>60120</v>
      </c>
      <c r="K798" s="10">
        <f t="shared" si="37"/>
        <v>0.68163265306122445</v>
      </c>
      <c r="L798" s="17">
        <f t="shared" si="38"/>
        <v>0</v>
      </c>
      <c r="M798" t="str">
        <f>VLOOKUP(D798,'Jer-Tip-Emp'!B:E,4,0)</f>
        <v>Bebidas</v>
      </c>
      <c r="N798" t="str">
        <f>VLOOKUP(D798,'Jer-Tip-Emp'!B:F,5,0)</f>
        <v>Bebidas</v>
      </c>
      <c r="O798" t="str">
        <f>VLOOKUP(D798,'Jer-Tip-Emp'!B:G,6,0)</f>
        <v>Bebidas</v>
      </c>
    </row>
    <row r="799" spans="1:15" ht="27.5" hidden="1" customHeight="1" x14ac:dyDescent="0.2">
      <c r="A799">
        <v>2025</v>
      </c>
      <c r="B799" t="s">
        <v>613</v>
      </c>
      <c r="C799" t="s">
        <v>609</v>
      </c>
      <c r="D799" s="19" t="s">
        <v>382</v>
      </c>
      <c r="E799" s="18" t="s">
        <v>42</v>
      </c>
      <c r="F799" s="18">
        <v>18</v>
      </c>
      <c r="G799" s="20">
        <v>86300</v>
      </c>
      <c r="H799" s="20">
        <v>-1900</v>
      </c>
      <c r="I799" s="20">
        <v>24714</v>
      </c>
      <c r="J799" s="8">
        <f t="shared" si="36"/>
        <v>61586</v>
      </c>
      <c r="K799" s="10">
        <f t="shared" si="37"/>
        <v>0.71362688296639631</v>
      </c>
      <c r="L799" s="17">
        <f t="shared" si="38"/>
        <v>2.20162224797219E-2</v>
      </c>
      <c r="M799" t="str">
        <f>VLOOKUP(D799,'Jer-Tip-Emp'!B:E,4,0)</f>
        <v>Bebidas</v>
      </c>
      <c r="N799" t="str">
        <f>VLOOKUP(D799,'Jer-Tip-Emp'!B:F,5,0)</f>
        <v>Bebidas</v>
      </c>
      <c r="O799" t="str">
        <f>VLOOKUP(D799,'Jer-Tip-Emp'!B:G,6,0)</f>
        <v>Bebidas</v>
      </c>
    </row>
    <row r="800" spans="1:15" ht="27.5" customHeight="1" x14ac:dyDescent="0.2">
      <c r="A800">
        <v>2025</v>
      </c>
      <c r="B800" t="s">
        <v>613</v>
      </c>
      <c r="C800" t="s">
        <v>609</v>
      </c>
      <c r="D800" s="19" t="s">
        <v>228</v>
      </c>
      <c r="E800" s="18" t="s">
        <v>96</v>
      </c>
      <c r="F800" s="18">
        <v>18</v>
      </c>
      <c r="G800" s="20">
        <v>520200</v>
      </c>
      <c r="H800" s="18">
        <v>0</v>
      </c>
      <c r="I800" s="20">
        <v>184446</v>
      </c>
      <c r="J800" s="8">
        <f t="shared" si="36"/>
        <v>335754</v>
      </c>
      <c r="K800" s="10">
        <f t="shared" si="37"/>
        <v>0.64543252595155709</v>
      </c>
      <c r="L800" s="17">
        <f t="shared" si="38"/>
        <v>0</v>
      </c>
      <c r="M800" t="str">
        <f>VLOOKUP(D800,'Jer-Tip-Emp'!B:E,4,0)</f>
        <v>Combos personales</v>
      </c>
      <c r="N800" t="str">
        <f>VLOOKUP(D800,'Jer-Tip-Emp'!B:F,5,0)</f>
        <v>Personal</v>
      </c>
      <c r="O800" t="str">
        <f>VLOOKUP(D800,'Jer-Tip-Emp'!B:G,6,0)</f>
        <v>Combo</v>
      </c>
    </row>
    <row r="801" spans="1:15" ht="27.5" customHeight="1" x14ac:dyDescent="0.2">
      <c r="A801">
        <v>2025</v>
      </c>
      <c r="B801" t="s">
        <v>613</v>
      </c>
      <c r="C801" t="s">
        <v>609</v>
      </c>
      <c r="D801" s="19" t="s">
        <v>246</v>
      </c>
      <c r="E801" s="18" t="s">
        <v>29</v>
      </c>
      <c r="F801" s="18">
        <v>17</v>
      </c>
      <c r="G801" s="20">
        <v>134300</v>
      </c>
      <c r="H801" s="18">
        <v>0</v>
      </c>
      <c r="I801" s="18">
        <v>0</v>
      </c>
      <c r="J801" s="8">
        <f t="shared" si="36"/>
        <v>134300</v>
      </c>
      <c r="K801" s="10">
        <f t="shared" si="37"/>
        <v>1</v>
      </c>
      <c r="L801" s="17">
        <f t="shared" si="38"/>
        <v>0</v>
      </c>
      <c r="M801" t="str">
        <f>VLOOKUP(D801,'Jer-Tip-Emp'!B:E,4,0)</f>
        <v>Armalo en combo</v>
      </c>
      <c r="N801" t="str">
        <f>VLOOKUP(D801,'Jer-Tip-Emp'!B:F,5,0)</f>
        <v>Personal</v>
      </c>
      <c r="O801" t="str">
        <f>VLOOKUP(D801,'Jer-Tip-Emp'!B:G,6,0)</f>
        <v>Combo</v>
      </c>
    </row>
    <row r="802" spans="1:15" ht="27.5" hidden="1" customHeight="1" x14ac:dyDescent="0.2">
      <c r="A802">
        <v>2025</v>
      </c>
      <c r="B802" t="s">
        <v>613</v>
      </c>
      <c r="C802" t="s">
        <v>609</v>
      </c>
      <c r="D802" s="19" t="s">
        <v>397</v>
      </c>
      <c r="E802" s="18" t="s">
        <v>61</v>
      </c>
      <c r="F802" s="18">
        <v>17</v>
      </c>
      <c r="G802" s="20">
        <v>83300</v>
      </c>
      <c r="H802" s="18">
        <v>0</v>
      </c>
      <c r="I802" s="20">
        <v>32232</v>
      </c>
      <c r="J802" s="8">
        <f t="shared" si="36"/>
        <v>51068</v>
      </c>
      <c r="K802" s="10">
        <f t="shared" si="37"/>
        <v>0.61306122448979594</v>
      </c>
      <c r="L802" s="17">
        <f t="shared" si="38"/>
        <v>0</v>
      </c>
      <c r="M802" t="str">
        <f>VLOOKUP(D802,'Jer-Tip-Emp'!B:E,4,0)</f>
        <v>Bebidas</v>
      </c>
      <c r="N802" t="str">
        <f>VLOOKUP(D802,'Jer-Tip-Emp'!B:F,5,0)</f>
        <v>Bebidas</v>
      </c>
      <c r="O802" t="str">
        <f>VLOOKUP(D802,'Jer-Tip-Emp'!B:G,6,0)</f>
        <v>Bebidas</v>
      </c>
    </row>
    <row r="803" spans="1:15" ht="27.5" customHeight="1" x14ac:dyDescent="0.2">
      <c r="A803">
        <v>2025</v>
      </c>
      <c r="B803" t="s">
        <v>613</v>
      </c>
      <c r="C803" t="s">
        <v>609</v>
      </c>
      <c r="D803" s="19" t="s">
        <v>214</v>
      </c>
      <c r="E803" s="18" t="s">
        <v>81</v>
      </c>
      <c r="F803" s="18">
        <v>17</v>
      </c>
      <c r="G803" s="20">
        <v>1018300</v>
      </c>
      <c r="H803" s="18">
        <v>0</v>
      </c>
      <c r="I803" s="20">
        <v>401846</v>
      </c>
      <c r="J803" s="8">
        <f t="shared" si="36"/>
        <v>616454</v>
      </c>
      <c r="K803" s="10">
        <f t="shared" si="37"/>
        <v>0.60537562604340567</v>
      </c>
      <c r="L803" s="17">
        <f t="shared" si="38"/>
        <v>0</v>
      </c>
      <c r="M803" t="str">
        <f>VLOOKUP(D803,'Jer-Tip-Emp'!B:E,4,0)</f>
        <v>Combos para compartir</v>
      </c>
      <c r="N803" t="str">
        <f>VLOOKUP(D803,'Jer-Tip-Emp'!B:F,5,0)</f>
        <v>No Personal</v>
      </c>
      <c r="O803" t="str">
        <f>VLOOKUP(D803,'Jer-Tip-Emp'!B:G,6,0)</f>
        <v>Combo</v>
      </c>
    </row>
    <row r="804" spans="1:15" ht="27.5" hidden="1" customHeight="1" x14ac:dyDescent="0.2">
      <c r="A804">
        <v>2025</v>
      </c>
      <c r="B804" t="s">
        <v>613</v>
      </c>
      <c r="C804" t="s">
        <v>609</v>
      </c>
      <c r="D804" s="19" t="s">
        <v>262</v>
      </c>
      <c r="E804" s="18" t="s">
        <v>102</v>
      </c>
      <c r="F804" s="18">
        <v>16</v>
      </c>
      <c r="G804" s="20">
        <v>268500</v>
      </c>
      <c r="H804" s="20">
        <v>-1900</v>
      </c>
      <c r="I804" s="20">
        <v>99440</v>
      </c>
      <c r="J804" s="8">
        <f t="shared" si="36"/>
        <v>169060</v>
      </c>
      <c r="K804" s="10">
        <f t="shared" si="37"/>
        <v>0.62964618249534454</v>
      </c>
      <c r="L804" s="17">
        <f t="shared" si="38"/>
        <v>7.07635009310987E-3</v>
      </c>
      <c r="M804" t="str">
        <f>VLOOKUP(D804,'Jer-Tip-Emp'!B:E,4,0)</f>
        <v>Entradas</v>
      </c>
      <c r="N804" t="str">
        <f>VLOOKUP(D804,'Jer-Tip-Emp'!B:F,5,0)</f>
        <v>Otro</v>
      </c>
      <c r="O804" t="str">
        <f>VLOOKUP(D804,'Jer-Tip-Emp'!B:G,6,0)</f>
        <v>Otro</v>
      </c>
    </row>
    <row r="805" spans="1:15" ht="27.5" hidden="1" customHeight="1" x14ac:dyDescent="0.2">
      <c r="A805">
        <v>2025</v>
      </c>
      <c r="B805" t="s">
        <v>613</v>
      </c>
      <c r="C805" t="s">
        <v>609</v>
      </c>
      <c r="D805" s="19" t="s">
        <v>408</v>
      </c>
      <c r="E805" s="18" t="s">
        <v>35</v>
      </c>
      <c r="F805" s="18">
        <v>16</v>
      </c>
      <c r="G805" s="20">
        <v>56000</v>
      </c>
      <c r="H805" s="18">
        <v>0</v>
      </c>
      <c r="I805" s="20">
        <v>13888</v>
      </c>
      <c r="J805" s="8">
        <f t="shared" si="36"/>
        <v>42112</v>
      </c>
      <c r="K805" s="10">
        <f t="shared" si="37"/>
        <v>0.752</v>
      </c>
      <c r="L805" s="17">
        <f t="shared" si="38"/>
        <v>0</v>
      </c>
      <c r="M805" t="str">
        <f>VLOOKUP(D805,'Jer-Tip-Emp'!B:E,4,0)</f>
        <v>Bebidas</v>
      </c>
      <c r="N805" t="str">
        <f>VLOOKUP(D805,'Jer-Tip-Emp'!B:F,5,0)</f>
        <v>Bebidas</v>
      </c>
      <c r="O805" t="str">
        <f>VLOOKUP(D805,'Jer-Tip-Emp'!B:G,6,0)</f>
        <v>Bebidas</v>
      </c>
    </row>
    <row r="806" spans="1:15" ht="27.5" customHeight="1" x14ac:dyDescent="0.2">
      <c r="A806">
        <v>2025</v>
      </c>
      <c r="B806" t="s">
        <v>613</v>
      </c>
      <c r="C806" t="s">
        <v>609</v>
      </c>
      <c r="D806" s="19" t="s">
        <v>474</v>
      </c>
      <c r="E806" s="18" t="s">
        <v>553</v>
      </c>
      <c r="F806" s="18">
        <v>16</v>
      </c>
      <c r="G806" s="18">
        <v>0</v>
      </c>
      <c r="H806" s="18">
        <v>0</v>
      </c>
      <c r="I806" s="20">
        <v>45584</v>
      </c>
      <c r="J806" s="8">
        <f t="shared" si="36"/>
        <v>-45584</v>
      </c>
      <c r="K806" s="10">
        <f t="shared" si="37"/>
        <v>0</v>
      </c>
      <c r="L806" s="17">
        <f t="shared" si="38"/>
        <v>0</v>
      </c>
      <c r="M806" t="str">
        <f>VLOOKUP(D806,'Jer-Tip-Emp'!B:E,4,0)</f>
        <v>Arma tu plato</v>
      </c>
      <c r="N806" t="str">
        <f>VLOOKUP(D806,'Jer-Tip-Emp'!B:F,5,0)</f>
        <v>Personal</v>
      </c>
      <c r="O806" t="str">
        <f>VLOOKUP(D806,'Jer-Tip-Emp'!B:G,6,0)</f>
        <v>Caja</v>
      </c>
    </row>
    <row r="807" spans="1:15" ht="27.5" hidden="1" customHeight="1" x14ac:dyDescent="0.2">
      <c r="A807">
        <v>2025</v>
      </c>
      <c r="B807" t="s">
        <v>613</v>
      </c>
      <c r="C807" t="s">
        <v>609</v>
      </c>
      <c r="D807" s="19" t="s">
        <v>189</v>
      </c>
      <c r="E807" s="18" t="s">
        <v>21</v>
      </c>
      <c r="F807" s="18">
        <v>15</v>
      </c>
      <c r="G807" s="20">
        <v>103283</v>
      </c>
      <c r="H807" s="18">
        <v>-217</v>
      </c>
      <c r="I807" s="20">
        <v>36960</v>
      </c>
      <c r="J807" s="8">
        <f t="shared" si="36"/>
        <v>66323</v>
      </c>
      <c r="K807" s="10">
        <f t="shared" si="37"/>
        <v>0.64214827222292148</v>
      </c>
      <c r="L807" s="17">
        <f t="shared" si="38"/>
        <v>2.1010234017214838E-3</v>
      </c>
      <c r="M807" t="str">
        <f>VLOOKUP(D807,'Jer-Tip-Emp'!B:E,4,0)</f>
        <v>Adición</v>
      </c>
      <c r="N807" t="str">
        <f>VLOOKUP(D807,'Jer-Tip-Emp'!B:F,5,0)</f>
        <v>Adición</v>
      </c>
      <c r="O807" t="str">
        <f>VLOOKUP(D807,'Jer-Tip-Emp'!B:G,6,0)</f>
        <v>Adición</v>
      </c>
    </row>
    <row r="808" spans="1:15" ht="27.5" hidden="1" customHeight="1" x14ac:dyDescent="0.2">
      <c r="A808">
        <v>2025</v>
      </c>
      <c r="B808" t="s">
        <v>613</v>
      </c>
      <c r="C808" t="s">
        <v>609</v>
      </c>
      <c r="D808" s="19" t="s">
        <v>351</v>
      </c>
      <c r="E808" s="18" t="s">
        <v>55</v>
      </c>
      <c r="F808" s="18">
        <v>15</v>
      </c>
      <c r="G808" s="20">
        <v>88500</v>
      </c>
      <c r="H808" s="18">
        <v>0</v>
      </c>
      <c r="I808" s="20">
        <v>21720</v>
      </c>
      <c r="J808" s="8">
        <f t="shared" si="36"/>
        <v>66780</v>
      </c>
      <c r="K808" s="10">
        <f t="shared" si="37"/>
        <v>0.75457627118644066</v>
      </c>
      <c r="L808" s="17">
        <f t="shared" si="38"/>
        <v>0</v>
      </c>
      <c r="M808" t="str">
        <f>VLOOKUP(D808,'Jer-Tip-Emp'!B:E,4,0)</f>
        <v>Bebidas</v>
      </c>
      <c r="N808" t="str">
        <f>VLOOKUP(D808,'Jer-Tip-Emp'!B:F,5,0)</f>
        <v>Bebidas</v>
      </c>
      <c r="O808" t="str">
        <f>VLOOKUP(D808,'Jer-Tip-Emp'!B:G,6,0)</f>
        <v>Bebidas</v>
      </c>
    </row>
    <row r="809" spans="1:15" ht="27.5" customHeight="1" x14ac:dyDescent="0.2">
      <c r="A809">
        <v>2025</v>
      </c>
      <c r="B809" t="s">
        <v>613</v>
      </c>
      <c r="C809" t="s">
        <v>609</v>
      </c>
      <c r="D809" s="19" t="s">
        <v>244</v>
      </c>
      <c r="E809" s="18" t="s">
        <v>113</v>
      </c>
      <c r="F809" s="18">
        <v>15</v>
      </c>
      <c r="G809" s="20">
        <v>433500</v>
      </c>
      <c r="H809" s="18">
        <v>0</v>
      </c>
      <c r="I809" s="20">
        <v>114075</v>
      </c>
      <c r="J809" s="8">
        <f t="shared" si="36"/>
        <v>319425</v>
      </c>
      <c r="K809" s="10">
        <f t="shared" si="37"/>
        <v>0.73685121107266438</v>
      </c>
      <c r="L809" s="17">
        <f t="shared" si="38"/>
        <v>0</v>
      </c>
      <c r="M809" t="str">
        <f>VLOOKUP(D809,'Jer-Tip-Emp'!B:E,4,0)</f>
        <v>Platos especiales</v>
      </c>
      <c r="N809" t="str">
        <f>VLOOKUP(D809,'Jer-Tip-Emp'!B:F,5,0)</f>
        <v>Personal</v>
      </c>
      <c r="O809" t="str">
        <f>VLOOKUP(D809,'Jer-Tip-Emp'!B:G,6,0)</f>
        <v>Platos especiales</v>
      </c>
    </row>
    <row r="810" spans="1:15" ht="27.5" customHeight="1" x14ac:dyDescent="0.2">
      <c r="A810">
        <v>2025</v>
      </c>
      <c r="B810" t="s">
        <v>613</v>
      </c>
      <c r="C810" t="s">
        <v>609</v>
      </c>
      <c r="D810" s="19" t="s">
        <v>206</v>
      </c>
      <c r="E810" s="18" t="s">
        <v>117</v>
      </c>
      <c r="F810" s="18">
        <v>14</v>
      </c>
      <c r="G810" s="20">
        <v>202800</v>
      </c>
      <c r="H810" s="20">
        <v>-33800</v>
      </c>
      <c r="I810" s="20">
        <v>99750</v>
      </c>
      <c r="J810" s="8">
        <f t="shared" si="36"/>
        <v>103050</v>
      </c>
      <c r="K810" s="10">
        <f t="shared" si="37"/>
        <v>0.50813609467455623</v>
      </c>
      <c r="L810" s="17">
        <f t="shared" si="38"/>
        <v>0.16666666666666666</v>
      </c>
      <c r="M810" t="str">
        <f>VLOOKUP(D810,'Jer-Tip-Emp'!B:E,4,0)</f>
        <v>Platos especiales</v>
      </c>
      <c r="N810" t="str">
        <f>VLOOKUP(D810,'Jer-Tip-Emp'!B:F,5,0)</f>
        <v>Personal</v>
      </c>
      <c r="O810" t="str">
        <f>VLOOKUP(D810,'Jer-Tip-Emp'!B:G,6,0)</f>
        <v>Platos especiales</v>
      </c>
    </row>
    <row r="811" spans="1:15" ht="27.5" hidden="1" customHeight="1" x14ac:dyDescent="0.2">
      <c r="A811">
        <v>2025</v>
      </c>
      <c r="B811" t="s">
        <v>613</v>
      </c>
      <c r="C811" t="s">
        <v>609</v>
      </c>
      <c r="D811" s="19" t="s">
        <v>218</v>
      </c>
      <c r="E811" s="18" t="s">
        <v>33</v>
      </c>
      <c r="F811" s="18">
        <v>14</v>
      </c>
      <c r="G811" s="20">
        <v>110600</v>
      </c>
      <c r="H811" s="18">
        <v>0</v>
      </c>
      <c r="I811" s="18">
        <v>0</v>
      </c>
      <c r="J811" s="8">
        <f t="shared" si="36"/>
        <v>110600</v>
      </c>
      <c r="K811" s="10">
        <f t="shared" si="37"/>
        <v>1</v>
      </c>
      <c r="L811" s="17">
        <f t="shared" si="38"/>
        <v>0</v>
      </c>
      <c r="M811" t="str">
        <f>VLOOKUP(D811,'Jer-Tip-Emp'!B:E,4,0)</f>
        <v>Adición</v>
      </c>
      <c r="N811" t="str">
        <f>VLOOKUP(D811,'Jer-Tip-Emp'!B:F,5,0)</f>
        <v>Adición</v>
      </c>
      <c r="O811" t="str">
        <f>VLOOKUP(D811,'Jer-Tip-Emp'!B:G,6,0)</f>
        <v>Adición</v>
      </c>
    </row>
    <row r="812" spans="1:15" ht="27.5" hidden="1" customHeight="1" x14ac:dyDescent="0.2">
      <c r="A812">
        <v>2025</v>
      </c>
      <c r="B812" t="s">
        <v>613</v>
      </c>
      <c r="C812" t="s">
        <v>609</v>
      </c>
      <c r="D812" s="19" t="s">
        <v>268</v>
      </c>
      <c r="E812" s="18" t="s">
        <v>17</v>
      </c>
      <c r="F812" s="18">
        <v>13</v>
      </c>
      <c r="G812" s="20">
        <v>70400</v>
      </c>
      <c r="H812" s="20">
        <v>-6300</v>
      </c>
      <c r="I812" s="20">
        <v>16666</v>
      </c>
      <c r="J812" s="8">
        <f t="shared" si="36"/>
        <v>53734</v>
      </c>
      <c r="K812" s="10">
        <f t="shared" si="37"/>
        <v>0.76326704545454549</v>
      </c>
      <c r="L812" s="17">
        <f t="shared" si="38"/>
        <v>8.9488636363636367E-2</v>
      </c>
      <c r="M812" t="str">
        <f>VLOOKUP(D812,'Jer-Tip-Emp'!B:E,4,0)</f>
        <v>Adición</v>
      </c>
      <c r="N812" t="str">
        <f>VLOOKUP(D812,'Jer-Tip-Emp'!B:F,5,0)</f>
        <v>Adición</v>
      </c>
      <c r="O812" t="str">
        <f>VLOOKUP(D812,'Jer-Tip-Emp'!B:G,6,0)</f>
        <v>Adición</v>
      </c>
    </row>
    <row r="813" spans="1:15" ht="27.5" customHeight="1" x14ac:dyDescent="0.2">
      <c r="A813">
        <v>2025</v>
      </c>
      <c r="B813" t="s">
        <v>613</v>
      </c>
      <c r="C813" t="s">
        <v>609</v>
      </c>
      <c r="D813" s="19" t="s">
        <v>224</v>
      </c>
      <c r="E813" s="18" t="s">
        <v>114</v>
      </c>
      <c r="F813" s="18">
        <v>13</v>
      </c>
      <c r="G813" s="20">
        <v>323700</v>
      </c>
      <c r="H813" s="18">
        <v>0</v>
      </c>
      <c r="I813" s="20">
        <v>165334</v>
      </c>
      <c r="J813" s="8">
        <f t="shared" si="36"/>
        <v>158366</v>
      </c>
      <c r="K813" s="10">
        <f t="shared" si="37"/>
        <v>0.48923694779116467</v>
      </c>
      <c r="L813" s="17">
        <f t="shared" si="38"/>
        <v>0</v>
      </c>
      <c r="M813" t="str">
        <f>VLOOKUP(D813,'Jer-Tip-Emp'!B:E,4,0)</f>
        <v>Platos especiales</v>
      </c>
      <c r="N813" t="str">
        <f>VLOOKUP(D813,'Jer-Tip-Emp'!B:F,5,0)</f>
        <v>Personal</v>
      </c>
      <c r="O813" t="str">
        <f>VLOOKUP(D813,'Jer-Tip-Emp'!B:G,6,0)</f>
        <v>Platos especiales</v>
      </c>
    </row>
    <row r="814" spans="1:15" ht="27.5" hidden="1" customHeight="1" x14ac:dyDescent="0.2">
      <c r="A814">
        <v>2025</v>
      </c>
      <c r="B814" t="s">
        <v>613</v>
      </c>
      <c r="C814" t="s">
        <v>609</v>
      </c>
      <c r="D814" s="19" t="s">
        <v>369</v>
      </c>
      <c r="E814" s="18" t="s">
        <v>68</v>
      </c>
      <c r="F814" s="18">
        <v>12</v>
      </c>
      <c r="G814" s="20">
        <v>58800</v>
      </c>
      <c r="H814" s="18">
        <v>0</v>
      </c>
      <c r="I814" s="20">
        <v>15960</v>
      </c>
      <c r="J814" s="8">
        <f t="shared" si="36"/>
        <v>42840</v>
      </c>
      <c r="K814" s="10">
        <f t="shared" si="37"/>
        <v>0.72857142857142854</v>
      </c>
      <c r="L814" s="17">
        <f t="shared" si="38"/>
        <v>0</v>
      </c>
      <c r="M814" t="str">
        <f>VLOOKUP(D814,'Jer-Tip-Emp'!B:E,4,0)</f>
        <v>Bebidas</v>
      </c>
      <c r="N814" t="str">
        <f>VLOOKUP(D814,'Jer-Tip-Emp'!B:F,5,0)</f>
        <v>Bebidas</v>
      </c>
      <c r="O814" t="str">
        <f>VLOOKUP(D814,'Jer-Tip-Emp'!B:G,6,0)</f>
        <v>Bebidas</v>
      </c>
    </row>
    <row r="815" spans="1:15" ht="27.5" customHeight="1" x14ac:dyDescent="0.2">
      <c r="A815">
        <v>2025</v>
      </c>
      <c r="B815" t="s">
        <v>613</v>
      </c>
      <c r="C815" t="s">
        <v>609</v>
      </c>
      <c r="D815" s="19" t="s">
        <v>266</v>
      </c>
      <c r="E815" s="18" t="s">
        <v>85</v>
      </c>
      <c r="F815" s="18">
        <v>12</v>
      </c>
      <c r="G815" s="20">
        <v>986600</v>
      </c>
      <c r="H815" s="20">
        <v>-8200</v>
      </c>
      <c r="I815" s="20">
        <v>470652</v>
      </c>
      <c r="J815" s="8">
        <f t="shared" si="36"/>
        <v>515948</v>
      </c>
      <c r="K815" s="10">
        <f t="shared" si="37"/>
        <v>0.52295560510845329</v>
      </c>
      <c r="L815" s="17">
        <f t="shared" si="38"/>
        <v>8.3113723900263524E-3</v>
      </c>
      <c r="M815" t="str">
        <f>VLOOKUP(D815,'Jer-Tip-Emp'!B:E,4,0)</f>
        <v>Combos para compartir</v>
      </c>
      <c r="N815" t="str">
        <f>VLOOKUP(D815,'Jer-Tip-Emp'!B:F,5,0)</f>
        <v>No Personal</v>
      </c>
      <c r="O815" t="str">
        <f>VLOOKUP(D815,'Jer-Tip-Emp'!B:G,6,0)</f>
        <v>Combo</v>
      </c>
    </row>
    <row r="816" spans="1:15" ht="27.5" customHeight="1" x14ac:dyDescent="0.2">
      <c r="A816">
        <v>2025</v>
      </c>
      <c r="B816" t="s">
        <v>613</v>
      </c>
      <c r="C816" t="s">
        <v>609</v>
      </c>
      <c r="D816" s="19" t="s">
        <v>235</v>
      </c>
      <c r="E816" s="18" t="s">
        <v>147</v>
      </c>
      <c r="F816" s="18">
        <v>12</v>
      </c>
      <c r="G816" s="20">
        <v>706800</v>
      </c>
      <c r="H816" s="18">
        <v>0</v>
      </c>
      <c r="I816" s="20">
        <v>225816</v>
      </c>
      <c r="J816" s="8">
        <f t="shared" si="36"/>
        <v>480984</v>
      </c>
      <c r="K816" s="10">
        <f t="shared" si="37"/>
        <v>0.68050933786078094</v>
      </c>
      <c r="L816" s="17">
        <f t="shared" si="38"/>
        <v>0</v>
      </c>
      <c r="M816" t="str">
        <f>VLOOKUP(D816,'Jer-Tip-Emp'!B:E,4,0)</f>
        <v>Platos mong</v>
      </c>
      <c r="N816" t="str">
        <f>VLOOKUP(D816,'Jer-Tip-Emp'!B:F,5,0)</f>
        <v>No Personal</v>
      </c>
      <c r="O816" t="str">
        <f>VLOOKUP(D816,'Jer-Tip-Emp'!B:G,6,0)</f>
        <v>Caja</v>
      </c>
    </row>
    <row r="817" spans="1:15" ht="27.5" customHeight="1" x14ac:dyDescent="0.2">
      <c r="A817">
        <v>2025</v>
      </c>
      <c r="B817" t="s">
        <v>613</v>
      </c>
      <c r="C817" t="s">
        <v>609</v>
      </c>
      <c r="D817" s="19" t="s">
        <v>297</v>
      </c>
      <c r="E817" s="18" t="s">
        <v>131</v>
      </c>
      <c r="F817" s="18">
        <v>11</v>
      </c>
      <c r="G817" s="20">
        <v>207900</v>
      </c>
      <c r="H817" s="18">
        <v>0</v>
      </c>
      <c r="I817" s="20">
        <v>60071</v>
      </c>
      <c r="J817" s="8">
        <f t="shared" si="36"/>
        <v>147829</v>
      </c>
      <c r="K817" s="10">
        <f t="shared" si="37"/>
        <v>0.71105820105820106</v>
      </c>
      <c r="L817" s="17">
        <f t="shared" si="38"/>
        <v>0</v>
      </c>
      <c r="M817" t="str">
        <f>VLOOKUP(D817,'Jer-Tip-Emp'!B:E,4,0)</f>
        <v>Platos mong</v>
      </c>
      <c r="N817" t="str">
        <f>VLOOKUP(D817,'Jer-Tip-Emp'!B:F,5,0)</f>
        <v>Personal</v>
      </c>
      <c r="O817" t="str">
        <f>VLOOKUP(D817,'Jer-Tip-Emp'!B:G,6,0)</f>
        <v>Caja</v>
      </c>
    </row>
    <row r="818" spans="1:15" ht="27.5" hidden="1" customHeight="1" x14ac:dyDescent="0.2">
      <c r="A818">
        <v>2025</v>
      </c>
      <c r="B818" t="s">
        <v>613</v>
      </c>
      <c r="C818" t="s">
        <v>609</v>
      </c>
      <c r="D818" s="19" t="s">
        <v>326</v>
      </c>
      <c r="E818" s="18" t="s">
        <v>69</v>
      </c>
      <c r="F818" s="18">
        <v>11</v>
      </c>
      <c r="G818" s="20">
        <v>53900</v>
      </c>
      <c r="H818" s="18">
        <v>0</v>
      </c>
      <c r="I818" s="20">
        <v>14630</v>
      </c>
      <c r="J818" s="8">
        <f t="shared" si="36"/>
        <v>39270</v>
      </c>
      <c r="K818" s="10">
        <f t="shared" si="37"/>
        <v>0.72857142857142854</v>
      </c>
      <c r="L818" s="17">
        <f t="shared" si="38"/>
        <v>0</v>
      </c>
      <c r="M818" t="str">
        <f>VLOOKUP(D818,'Jer-Tip-Emp'!B:E,4,0)</f>
        <v>Bebidas</v>
      </c>
      <c r="N818" t="str">
        <f>VLOOKUP(D818,'Jer-Tip-Emp'!B:F,5,0)</f>
        <v>Bebidas</v>
      </c>
      <c r="O818" t="str">
        <f>VLOOKUP(D818,'Jer-Tip-Emp'!B:G,6,0)</f>
        <v>Bebidas</v>
      </c>
    </row>
    <row r="819" spans="1:15" ht="27.5" customHeight="1" x14ac:dyDescent="0.2">
      <c r="A819">
        <v>2025</v>
      </c>
      <c r="B819" t="s">
        <v>613</v>
      </c>
      <c r="C819" t="s">
        <v>609</v>
      </c>
      <c r="D819" s="19" t="s">
        <v>285</v>
      </c>
      <c r="E819" s="18" t="s">
        <v>146</v>
      </c>
      <c r="F819" s="18">
        <v>11</v>
      </c>
      <c r="G819" s="20">
        <v>195100</v>
      </c>
      <c r="H819" s="20">
        <v>-45800</v>
      </c>
      <c r="I819" s="20">
        <v>93104</v>
      </c>
      <c r="J819" s="8">
        <f t="shared" si="36"/>
        <v>101996</v>
      </c>
      <c r="K819" s="10">
        <f t="shared" si="37"/>
        <v>0.52278831368528955</v>
      </c>
      <c r="L819" s="17">
        <f t="shared" si="38"/>
        <v>0.23475140953357251</v>
      </c>
      <c r="M819" t="str">
        <f>VLOOKUP(D819,'Jer-Tip-Emp'!B:E,4,0)</f>
        <v>Platos mong</v>
      </c>
      <c r="N819" t="str">
        <f>VLOOKUP(D819,'Jer-Tip-Emp'!B:F,5,0)</f>
        <v>Personal</v>
      </c>
      <c r="O819" t="str">
        <f>VLOOKUP(D819,'Jer-Tip-Emp'!B:G,6,0)</f>
        <v>Caja</v>
      </c>
    </row>
    <row r="820" spans="1:15" ht="27.5" customHeight="1" x14ac:dyDescent="0.2">
      <c r="A820">
        <v>2025</v>
      </c>
      <c r="B820" t="s">
        <v>613</v>
      </c>
      <c r="C820" t="s">
        <v>609</v>
      </c>
      <c r="D820" s="19" t="s">
        <v>232</v>
      </c>
      <c r="E820" s="18" t="s">
        <v>94</v>
      </c>
      <c r="F820" s="18">
        <v>11</v>
      </c>
      <c r="G820" s="20">
        <v>251900</v>
      </c>
      <c r="H820" s="18">
        <v>0</v>
      </c>
      <c r="I820" s="20">
        <v>103444</v>
      </c>
      <c r="J820" s="8">
        <f t="shared" si="36"/>
        <v>148456</v>
      </c>
      <c r="K820" s="10">
        <f t="shared" si="37"/>
        <v>0.58934497816593889</v>
      </c>
      <c r="L820" s="17">
        <f t="shared" si="38"/>
        <v>0</v>
      </c>
      <c r="M820" t="str">
        <f>VLOOKUP(D820,'Jer-Tip-Emp'!B:E,4,0)</f>
        <v>Platos mong</v>
      </c>
      <c r="N820" t="str">
        <f>VLOOKUP(D820,'Jer-Tip-Emp'!B:F,5,0)</f>
        <v>Personal</v>
      </c>
      <c r="O820" t="str">
        <f>VLOOKUP(D820,'Jer-Tip-Emp'!B:G,6,0)</f>
        <v>Caja</v>
      </c>
    </row>
    <row r="821" spans="1:15" ht="27.5" hidden="1" customHeight="1" x14ac:dyDescent="0.2">
      <c r="A821">
        <v>2025</v>
      </c>
      <c r="B821" t="s">
        <v>613</v>
      </c>
      <c r="C821" t="s">
        <v>609</v>
      </c>
      <c r="D821" s="19" t="s">
        <v>193</v>
      </c>
      <c r="E821" s="18" t="s">
        <v>18</v>
      </c>
      <c r="F821" s="18">
        <v>11</v>
      </c>
      <c r="G821" s="20">
        <v>75900</v>
      </c>
      <c r="H821" s="18">
        <v>0</v>
      </c>
      <c r="I821" s="20">
        <v>34188</v>
      </c>
      <c r="J821" s="8">
        <f t="shared" si="36"/>
        <v>41712</v>
      </c>
      <c r="K821" s="10">
        <f t="shared" si="37"/>
        <v>0.54956521739130437</v>
      </c>
      <c r="L821" s="17">
        <f t="shared" si="38"/>
        <v>0</v>
      </c>
      <c r="M821" t="str">
        <f>VLOOKUP(D821,'Jer-Tip-Emp'!B:E,4,0)</f>
        <v>Adición</v>
      </c>
      <c r="N821" t="str">
        <f>VLOOKUP(D821,'Jer-Tip-Emp'!B:F,5,0)</f>
        <v>Adición</v>
      </c>
      <c r="O821" t="str">
        <f>VLOOKUP(D821,'Jer-Tip-Emp'!B:G,6,0)</f>
        <v>Adición</v>
      </c>
    </row>
    <row r="822" spans="1:15" ht="27.5" hidden="1" customHeight="1" x14ac:dyDescent="0.2">
      <c r="A822">
        <v>2025</v>
      </c>
      <c r="B822" t="s">
        <v>613</v>
      </c>
      <c r="C822" t="s">
        <v>609</v>
      </c>
      <c r="D822" s="19" t="s">
        <v>336</v>
      </c>
      <c r="E822" s="18" t="s">
        <v>60</v>
      </c>
      <c r="F822" s="18">
        <v>11</v>
      </c>
      <c r="G822" s="20">
        <v>53900</v>
      </c>
      <c r="H822" s="18">
        <v>0</v>
      </c>
      <c r="I822" s="20">
        <v>17160</v>
      </c>
      <c r="J822" s="8">
        <f t="shared" si="36"/>
        <v>36740</v>
      </c>
      <c r="K822" s="10">
        <f t="shared" si="37"/>
        <v>0.68163265306122445</v>
      </c>
      <c r="L822" s="17">
        <f t="shared" si="38"/>
        <v>0</v>
      </c>
      <c r="M822" t="str">
        <f>VLOOKUP(D822,'Jer-Tip-Emp'!B:E,4,0)</f>
        <v>Bebidas</v>
      </c>
      <c r="N822" t="str">
        <f>VLOOKUP(D822,'Jer-Tip-Emp'!B:F,5,0)</f>
        <v>Bebidas</v>
      </c>
      <c r="O822" t="str">
        <f>VLOOKUP(D822,'Jer-Tip-Emp'!B:G,6,0)</f>
        <v>Bebidas</v>
      </c>
    </row>
    <row r="823" spans="1:15" ht="27.5" customHeight="1" x14ac:dyDescent="0.2">
      <c r="A823">
        <v>2025</v>
      </c>
      <c r="B823" t="s">
        <v>613</v>
      </c>
      <c r="C823" t="s">
        <v>609</v>
      </c>
      <c r="D823" s="19" t="s">
        <v>205</v>
      </c>
      <c r="E823" s="18" t="s">
        <v>141</v>
      </c>
      <c r="F823" s="18">
        <v>10</v>
      </c>
      <c r="G823" s="20">
        <v>142200</v>
      </c>
      <c r="H823" s="20">
        <v>-16800</v>
      </c>
      <c r="I823" s="20">
        <v>60640</v>
      </c>
      <c r="J823" s="8">
        <f t="shared" si="36"/>
        <v>81560</v>
      </c>
      <c r="K823" s="10">
        <f t="shared" si="37"/>
        <v>0.57355836849507735</v>
      </c>
      <c r="L823" s="17">
        <f t="shared" si="38"/>
        <v>0.11814345991561181</v>
      </c>
      <c r="M823" t="str">
        <f>VLOOKUP(D823,'Jer-Tip-Emp'!B:E,4,0)</f>
        <v>Platos mong</v>
      </c>
      <c r="N823" t="str">
        <f>VLOOKUP(D823,'Jer-Tip-Emp'!B:F,5,0)</f>
        <v>Personal</v>
      </c>
      <c r="O823" t="str">
        <f>VLOOKUP(D823,'Jer-Tip-Emp'!B:G,6,0)</f>
        <v>Caja</v>
      </c>
    </row>
    <row r="824" spans="1:15" ht="27.5" customHeight="1" x14ac:dyDescent="0.2">
      <c r="A824">
        <v>2025</v>
      </c>
      <c r="B824" t="s">
        <v>613</v>
      </c>
      <c r="C824" t="s">
        <v>609</v>
      </c>
      <c r="D824" s="19" t="s">
        <v>298</v>
      </c>
      <c r="E824" s="18" t="s">
        <v>153</v>
      </c>
      <c r="F824" s="18">
        <v>10</v>
      </c>
      <c r="G824" s="20">
        <v>187523</v>
      </c>
      <c r="H824" s="20">
        <v>-21477</v>
      </c>
      <c r="I824" s="20">
        <v>85210</v>
      </c>
      <c r="J824" s="8">
        <f t="shared" si="36"/>
        <v>102313</v>
      </c>
      <c r="K824" s="10">
        <f t="shared" si="37"/>
        <v>0.54560240610485111</v>
      </c>
      <c r="L824" s="17">
        <f t="shared" si="38"/>
        <v>0.11452995099267824</v>
      </c>
      <c r="M824" t="str">
        <f>VLOOKUP(D824,'Jer-Tip-Emp'!B:E,4,0)</f>
        <v>Platos mong</v>
      </c>
      <c r="N824" t="str">
        <f>VLOOKUP(D824,'Jer-Tip-Emp'!B:F,5,0)</f>
        <v>Personal</v>
      </c>
      <c r="O824" t="str">
        <f>VLOOKUP(D824,'Jer-Tip-Emp'!B:G,6,0)</f>
        <v>Caja</v>
      </c>
    </row>
    <row r="825" spans="1:15" ht="27.5" hidden="1" customHeight="1" x14ac:dyDescent="0.2">
      <c r="A825">
        <v>2025</v>
      </c>
      <c r="B825" t="s">
        <v>613</v>
      </c>
      <c r="C825" t="s">
        <v>609</v>
      </c>
      <c r="D825" s="19" t="s">
        <v>335</v>
      </c>
      <c r="E825" s="18" t="s">
        <v>40</v>
      </c>
      <c r="F825" s="18">
        <v>10</v>
      </c>
      <c r="G825" s="20">
        <v>48507</v>
      </c>
      <c r="H825" s="18">
        <v>-493</v>
      </c>
      <c r="I825" s="20">
        <v>13730</v>
      </c>
      <c r="J825" s="8">
        <f t="shared" si="36"/>
        <v>34777</v>
      </c>
      <c r="K825" s="10">
        <f t="shared" si="37"/>
        <v>0.71694806935081534</v>
      </c>
      <c r="L825" s="17">
        <f t="shared" si="38"/>
        <v>1.0163481559362567E-2</v>
      </c>
      <c r="M825" t="str">
        <f>VLOOKUP(D825,'Jer-Tip-Emp'!B:E,4,0)</f>
        <v>Bebidas</v>
      </c>
      <c r="N825" t="str">
        <f>VLOOKUP(D825,'Jer-Tip-Emp'!B:F,5,0)</f>
        <v>Bebidas</v>
      </c>
      <c r="O825" t="str">
        <f>VLOOKUP(D825,'Jer-Tip-Emp'!B:G,6,0)</f>
        <v>Bebidas</v>
      </c>
    </row>
    <row r="826" spans="1:15" ht="27.5" hidden="1" customHeight="1" x14ac:dyDescent="0.2">
      <c r="A826">
        <v>2025</v>
      </c>
      <c r="B826" t="s">
        <v>613</v>
      </c>
      <c r="C826" t="s">
        <v>609</v>
      </c>
      <c r="D826" s="19" t="s">
        <v>364</v>
      </c>
      <c r="E826" s="18" t="s">
        <v>51</v>
      </c>
      <c r="F826" s="18">
        <v>10</v>
      </c>
      <c r="G826" s="20">
        <v>39000</v>
      </c>
      <c r="H826" s="18">
        <v>0</v>
      </c>
      <c r="I826" s="20">
        <v>12910</v>
      </c>
      <c r="J826" s="8">
        <f t="shared" si="36"/>
        <v>26090</v>
      </c>
      <c r="K826" s="10">
        <f t="shared" si="37"/>
        <v>0.66897435897435897</v>
      </c>
      <c r="L826" s="17">
        <f t="shared" si="38"/>
        <v>0</v>
      </c>
      <c r="M826" t="str">
        <f>VLOOKUP(D826,'Jer-Tip-Emp'!B:E,4,0)</f>
        <v>Bebidas</v>
      </c>
      <c r="N826" t="str">
        <f>VLOOKUP(D826,'Jer-Tip-Emp'!B:F,5,0)</f>
        <v>Bebidas</v>
      </c>
      <c r="O826" t="str">
        <f>VLOOKUP(D826,'Jer-Tip-Emp'!B:G,6,0)</f>
        <v>Bebidas</v>
      </c>
    </row>
    <row r="827" spans="1:15" ht="27.5" hidden="1" customHeight="1" x14ac:dyDescent="0.2">
      <c r="A827">
        <v>2025</v>
      </c>
      <c r="B827" t="s">
        <v>613</v>
      </c>
      <c r="C827" t="s">
        <v>609</v>
      </c>
      <c r="D827" s="19" t="s">
        <v>330</v>
      </c>
      <c r="E827" s="18" t="s">
        <v>38</v>
      </c>
      <c r="F827" s="18">
        <v>10</v>
      </c>
      <c r="G827" s="20">
        <v>48516</v>
      </c>
      <c r="H827" s="18">
        <v>-484</v>
      </c>
      <c r="I827" s="20">
        <v>12880</v>
      </c>
      <c r="J827" s="8">
        <f t="shared" si="36"/>
        <v>35636</v>
      </c>
      <c r="K827" s="10">
        <f t="shared" si="37"/>
        <v>0.73452057053343223</v>
      </c>
      <c r="L827" s="17">
        <f t="shared" si="38"/>
        <v>9.9760903619424517E-3</v>
      </c>
      <c r="M827" t="str">
        <f>VLOOKUP(D827,'Jer-Tip-Emp'!B:E,4,0)</f>
        <v>Bebidas</v>
      </c>
      <c r="N827" t="str">
        <f>VLOOKUP(D827,'Jer-Tip-Emp'!B:F,5,0)</f>
        <v>Bebidas</v>
      </c>
      <c r="O827" t="str">
        <f>VLOOKUP(D827,'Jer-Tip-Emp'!B:G,6,0)</f>
        <v>Bebidas</v>
      </c>
    </row>
    <row r="828" spans="1:15" ht="27.5" customHeight="1" x14ac:dyDescent="0.2">
      <c r="A828">
        <v>2025</v>
      </c>
      <c r="B828" t="s">
        <v>613</v>
      </c>
      <c r="C828" t="s">
        <v>609</v>
      </c>
      <c r="D828" s="19" t="s">
        <v>278</v>
      </c>
      <c r="E828" s="18" t="s">
        <v>84</v>
      </c>
      <c r="F828" s="18">
        <v>10</v>
      </c>
      <c r="G828" s="20">
        <v>209000</v>
      </c>
      <c r="H828" s="18">
        <v>0</v>
      </c>
      <c r="I828" s="20">
        <v>79730</v>
      </c>
      <c r="J828" s="8">
        <f t="shared" si="36"/>
        <v>129270</v>
      </c>
      <c r="K828" s="10">
        <f t="shared" si="37"/>
        <v>0.61851674641148324</v>
      </c>
      <c r="L828" s="17">
        <f t="shared" si="38"/>
        <v>0</v>
      </c>
      <c r="M828" t="str">
        <f>VLOOKUP(D828,'Jer-Tip-Emp'!B:E,4,0)</f>
        <v>Combos para compartir</v>
      </c>
      <c r="N828" t="str">
        <f>VLOOKUP(D828,'Jer-Tip-Emp'!B:F,5,0)</f>
        <v>No Personal</v>
      </c>
      <c r="O828" t="str">
        <f>VLOOKUP(D828,'Jer-Tip-Emp'!B:G,6,0)</f>
        <v>Combo</v>
      </c>
    </row>
    <row r="829" spans="1:15" ht="27.5" customHeight="1" x14ac:dyDescent="0.2">
      <c r="A829">
        <v>2025</v>
      </c>
      <c r="B829" t="s">
        <v>613</v>
      </c>
      <c r="C829" t="s">
        <v>609</v>
      </c>
      <c r="D829" s="19" t="s">
        <v>221</v>
      </c>
      <c r="E829" s="18" t="s">
        <v>27</v>
      </c>
      <c r="F829" s="18">
        <v>9</v>
      </c>
      <c r="G829" s="20">
        <v>71100</v>
      </c>
      <c r="H829" s="18">
        <v>0</v>
      </c>
      <c r="I829" s="18">
        <v>0</v>
      </c>
      <c r="J829" s="8">
        <f t="shared" si="36"/>
        <v>71100</v>
      </c>
      <c r="K829" s="10">
        <f t="shared" si="37"/>
        <v>1</v>
      </c>
      <c r="L829" s="17">
        <f t="shared" si="38"/>
        <v>0</v>
      </c>
      <c r="M829" t="str">
        <f>VLOOKUP(D829,'Jer-Tip-Emp'!B:E,4,0)</f>
        <v>Armalo en combo</v>
      </c>
      <c r="N829" t="str">
        <f>VLOOKUP(D829,'Jer-Tip-Emp'!B:F,5,0)</f>
        <v>Personal</v>
      </c>
      <c r="O829" t="str">
        <f>VLOOKUP(D829,'Jer-Tip-Emp'!B:G,6,0)</f>
        <v>Combo</v>
      </c>
    </row>
    <row r="830" spans="1:15" ht="27.5" customHeight="1" x14ac:dyDescent="0.2">
      <c r="A830">
        <v>2025</v>
      </c>
      <c r="B830" t="s">
        <v>613</v>
      </c>
      <c r="C830" t="s">
        <v>609</v>
      </c>
      <c r="D830" s="19" t="s">
        <v>198</v>
      </c>
      <c r="E830" s="18" t="s">
        <v>124</v>
      </c>
      <c r="F830" s="18">
        <v>8</v>
      </c>
      <c r="G830" s="20">
        <v>191200</v>
      </c>
      <c r="H830" s="18">
        <v>0</v>
      </c>
      <c r="I830" s="20">
        <v>70056</v>
      </c>
      <c r="J830" s="8">
        <f t="shared" si="36"/>
        <v>121144</v>
      </c>
      <c r="K830" s="10">
        <f t="shared" si="37"/>
        <v>0.6335983263598326</v>
      </c>
      <c r="L830" s="17">
        <f t="shared" si="38"/>
        <v>0</v>
      </c>
      <c r="M830" t="str">
        <f>VLOOKUP(D830,'Jer-Tip-Emp'!B:E,4,0)</f>
        <v>Platos mong</v>
      </c>
      <c r="N830" t="str">
        <f>VLOOKUP(D830,'Jer-Tip-Emp'!B:F,5,0)</f>
        <v>Personal</v>
      </c>
      <c r="O830" t="str">
        <f>VLOOKUP(D830,'Jer-Tip-Emp'!B:G,6,0)</f>
        <v>Caja</v>
      </c>
    </row>
    <row r="831" spans="1:15" ht="27.5" hidden="1" customHeight="1" x14ac:dyDescent="0.2">
      <c r="A831">
        <v>2025</v>
      </c>
      <c r="B831" t="s">
        <v>613</v>
      </c>
      <c r="C831" t="s">
        <v>609</v>
      </c>
      <c r="D831" s="19" t="s">
        <v>339</v>
      </c>
      <c r="E831" s="18" t="s">
        <v>65</v>
      </c>
      <c r="F831" s="18">
        <v>7</v>
      </c>
      <c r="G831" s="20">
        <v>34300</v>
      </c>
      <c r="H831" s="18">
        <v>0</v>
      </c>
      <c r="I831" s="20">
        <v>10920</v>
      </c>
      <c r="J831" s="8">
        <f t="shared" si="36"/>
        <v>23380</v>
      </c>
      <c r="K831" s="10">
        <f t="shared" si="37"/>
        <v>0.68163265306122445</v>
      </c>
      <c r="L831" s="17">
        <f t="shared" si="38"/>
        <v>0</v>
      </c>
      <c r="M831" t="str">
        <f>VLOOKUP(D831,'Jer-Tip-Emp'!B:E,4,0)</f>
        <v>Bebidas</v>
      </c>
      <c r="N831" t="str">
        <f>VLOOKUP(D831,'Jer-Tip-Emp'!B:F,5,0)</f>
        <v>Bebidas</v>
      </c>
      <c r="O831" t="str">
        <f>VLOOKUP(D831,'Jer-Tip-Emp'!B:G,6,0)</f>
        <v>Bebidas</v>
      </c>
    </row>
    <row r="832" spans="1:15" ht="27.5" customHeight="1" x14ac:dyDescent="0.2">
      <c r="A832">
        <v>2025</v>
      </c>
      <c r="B832" t="s">
        <v>613</v>
      </c>
      <c r="C832" t="s">
        <v>609</v>
      </c>
      <c r="D832" s="19" t="s">
        <v>197</v>
      </c>
      <c r="E832" s="18" t="s">
        <v>31</v>
      </c>
      <c r="F832" s="18">
        <v>7</v>
      </c>
      <c r="G832" s="20">
        <v>55300</v>
      </c>
      <c r="H832" s="18">
        <v>0</v>
      </c>
      <c r="I832" s="20">
        <v>22484</v>
      </c>
      <c r="J832" s="8">
        <f t="shared" si="36"/>
        <v>32816</v>
      </c>
      <c r="K832" s="10">
        <f t="shared" si="37"/>
        <v>0.59341772151898731</v>
      </c>
      <c r="L832" s="17">
        <f t="shared" si="38"/>
        <v>0</v>
      </c>
      <c r="M832" t="str">
        <f>VLOOKUP(D832,'Jer-Tip-Emp'!B:E,4,0)</f>
        <v>Armalo en combo</v>
      </c>
      <c r="N832" t="str">
        <f>VLOOKUP(D832,'Jer-Tip-Emp'!B:F,5,0)</f>
        <v>Personal</v>
      </c>
      <c r="O832" t="str">
        <f>VLOOKUP(D832,'Jer-Tip-Emp'!B:G,6,0)</f>
        <v>Combo</v>
      </c>
    </row>
    <row r="833" spans="1:15" ht="27.5" hidden="1" customHeight="1" x14ac:dyDescent="0.2">
      <c r="A833">
        <v>2025</v>
      </c>
      <c r="B833" t="s">
        <v>613</v>
      </c>
      <c r="C833" t="s">
        <v>609</v>
      </c>
      <c r="D833" s="19" t="s">
        <v>321</v>
      </c>
      <c r="E833" s="18" t="s">
        <v>72</v>
      </c>
      <c r="F833" s="18">
        <v>7</v>
      </c>
      <c r="G833" s="20">
        <v>34300</v>
      </c>
      <c r="H833" s="18">
        <v>0</v>
      </c>
      <c r="I833" s="20">
        <v>9310</v>
      </c>
      <c r="J833" s="8">
        <f t="shared" ref="J833:J896" si="39">G833-I833</f>
        <v>24990</v>
      </c>
      <c r="K833" s="10">
        <f t="shared" ref="K833:K896" si="40">IFERROR(J833/G833,0)</f>
        <v>0.72857142857142854</v>
      </c>
      <c r="L833" s="17">
        <f t="shared" ref="L833:L896" si="41">IFERROR((H833/G833)*-1,0)</f>
        <v>0</v>
      </c>
      <c r="M833" t="str">
        <f>VLOOKUP(D833,'Jer-Tip-Emp'!B:E,4,0)</f>
        <v>Bebidas</v>
      </c>
      <c r="N833" t="str">
        <f>VLOOKUP(D833,'Jer-Tip-Emp'!B:F,5,0)</f>
        <v>Bebidas</v>
      </c>
      <c r="O833" t="str">
        <f>VLOOKUP(D833,'Jer-Tip-Emp'!B:G,6,0)</f>
        <v>Bebidas</v>
      </c>
    </row>
    <row r="834" spans="1:15" ht="27.5" hidden="1" customHeight="1" x14ac:dyDescent="0.2">
      <c r="A834">
        <v>2025</v>
      </c>
      <c r="B834" t="s">
        <v>613</v>
      </c>
      <c r="C834" t="s">
        <v>609</v>
      </c>
      <c r="D834" s="19" t="s">
        <v>403</v>
      </c>
      <c r="E834" s="18" t="s">
        <v>45</v>
      </c>
      <c r="F834" s="18">
        <v>7</v>
      </c>
      <c r="G834" s="20">
        <v>68321</v>
      </c>
      <c r="H834" s="18">
        <v>-979</v>
      </c>
      <c r="I834" s="20">
        <v>31507</v>
      </c>
      <c r="J834" s="8">
        <f t="shared" si="39"/>
        <v>36814</v>
      </c>
      <c r="K834" s="10">
        <f t="shared" si="40"/>
        <v>0.53883871723189058</v>
      </c>
      <c r="L834" s="17">
        <f t="shared" si="41"/>
        <v>1.4329415553051039E-2</v>
      </c>
      <c r="M834" t="str">
        <f>VLOOKUP(D834,'Jer-Tip-Emp'!B:E,4,0)</f>
        <v>Bebidas</v>
      </c>
      <c r="N834" t="str">
        <f>VLOOKUP(D834,'Jer-Tip-Emp'!B:F,5,0)</f>
        <v>Bebidas</v>
      </c>
      <c r="O834" t="str">
        <f>VLOOKUP(D834,'Jer-Tip-Emp'!B:G,6,0)</f>
        <v>Bebidas</v>
      </c>
    </row>
    <row r="835" spans="1:15" ht="27.5" hidden="1" customHeight="1" x14ac:dyDescent="0.2">
      <c r="A835">
        <v>2025</v>
      </c>
      <c r="B835" t="s">
        <v>613</v>
      </c>
      <c r="C835" t="s">
        <v>609</v>
      </c>
      <c r="D835" s="19" t="s">
        <v>490</v>
      </c>
      <c r="E835" s="18" t="s">
        <v>554</v>
      </c>
      <c r="F835" s="18">
        <v>7</v>
      </c>
      <c r="G835" s="18">
        <v>0</v>
      </c>
      <c r="H835" s="18">
        <v>0</v>
      </c>
      <c r="I835" s="20">
        <v>14343</v>
      </c>
      <c r="J835" s="8">
        <f t="shared" si="39"/>
        <v>-14343</v>
      </c>
      <c r="K835" s="10">
        <f t="shared" si="40"/>
        <v>0</v>
      </c>
      <c r="L835" s="17">
        <f t="shared" si="41"/>
        <v>0</v>
      </c>
      <c r="M835" t="str">
        <f>VLOOKUP(D835,'Jer-Tip-Emp'!B:E,4,0)</f>
        <v>Adición</v>
      </c>
      <c r="N835" t="str">
        <f>VLOOKUP(D835,'Jer-Tip-Emp'!B:F,5,0)</f>
        <v>Otro</v>
      </c>
      <c r="O835" t="str">
        <f>VLOOKUP(D835,'Jer-Tip-Emp'!B:G,6,0)</f>
        <v>Otro</v>
      </c>
    </row>
    <row r="836" spans="1:15" ht="27.5" hidden="1" customHeight="1" x14ac:dyDescent="0.2">
      <c r="A836">
        <v>2025</v>
      </c>
      <c r="B836" t="s">
        <v>613</v>
      </c>
      <c r="C836" t="s">
        <v>609</v>
      </c>
      <c r="D836" s="19" t="s">
        <v>450</v>
      </c>
      <c r="E836" s="18" t="s">
        <v>565</v>
      </c>
      <c r="F836" s="18">
        <v>6</v>
      </c>
      <c r="G836" s="20">
        <v>9600</v>
      </c>
      <c r="H836" s="18">
        <v>0</v>
      </c>
      <c r="I836" s="20">
        <v>11244</v>
      </c>
      <c r="J836" s="8">
        <f t="shared" si="39"/>
        <v>-1644</v>
      </c>
      <c r="K836" s="10">
        <f t="shared" si="40"/>
        <v>-0.17125000000000001</v>
      </c>
      <c r="L836" s="17">
        <f t="shared" si="41"/>
        <v>0</v>
      </c>
      <c r="M836" t="str">
        <f>VLOOKUP(D836,'Jer-Tip-Emp'!B:E,4,0)</f>
        <v>Bebidas</v>
      </c>
      <c r="N836" t="str">
        <f>VLOOKUP(D836,'Jer-Tip-Emp'!B:F,5,0)</f>
        <v>Bebidas Cambio de bebida</v>
      </c>
      <c r="O836" t="str">
        <f>VLOOKUP(D836,'Jer-Tip-Emp'!B:G,6,0)</f>
        <v>Bebidas</v>
      </c>
    </row>
    <row r="837" spans="1:15" ht="27.5" customHeight="1" x14ac:dyDescent="0.2">
      <c r="A837">
        <v>2025</v>
      </c>
      <c r="B837" t="s">
        <v>613</v>
      </c>
      <c r="C837" t="s">
        <v>609</v>
      </c>
      <c r="D837" s="19" t="s">
        <v>180</v>
      </c>
      <c r="E837" s="18" t="s">
        <v>128</v>
      </c>
      <c r="F837" s="18">
        <v>6</v>
      </c>
      <c r="G837" s="20">
        <v>125400</v>
      </c>
      <c r="H837" s="18">
        <v>0</v>
      </c>
      <c r="I837" s="20">
        <v>41028</v>
      </c>
      <c r="J837" s="8">
        <f t="shared" si="39"/>
        <v>84372</v>
      </c>
      <c r="K837" s="10">
        <f t="shared" si="40"/>
        <v>0.67282296650717699</v>
      </c>
      <c r="L837" s="17">
        <f t="shared" si="41"/>
        <v>0</v>
      </c>
      <c r="M837" t="str">
        <f>VLOOKUP(D837,'Jer-Tip-Emp'!B:E,4,0)</f>
        <v>Platos mong</v>
      </c>
      <c r="N837" t="str">
        <f>VLOOKUP(D837,'Jer-Tip-Emp'!B:F,5,0)</f>
        <v>Personal</v>
      </c>
      <c r="O837" t="str">
        <f>VLOOKUP(D837,'Jer-Tip-Emp'!B:G,6,0)</f>
        <v>Caja</v>
      </c>
    </row>
    <row r="838" spans="1:15" ht="27.5" customHeight="1" x14ac:dyDescent="0.2">
      <c r="A838">
        <v>2025</v>
      </c>
      <c r="B838" t="s">
        <v>613</v>
      </c>
      <c r="C838" t="s">
        <v>609</v>
      </c>
      <c r="D838" s="19" t="s">
        <v>290</v>
      </c>
      <c r="E838" s="18" t="s">
        <v>86</v>
      </c>
      <c r="F838" s="18">
        <v>6</v>
      </c>
      <c r="G838" s="20">
        <v>581400</v>
      </c>
      <c r="H838" s="18">
        <v>0</v>
      </c>
      <c r="I838" s="20">
        <v>280680</v>
      </c>
      <c r="J838" s="8">
        <f t="shared" si="39"/>
        <v>300720</v>
      </c>
      <c r="K838" s="10">
        <f t="shared" si="40"/>
        <v>0.51723426212590295</v>
      </c>
      <c r="L838" s="17">
        <f t="shared" si="41"/>
        <v>0</v>
      </c>
      <c r="M838" t="str">
        <f>VLOOKUP(D838,'Jer-Tip-Emp'!B:E,4,0)</f>
        <v>Combos para compartir</v>
      </c>
      <c r="N838" t="str">
        <f>VLOOKUP(D838,'Jer-Tip-Emp'!B:F,5,0)</f>
        <v>No Personal</v>
      </c>
      <c r="O838" t="str">
        <f>VLOOKUP(D838,'Jer-Tip-Emp'!B:G,6,0)</f>
        <v>Combo</v>
      </c>
    </row>
    <row r="839" spans="1:15" ht="27.5" hidden="1" customHeight="1" x14ac:dyDescent="0.2">
      <c r="A839">
        <v>2025</v>
      </c>
      <c r="B839" t="s">
        <v>613</v>
      </c>
      <c r="C839" t="s">
        <v>609</v>
      </c>
      <c r="D839" s="19" t="s">
        <v>183</v>
      </c>
      <c r="E839" s="18" t="s">
        <v>104</v>
      </c>
      <c r="F839" s="18">
        <v>5</v>
      </c>
      <c r="G839" s="20">
        <v>79500</v>
      </c>
      <c r="H839" s="18">
        <v>0</v>
      </c>
      <c r="I839" s="20">
        <v>50140</v>
      </c>
      <c r="J839" s="8">
        <f t="shared" si="39"/>
        <v>29360</v>
      </c>
      <c r="K839" s="10">
        <f t="shared" si="40"/>
        <v>0.36930817610062894</v>
      </c>
      <c r="L839" s="17">
        <f t="shared" si="41"/>
        <v>0</v>
      </c>
      <c r="M839" t="str">
        <f>VLOOKUP(D839,'Jer-Tip-Emp'!B:E,4,0)</f>
        <v>Entradas</v>
      </c>
      <c r="N839" t="str">
        <f>VLOOKUP(D839,'Jer-Tip-Emp'!B:F,5,0)</f>
        <v>Otro</v>
      </c>
      <c r="O839" t="str">
        <f>VLOOKUP(D839,'Jer-Tip-Emp'!B:G,6,0)</f>
        <v>Otro</v>
      </c>
    </row>
    <row r="840" spans="1:15" ht="27.5" hidden="1" customHeight="1" x14ac:dyDescent="0.2">
      <c r="A840">
        <v>2025</v>
      </c>
      <c r="B840" t="s">
        <v>613</v>
      </c>
      <c r="C840" t="s">
        <v>609</v>
      </c>
      <c r="D840" s="19" t="s">
        <v>314</v>
      </c>
      <c r="E840" s="18" t="s">
        <v>67</v>
      </c>
      <c r="F840" s="18">
        <v>5</v>
      </c>
      <c r="G840" s="20">
        <v>24500</v>
      </c>
      <c r="H840" s="18">
        <v>0</v>
      </c>
      <c r="I840" s="20">
        <v>6650</v>
      </c>
      <c r="J840" s="8">
        <f t="shared" si="39"/>
        <v>17850</v>
      </c>
      <c r="K840" s="10">
        <f t="shared" si="40"/>
        <v>0.72857142857142854</v>
      </c>
      <c r="L840" s="17">
        <f t="shared" si="41"/>
        <v>0</v>
      </c>
      <c r="M840" t="str">
        <f>VLOOKUP(D840,'Jer-Tip-Emp'!B:E,4,0)</f>
        <v>Bebidas</v>
      </c>
      <c r="N840" t="str">
        <f>VLOOKUP(D840,'Jer-Tip-Emp'!B:F,5,0)</f>
        <v>Bebidas</v>
      </c>
      <c r="O840" t="str">
        <f>VLOOKUP(D840,'Jer-Tip-Emp'!B:G,6,0)</f>
        <v>Bebidas</v>
      </c>
    </row>
    <row r="841" spans="1:15" ht="27.5" hidden="1" customHeight="1" x14ac:dyDescent="0.2">
      <c r="A841">
        <v>2025</v>
      </c>
      <c r="B841" t="s">
        <v>613</v>
      </c>
      <c r="C841" t="s">
        <v>609</v>
      </c>
      <c r="D841" s="19" t="s">
        <v>350</v>
      </c>
      <c r="E841" s="18" t="s">
        <v>66</v>
      </c>
      <c r="F841" s="18">
        <v>5</v>
      </c>
      <c r="G841" s="20">
        <v>22600</v>
      </c>
      <c r="H841" s="20">
        <v>-1900</v>
      </c>
      <c r="I841" s="20">
        <v>7800</v>
      </c>
      <c r="J841" s="8">
        <f t="shared" si="39"/>
        <v>14800</v>
      </c>
      <c r="K841" s="10">
        <f t="shared" si="40"/>
        <v>0.65486725663716816</v>
      </c>
      <c r="L841" s="17">
        <f t="shared" si="41"/>
        <v>8.4070796460176997E-2</v>
      </c>
      <c r="M841" t="str">
        <f>VLOOKUP(D841,'Jer-Tip-Emp'!B:E,4,0)</f>
        <v>Bebidas</v>
      </c>
      <c r="N841" t="str">
        <f>VLOOKUP(D841,'Jer-Tip-Emp'!B:F,5,0)</f>
        <v>Bebidas</v>
      </c>
      <c r="O841" t="str">
        <f>VLOOKUP(D841,'Jer-Tip-Emp'!B:G,6,0)</f>
        <v>Bebidas</v>
      </c>
    </row>
    <row r="842" spans="1:15" ht="27.5" customHeight="1" x14ac:dyDescent="0.2">
      <c r="A842">
        <v>2025</v>
      </c>
      <c r="B842" t="s">
        <v>613</v>
      </c>
      <c r="C842" t="s">
        <v>609</v>
      </c>
      <c r="D842" s="19" t="s">
        <v>261</v>
      </c>
      <c r="E842" s="18" t="s">
        <v>135</v>
      </c>
      <c r="F842" s="18">
        <v>5</v>
      </c>
      <c r="G842" s="20">
        <v>89500</v>
      </c>
      <c r="H842" s="18">
        <v>0</v>
      </c>
      <c r="I842" s="20">
        <v>27330</v>
      </c>
      <c r="J842" s="8">
        <f t="shared" si="39"/>
        <v>62170</v>
      </c>
      <c r="K842" s="10">
        <f t="shared" si="40"/>
        <v>0.69463687150837994</v>
      </c>
      <c r="L842" s="17">
        <f t="shared" si="41"/>
        <v>0</v>
      </c>
      <c r="M842" t="str">
        <f>VLOOKUP(D842,'Jer-Tip-Emp'!B:E,4,0)</f>
        <v>Platos mong</v>
      </c>
      <c r="N842" t="str">
        <f>VLOOKUP(D842,'Jer-Tip-Emp'!B:F,5,0)</f>
        <v>Personal</v>
      </c>
      <c r="O842" t="str">
        <f>VLOOKUP(D842,'Jer-Tip-Emp'!B:G,6,0)</f>
        <v>Caja</v>
      </c>
    </row>
    <row r="843" spans="1:15" ht="27.5" hidden="1" customHeight="1" x14ac:dyDescent="0.2">
      <c r="A843">
        <v>2025</v>
      </c>
      <c r="B843" t="s">
        <v>613</v>
      </c>
      <c r="C843" t="s">
        <v>609</v>
      </c>
      <c r="D843" s="19" t="s">
        <v>365</v>
      </c>
      <c r="E843" s="18" t="s">
        <v>558</v>
      </c>
      <c r="F843" s="18">
        <v>5</v>
      </c>
      <c r="G843" s="20">
        <v>2446</v>
      </c>
      <c r="H843" s="18">
        <v>-54</v>
      </c>
      <c r="I843" s="20">
        <v>7845</v>
      </c>
      <c r="J843" s="8">
        <f t="shared" si="39"/>
        <v>-5399</v>
      </c>
      <c r="K843" s="10">
        <f t="shared" si="40"/>
        <v>-2.2072771872444807</v>
      </c>
      <c r="L843" s="17">
        <f t="shared" si="41"/>
        <v>2.2076860179885527E-2</v>
      </c>
      <c r="M843" t="str">
        <f>VLOOKUP(D843,'Jer-Tip-Emp'!B:E,4,0)</f>
        <v>Adición</v>
      </c>
      <c r="N843" t="str">
        <f>VLOOKUP(D843,'Jer-Tip-Emp'!B:F,5,0)</f>
        <v>Otro</v>
      </c>
      <c r="O843" t="str">
        <f>VLOOKUP(D843,'Jer-Tip-Emp'!B:G,6,0)</f>
        <v>Otro</v>
      </c>
    </row>
    <row r="844" spans="1:15" ht="27.5" customHeight="1" x14ac:dyDescent="0.2">
      <c r="A844">
        <v>2025</v>
      </c>
      <c r="B844" t="s">
        <v>613</v>
      </c>
      <c r="C844" t="s">
        <v>609</v>
      </c>
      <c r="D844" s="19" t="s">
        <v>225</v>
      </c>
      <c r="E844" s="18" t="s">
        <v>157</v>
      </c>
      <c r="F844" s="18">
        <v>5</v>
      </c>
      <c r="G844" s="20">
        <v>89500</v>
      </c>
      <c r="H844" s="18">
        <v>0</v>
      </c>
      <c r="I844" s="20">
        <v>35705</v>
      </c>
      <c r="J844" s="8">
        <f t="shared" si="39"/>
        <v>53795</v>
      </c>
      <c r="K844" s="10">
        <f t="shared" si="40"/>
        <v>0.60106145251396648</v>
      </c>
      <c r="L844" s="17">
        <f t="shared" si="41"/>
        <v>0</v>
      </c>
      <c r="M844" t="str">
        <f>VLOOKUP(D844,'Jer-Tip-Emp'!B:E,4,0)</f>
        <v>Platos mong</v>
      </c>
      <c r="N844" t="str">
        <f>VLOOKUP(D844,'Jer-Tip-Emp'!B:F,5,0)</f>
        <v>Personal</v>
      </c>
      <c r="O844" t="str">
        <f>VLOOKUP(D844,'Jer-Tip-Emp'!B:G,6,0)</f>
        <v>Caja</v>
      </c>
    </row>
    <row r="845" spans="1:15" ht="27.5" hidden="1" customHeight="1" x14ac:dyDescent="0.2">
      <c r="A845">
        <v>2025</v>
      </c>
      <c r="B845" t="s">
        <v>613</v>
      </c>
      <c r="C845" t="s">
        <v>609</v>
      </c>
      <c r="D845" s="19" t="s">
        <v>410</v>
      </c>
      <c r="E845" s="18" t="s">
        <v>559</v>
      </c>
      <c r="F845" s="18">
        <v>4</v>
      </c>
      <c r="G845" s="20">
        <v>6900</v>
      </c>
      <c r="H845" s="20">
        <v>-2300</v>
      </c>
      <c r="I845" s="20">
        <v>8940</v>
      </c>
      <c r="J845" s="8">
        <f t="shared" si="39"/>
        <v>-2040</v>
      </c>
      <c r="K845" s="10">
        <f t="shared" si="40"/>
        <v>-0.29565217391304349</v>
      </c>
      <c r="L845" s="17">
        <f t="shared" si="41"/>
        <v>0.33333333333333331</v>
      </c>
      <c r="M845" t="str">
        <f>VLOOKUP(D845,'Jer-Tip-Emp'!B:E,4,0)</f>
        <v>Bebidas</v>
      </c>
      <c r="N845" t="str">
        <f>VLOOKUP(D845,'Jer-Tip-Emp'!B:F,5,0)</f>
        <v>Bebidas Cambio de bebida</v>
      </c>
      <c r="O845" t="str">
        <f>VLOOKUP(D845,'Jer-Tip-Emp'!B:G,6,0)</f>
        <v>Bebidas</v>
      </c>
    </row>
    <row r="846" spans="1:15" ht="27.5" customHeight="1" x14ac:dyDescent="0.2">
      <c r="A846">
        <v>2025</v>
      </c>
      <c r="B846" t="s">
        <v>613</v>
      </c>
      <c r="C846" t="s">
        <v>609</v>
      </c>
      <c r="D846" s="19" t="s">
        <v>199</v>
      </c>
      <c r="E846" s="18" t="s">
        <v>115</v>
      </c>
      <c r="F846" s="18">
        <v>4</v>
      </c>
      <c r="G846" s="20">
        <v>35700</v>
      </c>
      <c r="H846" s="20">
        <v>-11900</v>
      </c>
      <c r="I846" s="18">
        <v>0</v>
      </c>
      <c r="J846" s="8">
        <f t="shared" si="39"/>
        <v>35700</v>
      </c>
      <c r="K846" s="10">
        <f t="shared" si="40"/>
        <v>1</v>
      </c>
      <c r="L846" s="17">
        <f t="shared" si="41"/>
        <v>0.33333333333333331</v>
      </c>
      <c r="M846" t="str">
        <f>VLOOKUP(D846,'Jer-Tip-Emp'!B:E,4,0)</f>
        <v>Platos especiales</v>
      </c>
      <c r="N846" t="str">
        <f>VLOOKUP(D846,'Jer-Tip-Emp'!B:F,5,0)</f>
        <v>Personal</v>
      </c>
      <c r="O846" t="str">
        <f>VLOOKUP(D846,'Jer-Tip-Emp'!B:G,6,0)</f>
        <v>Platos especiales</v>
      </c>
    </row>
    <row r="847" spans="1:15" ht="27.5" hidden="1" customHeight="1" x14ac:dyDescent="0.2">
      <c r="A847">
        <v>2025</v>
      </c>
      <c r="B847" t="s">
        <v>613</v>
      </c>
      <c r="C847" t="s">
        <v>609</v>
      </c>
      <c r="D847" s="19" t="s">
        <v>300</v>
      </c>
      <c r="E847" s="18" t="s">
        <v>26</v>
      </c>
      <c r="F847" s="18">
        <v>4</v>
      </c>
      <c r="G847" s="20">
        <v>31600</v>
      </c>
      <c r="H847" s="18">
        <v>0</v>
      </c>
      <c r="I847" s="18">
        <v>0</v>
      </c>
      <c r="J847" s="8">
        <f t="shared" si="39"/>
        <v>31600</v>
      </c>
      <c r="K847" s="10">
        <f t="shared" si="40"/>
        <v>1</v>
      </c>
      <c r="L847" s="17">
        <f t="shared" si="41"/>
        <v>0</v>
      </c>
      <c r="M847" t="str">
        <f>VLOOKUP(D847,'Jer-Tip-Emp'!B:E,4,0)</f>
        <v>Adición</v>
      </c>
      <c r="N847" t="str">
        <f>VLOOKUP(D847,'Jer-Tip-Emp'!B:F,5,0)</f>
        <v>Adición</v>
      </c>
      <c r="O847" t="str">
        <f>VLOOKUP(D847,'Jer-Tip-Emp'!B:G,6,0)</f>
        <v>Adición</v>
      </c>
    </row>
    <row r="848" spans="1:15" ht="27.5" hidden="1" customHeight="1" x14ac:dyDescent="0.2">
      <c r="A848">
        <v>2025</v>
      </c>
      <c r="B848" t="s">
        <v>613</v>
      </c>
      <c r="C848" t="s">
        <v>609</v>
      </c>
      <c r="D848" s="19" t="s">
        <v>308</v>
      </c>
      <c r="E848" s="18" t="s">
        <v>606</v>
      </c>
      <c r="F848" s="18">
        <v>4</v>
      </c>
      <c r="G848" s="20">
        <v>8000</v>
      </c>
      <c r="H848" s="18">
        <v>0</v>
      </c>
      <c r="I848" s="18">
        <v>0</v>
      </c>
      <c r="J848" s="8">
        <f t="shared" si="39"/>
        <v>8000</v>
      </c>
      <c r="K848" s="10">
        <f t="shared" si="40"/>
        <v>1</v>
      </c>
      <c r="L848" s="17">
        <f t="shared" si="41"/>
        <v>0</v>
      </c>
      <c r="M848" t="str">
        <f>VLOOKUP(D848,'Jer-Tip-Emp'!B:E,4,0)</f>
        <v>Bebidas</v>
      </c>
      <c r="N848" t="str">
        <f>VLOOKUP(D848,'Jer-Tip-Emp'!B:F,5,0)</f>
        <v>Bebidas Cambio de bebida</v>
      </c>
      <c r="O848" t="str">
        <f>VLOOKUP(D848,'Jer-Tip-Emp'!B:G,6,0)</f>
        <v>Bebidas</v>
      </c>
    </row>
    <row r="849" spans="1:15" ht="27.5" customHeight="1" x14ac:dyDescent="0.2">
      <c r="A849">
        <v>2025</v>
      </c>
      <c r="B849" t="s">
        <v>613</v>
      </c>
      <c r="C849" t="s">
        <v>609</v>
      </c>
      <c r="D849" s="19" t="s">
        <v>252</v>
      </c>
      <c r="E849" s="18" t="s">
        <v>100</v>
      </c>
      <c r="F849" s="18">
        <v>4</v>
      </c>
      <c r="G849" s="20">
        <v>267600</v>
      </c>
      <c r="H849" s="18">
        <v>0</v>
      </c>
      <c r="I849" s="20">
        <v>129404</v>
      </c>
      <c r="J849" s="8">
        <f t="shared" si="39"/>
        <v>138196</v>
      </c>
      <c r="K849" s="10">
        <f t="shared" si="40"/>
        <v>0.51642750373692081</v>
      </c>
      <c r="L849" s="17">
        <f t="shared" si="41"/>
        <v>0</v>
      </c>
      <c r="M849" t="str">
        <f>VLOOKUP(D849,'Jer-Tip-Emp'!B:E,4,0)</f>
        <v>Platos mong</v>
      </c>
      <c r="N849" t="str">
        <f>VLOOKUP(D849,'Jer-Tip-Emp'!B:F,5,0)</f>
        <v>No Personal</v>
      </c>
      <c r="O849" t="str">
        <f>VLOOKUP(D849,'Jer-Tip-Emp'!B:G,6,0)</f>
        <v>Caja</v>
      </c>
    </row>
    <row r="850" spans="1:15" ht="27.5" hidden="1" customHeight="1" x14ac:dyDescent="0.2">
      <c r="A850">
        <v>2025</v>
      </c>
      <c r="B850" t="s">
        <v>613</v>
      </c>
      <c r="C850" t="s">
        <v>609</v>
      </c>
      <c r="D850" s="19" t="s">
        <v>275</v>
      </c>
      <c r="E850" s="18" t="s">
        <v>16</v>
      </c>
      <c r="F850" s="18">
        <v>3</v>
      </c>
      <c r="G850" s="20">
        <v>20700</v>
      </c>
      <c r="H850" s="18">
        <v>0</v>
      </c>
      <c r="I850" s="20">
        <v>6735</v>
      </c>
      <c r="J850" s="8">
        <f t="shared" si="39"/>
        <v>13965</v>
      </c>
      <c r="K850" s="10">
        <f t="shared" si="40"/>
        <v>0.67463768115942024</v>
      </c>
      <c r="L850" s="17">
        <f t="shared" si="41"/>
        <v>0</v>
      </c>
      <c r="M850" t="str">
        <f>VLOOKUP(D850,'Jer-Tip-Emp'!B:E,4,0)</f>
        <v>Adición</v>
      </c>
      <c r="N850" t="str">
        <f>VLOOKUP(D850,'Jer-Tip-Emp'!B:F,5,0)</f>
        <v>Adición</v>
      </c>
      <c r="O850" t="str">
        <f>VLOOKUP(D850,'Jer-Tip-Emp'!B:G,6,0)</f>
        <v>Adición</v>
      </c>
    </row>
    <row r="851" spans="1:15" ht="27.5" hidden="1" customHeight="1" x14ac:dyDescent="0.2">
      <c r="A851">
        <v>2025</v>
      </c>
      <c r="B851" t="s">
        <v>613</v>
      </c>
      <c r="C851" t="s">
        <v>609</v>
      </c>
      <c r="D851" s="19" t="s">
        <v>465</v>
      </c>
      <c r="E851" s="18" t="s">
        <v>578</v>
      </c>
      <c r="F851" s="18">
        <v>3</v>
      </c>
      <c r="G851" s="20">
        <v>6900</v>
      </c>
      <c r="H851" s="18">
        <v>0</v>
      </c>
      <c r="I851" s="20">
        <v>6717</v>
      </c>
      <c r="J851" s="8">
        <f t="shared" si="39"/>
        <v>183</v>
      </c>
      <c r="K851" s="10">
        <f t="shared" si="40"/>
        <v>2.6521739130434784E-2</v>
      </c>
      <c r="L851" s="17">
        <f t="shared" si="41"/>
        <v>0</v>
      </c>
      <c r="M851" t="str">
        <f>VLOOKUP(D851,'Jer-Tip-Emp'!B:E,4,0)</f>
        <v>Bebidas</v>
      </c>
      <c r="N851" t="str">
        <f>VLOOKUP(D851,'Jer-Tip-Emp'!B:F,5,0)</f>
        <v>Bebidas Cambio de bebida</v>
      </c>
      <c r="O851" t="str">
        <f>VLOOKUP(D851,'Jer-Tip-Emp'!B:G,6,0)</f>
        <v>Bebidas</v>
      </c>
    </row>
    <row r="852" spans="1:15" ht="27.5" hidden="1" customHeight="1" x14ac:dyDescent="0.2">
      <c r="A852">
        <v>2025</v>
      </c>
      <c r="B852" t="s">
        <v>613</v>
      </c>
      <c r="C852" t="s">
        <v>609</v>
      </c>
      <c r="D852" s="19" t="s">
        <v>452</v>
      </c>
      <c r="E852" s="18" t="s">
        <v>573</v>
      </c>
      <c r="F852" s="18">
        <v>3</v>
      </c>
      <c r="G852" s="20">
        <v>4800</v>
      </c>
      <c r="H852" s="18">
        <v>0</v>
      </c>
      <c r="I852" s="20">
        <v>5622</v>
      </c>
      <c r="J852" s="8">
        <f t="shared" si="39"/>
        <v>-822</v>
      </c>
      <c r="K852" s="10">
        <f t="shared" si="40"/>
        <v>-0.17125000000000001</v>
      </c>
      <c r="L852" s="17">
        <f t="shared" si="41"/>
        <v>0</v>
      </c>
      <c r="M852" t="str">
        <f>VLOOKUP(D852,'Jer-Tip-Emp'!B:E,4,0)</f>
        <v>Bebidas</v>
      </c>
      <c r="N852" t="str">
        <f>VLOOKUP(D852,'Jer-Tip-Emp'!B:F,5,0)</f>
        <v>Bebidas Cambio de bebida</v>
      </c>
      <c r="O852" t="str">
        <f>VLOOKUP(D852,'Jer-Tip-Emp'!B:G,6,0)</f>
        <v>Bebidas</v>
      </c>
    </row>
    <row r="853" spans="1:15" ht="27.5" hidden="1" customHeight="1" x14ac:dyDescent="0.2">
      <c r="A853">
        <v>2025</v>
      </c>
      <c r="B853" t="s">
        <v>613</v>
      </c>
      <c r="C853" t="s">
        <v>609</v>
      </c>
      <c r="D853" s="19" t="s">
        <v>254</v>
      </c>
      <c r="E853" s="18" t="s">
        <v>20</v>
      </c>
      <c r="F853" s="18">
        <v>3</v>
      </c>
      <c r="G853" s="20">
        <v>14700</v>
      </c>
      <c r="H853" s="18">
        <v>0</v>
      </c>
      <c r="I853" s="20">
        <v>9030</v>
      </c>
      <c r="J853" s="8">
        <f t="shared" si="39"/>
        <v>5670</v>
      </c>
      <c r="K853" s="10">
        <f t="shared" si="40"/>
        <v>0.38571428571428573</v>
      </c>
      <c r="L853" s="17">
        <f t="shared" si="41"/>
        <v>0</v>
      </c>
      <c r="M853" t="str">
        <f>VLOOKUP(D853,'Jer-Tip-Emp'!B:E,4,0)</f>
        <v>Adición</v>
      </c>
      <c r="N853" t="str">
        <f>VLOOKUP(D853,'Jer-Tip-Emp'!B:F,5,0)</f>
        <v>Adición</v>
      </c>
      <c r="O853" t="str">
        <f>VLOOKUP(D853,'Jer-Tip-Emp'!B:G,6,0)</f>
        <v>Adición</v>
      </c>
    </row>
    <row r="854" spans="1:15" ht="27.5" hidden="1" customHeight="1" x14ac:dyDescent="0.2">
      <c r="A854">
        <v>2025</v>
      </c>
      <c r="B854" t="s">
        <v>613</v>
      </c>
      <c r="C854" t="s">
        <v>609</v>
      </c>
      <c r="D854" s="19" t="s">
        <v>431</v>
      </c>
      <c r="E854" s="18" t="s">
        <v>560</v>
      </c>
      <c r="F854" s="18">
        <v>3</v>
      </c>
      <c r="G854" s="20">
        <v>4643</v>
      </c>
      <c r="H854" s="18">
        <v>-157</v>
      </c>
      <c r="I854" s="20">
        <v>3990</v>
      </c>
      <c r="J854" s="8">
        <f t="shared" si="39"/>
        <v>653</v>
      </c>
      <c r="K854" s="10">
        <f t="shared" si="40"/>
        <v>0.14064182640534137</v>
      </c>
      <c r="L854" s="17">
        <f t="shared" si="41"/>
        <v>3.3814344174025415E-2</v>
      </c>
      <c r="M854" t="str">
        <f>VLOOKUP(D854,'Jer-Tip-Emp'!B:E,4,0)</f>
        <v>Bebidas</v>
      </c>
      <c r="N854" t="str">
        <f>VLOOKUP(D854,'Jer-Tip-Emp'!B:F,5,0)</f>
        <v>Bebidas Cambio de bebida</v>
      </c>
      <c r="O854" t="str">
        <f>VLOOKUP(D854,'Jer-Tip-Emp'!B:G,6,0)</f>
        <v>Bebidas</v>
      </c>
    </row>
    <row r="855" spans="1:15" ht="27.5" customHeight="1" x14ac:dyDescent="0.2">
      <c r="A855">
        <v>2025</v>
      </c>
      <c r="B855" t="s">
        <v>613</v>
      </c>
      <c r="C855" t="s">
        <v>609</v>
      </c>
      <c r="D855" s="19" t="s">
        <v>181</v>
      </c>
      <c r="E855" s="18" t="s">
        <v>121</v>
      </c>
      <c r="F855" s="18">
        <v>2</v>
      </c>
      <c r="G855" s="20">
        <v>39800</v>
      </c>
      <c r="H855" s="18">
        <v>0</v>
      </c>
      <c r="I855" s="20">
        <v>12276</v>
      </c>
      <c r="J855" s="8">
        <f t="shared" si="39"/>
        <v>27524</v>
      </c>
      <c r="K855" s="10">
        <f t="shared" si="40"/>
        <v>0.69155778894472364</v>
      </c>
      <c r="L855" s="17">
        <f t="shared" si="41"/>
        <v>0</v>
      </c>
      <c r="M855" t="str">
        <f>VLOOKUP(D855,'Jer-Tip-Emp'!B:E,4,0)</f>
        <v>Platos mong</v>
      </c>
      <c r="N855" t="str">
        <f>VLOOKUP(D855,'Jer-Tip-Emp'!B:F,5,0)</f>
        <v>Personal</v>
      </c>
      <c r="O855" t="str">
        <f>VLOOKUP(D855,'Jer-Tip-Emp'!B:G,6,0)</f>
        <v>Caja</v>
      </c>
    </row>
    <row r="856" spans="1:15" ht="27.5" hidden="1" customHeight="1" x14ac:dyDescent="0.2">
      <c r="A856">
        <v>2025</v>
      </c>
      <c r="B856" t="s">
        <v>613</v>
      </c>
      <c r="C856" t="s">
        <v>609</v>
      </c>
      <c r="D856" s="19" t="s">
        <v>445</v>
      </c>
      <c r="E856" s="18" t="s">
        <v>570</v>
      </c>
      <c r="F856" s="18">
        <v>2</v>
      </c>
      <c r="G856" s="20">
        <v>3200</v>
      </c>
      <c r="H856" s="18">
        <v>0</v>
      </c>
      <c r="I856" s="20">
        <v>3422</v>
      </c>
      <c r="J856" s="8">
        <f t="shared" si="39"/>
        <v>-222</v>
      </c>
      <c r="K856" s="10">
        <f t="shared" si="40"/>
        <v>-6.9375000000000006E-2</v>
      </c>
      <c r="L856" s="17">
        <f t="shared" si="41"/>
        <v>0</v>
      </c>
      <c r="M856" t="str">
        <f>VLOOKUP(D856,'Jer-Tip-Emp'!B:E,4,0)</f>
        <v>Bebidas</v>
      </c>
      <c r="N856" t="str">
        <f>VLOOKUP(D856,'Jer-Tip-Emp'!B:F,5,0)</f>
        <v>Bebidas Cambio de bebida</v>
      </c>
      <c r="O856" t="str">
        <f>VLOOKUP(D856,'Jer-Tip-Emp'!B:G,6,0)</f>
        <v>Bebidas</v>
      </c>
    </row>
    <row r="857" spans="1:15" ht="27.5" customHeight="1" x14ac:dyDescent="0.2">
      <c r="A857">
        <v>2025</v>
      </c>
      <c r="B857" t="s">
        <v>613</v>
      </c>
      <c r="C857" t="s">
        <v>609</v>
      </c>
      <c r="D857" s="19" t="s">
        <v>204</v>
      </c>
      <c r="E857" s="18" t="s">
        <v>154</v>
      </c>
      <c r="F857" s="18">
        <v>2</v>
      </c>
      <c r="G857" s="20">
        <v>91800</v>
      </c>
      <c r="H857" s="18">
        <v>0</v>
      </c>
      <c r="I857" s="20">
        <v>38882</v>
      </c>
      <c r="J857" s="8">
        <f t="shared" si="39"/>
        <v>52918</v>
      </c>
      <c r="K857" s="10">
        <f t="shared" si="40"/>
        <v>0.57644880174291935</v>
      </c>
      <c r="L857" s="17">
        <f t="shared" si="41"/>
        <v>0</v>
      </c>
      <c r="M857" t="str">
        <f>VLOOKUP(D857,'Jer-Tip-Emp'!B:E,4,0)</f>
        <v>Platos mong</v>
      </c>
      <c r="N857" t="str">
        <f>VLOOKUP(D857,'Jer-Tip-Emp'!B:F,5,0)</f>
        <v>No Personal</v>
      </c>
      <c r="O857" t="str">
        <f>VLOOKUP(D857,'Jer-Tip-Emp'!B:G,6,0)</f>
        <v>Caja</v>
      </c>
    </row>
    <row r="858" spans="1:15" ht="27.5" hidden="1" customHeight="1" x14ac:dyDescent="0.2">
      <c r="A858">
        <v>2025</v>
      </c>
      <c r="B858" t="s">
        <v>613</v>
      </c>
      <c r="C858" t="s">
        <v>609</v>
      </c>
      <c r="D858" s="19" t="s">
        <v>461</v>
      </c>
      <c r="E858" s="18" t="s">
        <v>571</v>
      </c>
      <c r="F858" s="18">
        <v>2</v>
      </c>
      <c r="G858" s="20">
        <v>3200</v>
      </c>
      <c r="H858" s="18">
        <v>0</v>
      </c>
      <c r="I858" s="20">
        <v>1900</v>
      </c>
      <c r="J858" s="8">
        <f t="shared" si="39"/>
        <v>1300</v>
      </c>
      <c r="K858" s="10">
        <f t="shared" si="40"/>
        <v>0.40625</v>
      </c>
      <c r="L858" s="17">
        <f t="shared" si="41"/>
        <v>0</v>
      </c>
      <c r="M858" t="str">
        <f>VLOOKUP(D858,'Jer-Tip-Emp'!B:E,4,0)</f>
        <v>Bebidas</v>
      </c>
      <c r="N858" t="str">
        <f>VLOOKUP(D858,'Jer-Tip-Emp'!B:F,5,0)</f>
        <v>Bebidas Cambio de bebida</v>
      </c>
      <c r="O858" t="str">
        <f>VLOOKUP(D858,'Jer-Tip-Emp'!B:G,6,0)</f>
        <v>Bebidas</v>
      </c>
    </row>
    <row r="859" spans="1:15" ht="27.5" customHeight="1" x14ac:dyDescent="0.2">
      <c r="A859">
        <v>2025</v>
      </c>
      <c r="B859" t="s">
        <v>613</v>
      </c>
      <c r="C859" t="s">
        <v>609</v>
      </c>
      <c r="D859" s="19" t="s">
        <v>299</v>
      </c>
      <c r="E859" s="18" t="s">
        <v>129</v>
      </c>
      <c r="F859" s="18">
        <v>2</v>
      </c>
      <c r="G859" s="20">
        <v>93800</v>
      </c>
      <c r="H859" s="18">
        <v>0</v>
      </c>
      <c r="I859" s="20">
        <v>22664</v>
      </c>
      <c r="J859" s="8">
        <f t="shared" si="39"/>
        <v>71136</v>
      </c>
      <c r="K859" s="10">
        <f t="shared" si="40"/>
        <v>0.7583795309168444</v>
      </c>
      <c r="L859" s="17">
        <f t="shared" si="41"/>
        <v>0</v>
      </c>
      <c r="M859" t="str">
        <f>VLOOKUP(D859,'Jer-Tip-Emp'!B:E,4,0)</f>
        <v>Platos mong</v>
      </c>
      <c r="N859" t="str">
        <f>VLOOKUP(D859,'Jer-Tip-Emp'!B:F,5,0)</f>
        <v>No Personal</v>
      </c>
      <c r="O859" t="str">
        <f>VLOOKUP(D859,'Jer-Tip-Emp'!B:G,6,0)</f>
        <v>Caja</v>
      </c>
    </row>
    <row r="860" spans="1:15" ht="27.5" customHeight="1" x14ac:dyDescent="0.2">
      <c r="A860">
        <v>2025</v>
      </c>
      <c r="B860" t="s">
        <v>613</v>
      </c>
      <c r="C860" t="s">
        <v>609</v>
      </c>
      <c r="D860" s="19" t="s">
        <v>240</v>
      </c>
      <c r="E860" s="18" t="s">
        <v>139</v>
      </c>
      <c r="F860" s="18">
        <v>2</v>
      </c>
      <c r="G860" s="20">
        <v>111800</v>
      </c>
      <c r="H860" s="18">
        <v>0</v>
      </c>
      <c r="I860" s="20">
        <v>48510</v>
      </c>
      <c r="J860" s="8">
        <f t="shared" si="39"/>
        <v>63290</v>
      </c>
      <c r="K860" s="10">
        <f t="shared" si="40"/>
        <v>0.5661001788908766</v>
      </c>
      <c r="L860" s="17">
        <f t="shared" si="41"/>
        <v>0</v>
      </c>
      <c r="M860" t="str">
        <f>VLOOKUP(D860,'Jer-Tip-Emp'!B:E,4,0)</f>
        <v>Platos mong</v>
      </c>
      <c r="N860" t="str">
        <f>VLOOKUP(D860,'Jer-Tip-Emp'!B:F,5,0)</f>
        <v>No Personal</v>
      </c>
      <c r="O860" t="str">
        <f>VLOOKUP(D860,'Jer-Tip-Emp'!B:G,6,0)</f>
        <v>Caja</v>
      </c>
    </row>
    <row r="861" spans="1:15" ht="27.5" hidden="1" customHeight="1" x14ac:dyDescent="0.2">
      <c r="A861">
        <v>2025</v>
      </c>
      <c r="B861" t="s">
        <v>613</v>
      </c>
      <c r="C861" t="s">
        <v>609</v>
      </c>
      <c r="D861" s="19" t="s">
        <v>463</v>
      </c>
      <c r="E861" s="18" t="s">
        <v>575</v>
      </c>
      <c r="F861" s="18">
        <v>2</v>
      </c>
      <c r="G861" s="20">
        <v>3200</v>
      </c>
      <c r="H861" s="18">
        <v>0</v>
      </c>
      <c r="I861" s="20">
        <v>1900</v>
      </c>
      <c r="J861" s="8">
        <f t="shared" si="39"/>
        <v>1300</v>
      </c>
      <c r="K861" s="10">
        <f t="shared" si="40"/>
        <v>0.40625</v>
      </c>
      <c r="L861" s="17">
        <f t="shared" si="41"/>
        <v>0</v>
      </c>
      <c r="M861" t="str">
        <f>VLOOKUP(D861,'Jer-Tip-Emp'!B:E,4,0)</f>
        <v>Bebidas</v>
      </c>
      <c r="N861" t="str">
        <f>VLOOKUP(D861,'Jer-Tip-Emp'!B:F,5,0)</f>
        <v>Bebidas Cambio de bebida</v>
      </c>
      <c r="O861" t="str">
        <f>VLOOKUP(D861,'Jer-Tip-Emp'!B:G,6,0)</f>
        <v>Bebidas</v>
      </c>
    </row>
    <row r="862" spans="1:15" ht="27.5" customHeight="1" x14ac:dyDescent="0.2">
      <c r="A862">
        <v>2025</v>
      </c>
      <c r="B862" t="s">
        <v>613</v>
      </c>
      <c r="C862" t="s">
        <v>609</v>
      </c>
      <c r="D862" s="19" t="s">
        <v>182</v>
      </c>
      <c r="E862" s="18" t="s">
        <v>118</v>
      </c>
      <c r="F862" s="18">
        <v>2</v>
      </c>
      <c r="G862" s="20">
        <v>55800</v>
      </c>
      <c r="H862" s="18">
        <v>0</v>
      </c>
      <c r="I862" s="20">
        <v>18956</v>
      </c>
      <c r="J862" s="8">
        <f t="shared" si="39"/>
        <v>36844</v>
      </c>
      <c r="K862" s="10">
        <f t="shared" si="40"/>
        <v>0.66028673835125451</v>
      </c>
      <c r="L862" s="17">
        <f t="shared" si="41"/>
        <v>0</v>
      </c>
      <c r="M862" t="str">
        <f>VLOOKUP(D862,'Jer-Tip-Emp'!B:E,4,0)</f>
        <v>Platos mong</v>
      </c>
      <c r="N862" t="str">
        <f>VLOOKUP(D862,'Jer-Tip-Emp'!B:F,5,0)</f>
        <v>Personal</v>
      </c>
      <c r="O862" t="str">
        <f>VLOOKUP(D862,'Jer-Tip-Emp'!B:G,6,0)</f>
        <v>Caja</v>
      </c>
    </row>
    <row r="863" spans="1:15" ht="27.5" hidden="1" customHeight="1" x14ac:dyDescent="0.2">
      <c r="A863">
        <v>2025</v>
      </c>
      <c r="B863" t="s">
        <v>613</v>
      </c>
      <c r="C863" t="s">
        <v>609</v>
      </c>
      <c r="D863" s="19" t="s">
        <v>411</v>
      </c>
      <c r="E863" s="18" t="s">
        <v>569</v>
      </c>
      <c r="F863" s="18">
        <v>2</v>
      </c>
      <c r="G863" s="20">
        <v>3200</v>
      </c>
      <c r="H863" s="18">
        <v>0</v>
      </c>
      <c r="I863" s="20">
        <v>4470</v>
      </c>
      <c r="J863" s="8">
        <f t="shared" si="39"/>
        <v>-1270</v>
      </c>
      <c r="K863" s="10">
        <f t="shared" si="40"/>
        <v>-0.39687499999999998</v>
      </c>
      <c r="L863" s="17">
        <f t="shared" si="41"/>
        <v>0</v>
      </c>
      <c r="M863" t="str">
        <f>VLOOKUP(D863,'Jer-Tip-Emp'!B:E,4,0)</f>
        <v>Bebidas</v>
      </c>
      <c r="N863" t="str">
        <f>VLOOKUP(D863,'Jer-Tip-Emp'!B:F,5,0)</f>
        <v>Bebidas Cambio de bebida</v>
      </c>
      <c r="O863" t="str">
        <f>VLOOKUP(D863,'Jer-Tip-Emp'!B:G,6,0)</f>
        <v>Bebidas</v>
      </c>
    </row>
    <row r="864" spans="1:15" ht="27.5" hidden="1" customHeight="1" x14ac:dyDescent="0.2">
      <c r="A864">
        <v>2025</v>
      </c>
      <c r="B864" t="s">
        <v>613</v>
      </c>
      <c r="C864" t="s">
        <v>609</v>
      </c>
      <c r="D864" s="19" t="s">
        <v>495</v>
      </c>
      <c r="E864" s="18" t="s">
        <v>572</v>
      </c>
      <c r="F864" s="18">
        <v>2</v>
      </c>
      <c r="G864" s="20">
        <v>3200</v>
      </c>
      <c r="H864" s="18">
        <v>0</v>
      </c>
      <c r="I864" s="20">
        <v>3792</v>
      </c>
      <c r="J864" s="8">
        <f t="shared" si="39"/>
        <v>-592</v>
      </c>
      <c r="K864" s="10">
        <f t="shared" si="40"/>
        <v>-0.185</v>
      </c>
      <c r="L864" s="17">
        <f t="shared" si="41"/>
        <v>0</v>
      </c>
      <c r="M864" t="str">
        <f>VLOOKUP(D864,'Jer-Tip-Emp'!B:E,4,0)</f>
        <v>Bebidas</v>
      </c>
      <c r="N864" t="str">
        <f>VLOOKUP(D864,'Jer-Tip-Emp'!B:F,5,0)</f>
        <v>Bebidas Cambio de bebida</v>
      </c>
      <c r="O864" t="str">
        <f>VLOOKUP(D864,'Jer-Tip-Emp'!B:G,6,0)</f>
        <v>Bebidas</v>
      </c>
    </row>
    <row r="865" spans="1:15" ht="27.5" hidden="1" customHeight="1" x14ac:dyDescent="0.2">
      <c r="A865">
        <v>2025</v>
      </c>
      <c r="B865" t="s">
        <v>613</v>
      </c>
      <c r="C865" t="s">
        <v>609</v>
      </c>
      <c r="D865" s="19" t="s">
        <v>402</v>
      </c>
      <c r="E865" s="18" t="s">
        <v>63</v>
      </c>
      <c r="F865" s="18">
        <v>2</v>
      </c>
      <c r="G865" s="20">
        <v>9800</v>
      </c>
      <c r="H865" s="18">
        <v>0</v>
      </c>
      <c r="I865" s="20">
        <v>3120</v>
      </c>
      <c r="J865" s="8">
        <f t="shared" si="39"/>
        <v>6680</v>
      </c>
      <c r="K865" s="10">
        <f t="shared" si="40"/>
        <v>0.68163265306122445</v>
      </c>
      <c r="L865" s="17">
        <f t="shared" si="41"/>
        <v>0</v>
      </c>
      <c r="M865" t="str">
        <f>VLOOKUP(D865,'Jer-Tip-Emp'!B:E,4,0)</f>
        <v>Bebidas</v>
      </c>
      <c r="N865" t="str">
        <f>VLOOKUP(D865,'Jer-Tip-Emp'!B:F,5,0)</f>
        <v>Bebidas</v>
      </c>
      <c r="O865" t="str">
        <f>VLOOKUP(D865,'Jer-Tip-Emp'!B:G,6,0)</f>
        <v>Bebidas</v>
      </c>
    </row>
    <row r="866" spans="1:15" ht="27.5" hidden="1" customHeight="1" x14ac:dyDescent="0.2">
      <c r="A866">
        <v>2025</v>
      </c>
      <c r="B866" t="s">
        <v>613</v>
      </c>
      <c r="C866" t="s">
        <v>609</v>
      </c>
      <c r="D866" s="19" t="s">
        <v>409</v>
      </c>
      <c r="E866" s="18" t="s">
        <v>64</v>
      </c>
      <c r="F866" s="18">
        <v>2</v>
      </c>
      <c r="G866" s="20">
        <v>16000</v>
      </c>
      <c r="H866" s="18">
        <v>0</v>
      </c>
      <c r="I866" s="18">
        <v>0</v>
      </c>
      <c r="J866" s="8">
        <f t="shared" si="39"/>
        <v>16000</v>
      </c>
      <c r="K866" s="10">
        <f t="shared" si="40"/>
        <v>1</v>
      </c>
      <c r="L866" s="17">
        <f t="shared" si="41"/>
        <v>0</v>
      </c>
      <c r="M866" t="str">
        <f>VLOOKUP(D866,'Jer-Tip-Emp'!B:E,4,0)</f>
        <v>Bebidas</v>
      </c>
      <c r="N866" t="str">
        <f>VLOOKUP(D866,'Jer-Tip-Emp'!B:F,5,0)</f>
        <v>Bebidas</v>
      </c>
      <c r="O866" t="str">
        <f>VLOOKUP(D866,'Jer-Tip-Emp'!B:G,6,0)</f>
        <v>Bebidas</v>
      </c>
    </row>
    <row r="867" spans="1:15" ht="27.5" customHeight="1" x14ac:dyDescent="0.2">
      <c r="A867">
        <v>2025</v>
      </c>
      <c r="B867" t="s">
        <v>613</v>
      </c>
      <c r="C867" t="s">
        <v>609</v>
      </c>
      <c r="D867" s="19" t="s">
        <v>279</v>
      </c>
      <c r="E867" s="18" t="s">
        <v>132</v>
      </c>
      <c r="F867" s="18">
        <v>1</v>
      </c>
      <c r="G867" s="20">
        <v>41900</v>
      </c>
      <c r="H867" s="18">
        <v>0</v>
      </c>
      <c r="I867" s="20">
        <v>11217</v>
      </c>
      <c r="J867" s="8">
        <f t="shared" si="39"/>
        <v>30683</v>
      </c>
      <c r="K867" s="10">
        <f t="shared" si="40"/>
        <v>0.73229116945107398</v>
      </c>
      <c r="L867" s="17">
        <f t="shared" si="41"/>
        <v>0</v>
      </c>
      <c r="M867" t="str">
        <f>VLOOKUP(D867,'Jer-Tip-Emp'!B:E,4,0)</f>
        <v>Platos mong</v>
      </c>
      <c r="N867" t="str">
        <f>VLOOKUP(D867,'Jer-Tip-Emp'!B:F,5,0)</f>
        <v>No Personal</v>
      </c>
      <c r="O867" t="str">
        <f>VLOOKUP(D867,'Jer-Tip-Emp'!B:G,6,0)</f>
        <v>Caja</v>
      </c>
    </row>
    <row r="868" spans="1:15" ht="27.5" hidden="1" customHeight="1" x14ac:dyDescent="0.2">
      <c r="A868">
        <v>2025</v>
      </c>
      <c r="B868" t="s">
        <v>613</v>
      </c>
      <c r="C868" t="s">
        <v>609</v>
      </c>
      <c r="D868" s="19" t="s">
        <v>296</v>
      </c>
      <c r="E868" s="18" t="s">
        <v>22</v>
      </c>
      <c r="F868" s="18">
        <v>1</v>
      </c>
      <c r="G868" s="20">
        <v>6900</v>
      </c>
      <c r="H868" s="18">
        <v>0</v>
      </c>
      <c r="I868" s="18">
        <v>689</v>
      </c>
      <c r="J868" s="8">
        <f t="shared" si="39"/>
        <v>6211</v>
      </c>
      <c r="K868" s="10">
        <f t="shared" si="40"/>
        <v>0.90014492753623188</v>
      </c>
      <c r="L868" s="17">
        <f t="shared" si="41"/>
        <v>0</v>
      </c>
      <c r="M868" t="str">
        <f>VLOOKUP(D868,'Jer-Tip-Emp'!B:E,4,0)</f>
        <v>Adición</v>
      </c>
      <c r="N868" t="str">
        <f>VLOOKUP(D868,'Jer-Tip-Emp'!B:F,5,0)</f>
        <v>Adición</v>
      </c>
      <c r="O868" t="str">
        <f>VLOOKUP(D868,'Jer-Tip-Emp'!B:G,6,0)</f>
        <v>Adición</v>
      </c>
    </row>
    <row r="869" spans="1:15" ht="27.5" hidden="1" customHeight="1" x14ac:dyDescent="0.2">
      <c r="A869">
        <v>2025</v>
      </c>
      <c r="B869" t="s">
        <v>613</v>
      </c>
      <c r="C869" t="s">
        <v>609</v>
      </c>
      <c r="D869" s="19" t="s">
        <v>494</v>
      </c>
      <c r="E869" s="18" t="s">
        <v>568</v>
      </c>
      <c r="F869" s="18">
        <v>1</v>
      </c>
      <c r="G869" s="20">
        <v>1600</v>
      </c>
      <c r="H869" s="18">
        <v>0</v>
      </c>
      <c r="I869" s="20">
        <v>2139</v>
      </c>
      <c r="J869" s="8">
        <f t="shared" si="39"/>
        <v>-539</v>
      </c>
      <c r="K869" s="10">
        <f t="shared" si="40"/>
        <v>-0.33687499999999998</v>
      </c>
      <c r="L869" s="17">
        <f t="shared" si="41"/>
        <v>0</v>
      </c>
      <c r="M869" t="str">
        <f>VLOOKUP(D869,'Jer-Tip-Emp'!B:E,4,0)</f>
        <v>Bebidas</v>
      </c>
      <c r="N869" t="str">
        <f>VLOOKUP(D869,'Jer-Tip-Emp'!B:F,5,0)</f>
        <v>Bebidas Cambio de bebida</v>
      </c>
      <c r="O869" t="str">
        <f>VLOOKUP(D869,'Jer-Tip-Emp'!B:G,6,0)</f>
        <v>Bebidas</v>
      </c>
    </row>
    <row r="870" spans="1:15" ht="27.5" hidden="1" customHeight="1" x14ac:dyDescent="0.2">
      <c r="A870">
        <v>2025</v>
      </c>
      <c r="B870" t="s">
        <v>613</v>
      </c>
      <c r="C870" t="s">
        <v>609</v>
      </c>
      <c r="D870" s="19" t="s">
        <v>444</v>
      </c>
      <c r="E870" s="18" t="s">
        <v>562</v>
      </c>
      <c r="F870" s="18">
        <v>1</v>
      </c>
      <c r="G870" s="20">
        <v>1600</v>
      </c>
      <c r="H870" s="18">
        <v>0</v>
      </c>
      <c r="I870" s="20">
        <v>1610</v>
      </c>
      <c r="J870" s="8">
        <f t="shared" si="39"/>
        <v>-10</v>
      </c>
      <c r="K870" s="10">
        <f t="shared" si="40"/>
        <v>-6.2500000000000003E-3</v>
      </c>
      <c r="L870" s="17">
        <f t="shared" si="41"/>
        <v>0</v>
      </c>
      <c r="M870" t="str">
        <f>VLOOKUP(D870,'Jer-Tip-Emp'!B:E,4,0)</f>
        <v>Bebidas</v>
      </c>
      <c r="N870" t="str">
        <f>VLOOKUP(D870,'Jer-Tip-Emp'!B:F,5,0)</f>
        <v>Bebidas Cambio de bebida</v>
      </c>
      <c r="O870" t="str">
        <f>VLOOKUP(D870,'Jer-Tip-Emp'!B:G,6,0)</f>
        <v>Bebidas</v>
      </c>
    </row>
    <row r="871" spans="1:15" ht="27.5" hidden="1" customHeight="1" x14ac:dyDescent="0.2">
      <c r="A871">
        <v>2025</v>
      </c>
      <c r="B871" t="s">
        <v>613</v>
      </c>
      <c r="C871" t="s">
        <v>609</v>
      </c>
      <c r="D871" s="19" t="s">
        <v>492</v>
      </c>
      <c r="E871" s="18" t="s">
        <v>577</v>
      </c>
      <c r="F871" s="18">
        <v>1</v>
      </c>
      <c r="G871" s="20">
        <v>1600</v>
      </c>
      <c r="H871" s="18">
        <v>0</v>
      </c>
      <c r="I871" s="20">
        <v>1895</v>
      </c>
      <c r="J871" s="8">
        <f t="shared" si="39"/>
        <v>-295</v>
      </c>
      <c r="K871" s="10">
        <f t="shared" si="40"/>
        <v>-0.18437500000000001</v>
      </c>
      <c r="L871" s="17">
        <f t="shared" si="41"/>
        <v>0</v>
      </c>
      <c r="M871" t="str">
        <f>VLOOKUP(D871,'Jer-Tip-Emp'!B:E,4,0)</f>
        <v>Bebidas</v>
      </c>
      <c r="N871" t="str">
        <f>VLOOKUP(D871,'Jer-Tip-Emp'!B:F,5,0)</f>
        <v>Bebidas Cambio de bebida</v>
      </c>
      <c r="O871" t="str">
        <f>VLOOKUP(D871,'Jer-Tip-Emp'!B:G,6,0)</f>
        <v>Bebidas</v>
      </c>
    </row>
    <row r="872" spans="1:15" ht="27.5" hidden="1" customHeight="1" x14ac:dyDescent="0.2">
      <c r="A872">
        <v>2025</v>
      </c>
      <c r="B872" t="s">
        <v>613</v>
      </c>
      <c r="C872" t="s">
        <v>609</v>
      </c>
      <c r="D872" s="19" t="s">
        <v>426</v>
      </c>
      <c r="E872" s="18" t="s">
        <v>561</v>
      </c>
      <c r="F872" s="18">
        <v>1</v>
      </c>
      <c r="G872" s="20">
        <v>1600</v>
      </c>
      <c r="H872" s="18">
        <v>0</v>
      </c>
      <c r="I872" s="20">
        <v>1516</v>
      </c>
      <c r="J872" s="8">
        <f t="shared" si="39"/>
        <v>84</v>
      </c>
      <c r="K872" s="10">
        <f t="shared" si="40"/>
        <v>5.2499999999999998E-2</v>
      </c>
      <c r="L872" s="17">
        <f t="shared" si="41"/>
        <v>0</v>
      </c>
      <c r="M872" t="str">
        <f>VLOOKUP(D872,'Jer-Tip-Emp'!B:E,4,0)</f>
        <v>Bebidas</v>
      </c>
      <c r="N872" t="str">
        <f>VLOOKUP(D872,'Jer-Tip-Emp'!B:F,5,0)</f>
        <v>Bebidas Cambio de bebida</v>
      </c>
      <c r="O872" t="str">
        <f>VLOOKUP(D872,'Jer-Tip-Emp'!B:G,6,0)</f>
        <v>Bebidas</v>
      </c>
    </row>
    <row r="873" spans="1:15" ht="27.5" customHeight="1" x14ac:dyDescent="0.2">
      <c r="A873">
        <v>2025</v>
      </c>
      <c r="B873" t="s">
        <v>613</v>
      </c>
      <c r="C873" t="s">
        <v>609</v>
      </c>
      <c r="D873" s="19" t="s">
        <v>293</v>
      </c>
      <c r="E873" s="18" t="s">
        <v>127</v>
      </c>
      <c r="F873" s="18">
        <v>1</v>
      </c>
      <c r="G873" s="20">
        <v>77900</v>
      </c>
      <c r="H873" s="18">
        <v>0</v>
      </c>
      <c r="I873" s="20">
        <v>28057</v>
      </c>
      <c r="J873" s="8">
        <f t="shared" si="39"/>
        <v>49843</v>
      </c>
      <c r="K873" s="10">
        <f t="shared" si="40"/>
        <v>0.63983311938382537</v>
      </c>
      <c r="L873" s="17">
        <f t="shared" si="41"/>
        <v>0</v>
      </c>
      <c r="M873" t="str">
        <f>VLOOKUP(D873,'Jer-Tip-Emp'!B:E,4,0)</f>
        <v>Platos mong</v>
      </c>
      <c r="N873" t="str">
        <f>VLOOKUP(D873,'Jer-Tip-Emp'!B:F,5,0)</f>
        <v>No Personal</v>
      </c>
      <c r="O873" t="str">
        <f>VLOOKUP(D873,'Jer-Tip-Emp'!B:G,6,0)</f>
        <v>Caja</v>
      </c>
    </row>
    <row r="874" spans="1:15" ht="27.5" hidden="1" customHeight="1" x14ac:dyDescent="0.2">
      <c r="A874">
        <v>2025</v>
      </c>
      <c r="B874" t="s">
        <v>613</v>
      </c>
      <c r="C874" t="s">
        <v>609</v>
      </c>
      <c r="D874" s="19" t="s">
        <v>231</v>
      </c>
      <c r="E874" s="18" t="s">
        <v>34</v>
      </c>
      <c r="F874" s="18">
        <v>1</v>
      </c>
      <c r="G874" s="20">
        <v>8900</v>
      </c>
      <c r="H874" s="18">
        <v>0</v>
      </c>
      <c r="I874" s="18">
        <v>0</v>
      </c>
      <c r="J874" s="8">
        <f t="shared" si="39"/>
        <v>8900</v>
      </c>
      <c r="K874" s="10">
        <f t="shared" si="40"/>
        <v>1</v>
      </c>
      <c r="L874" s="17">
        <f t="shared" si="41"/>
        <v>0</v>
      </c>
      <c r="M874" t="str">
        <f>VLOOKUP(D874,'Jer-Tip-Emp'!B:E,4,0)</f>
        <v>Adición</v>
      </c>
      <c r="N874" t="str">
        <f>VLOOKUP(D874,'Jer-Tip-Emp'!B:F,5,0)</f>
        <v>Adición</v>
      </c>
      <c r="O874" t="str">
        <f>VLOOKUP(D874,'Jer-Tip-Emp'!B:G,6,0)</f>
        <v>Adición</v>
      </c>
    </row>
    <row r="875" spans="1:15" ht="27.5" hidden="1" customHeight="1" x14ac:dyDescent="0.2">
      <c r="A875">
        <v>2025</v>
      </c>
      <c r="B875" t="s">
        <v>613</v>
      </c>
      <c r="C875" t="s">
        <v>594</v>
      </c>
      <c r="D875" s="19" t="s">
        <v>173</v>
      </c>
      <c r="E875" s="18" t="s">
        <v>542</v>
      </c>
      <c r="F875" s="18">
        <v>88</v>
      </c>
      <c r="G875" s="18">
        <v>0</v>
      </c>
      <c r="H875" s="18">
        <v>0</v>
      </c>
      <c r="I875" s="18">
        <v>0</v>
      </c>
      <c r="J875" s="8">
        <f t="shared" si="39"/>
        <v>0</v>
      </c>
      <c r="K875" s="10">
        <f t="shared" si="40"/>
        <v>0</v>
      </c>
      <c r="L875" s="17">
        <f t="shared" si="41"/>
        <v>0</v>
      </c>
      <c r="M875" t="str">
        <f>VLOOKUP(D875,'Jer-Tip-Emp'!B:E,4,0)</f>
        <v>Bebidas</v>
      </c>
      <c r="N875" t="str">
        <f>VLOOKUP(D875,'Jer-Tip-Emp'!B:F,5,0)</f>
        <v>Bebidas Cambio de bebida</v>
      </c>
      <c r="O875" t="str">
        <f>VLOOKUP(D875,'Jer-Tip-Emp'!B:G,6,0)</f>
        <v>Bebidas</v>
      </c>
    </row>
    <row r="876" spans="1:15" ht="27.5" hidden="1" customHeight="1" x14ac:dyDescent="0.2">
      <c r="A876">
        <v>2025</v>
      </c>
      <c r="B876" t="s">
        <v>613</v>
      </c>
      <c r="C876" t="s">
        <v>594</v>
      </c>
      <c r="D876" s="19" t="s">
        <v>346</v>
      </c>
      <c r="E876" s="18" t="s">
        <v>551</v>
      </c>
      <c r="F876" s="18">
        <v>78</v>
      </c>
      <c r="G876" s="18">
        <v>0</v>
      </c>
      <c r="H876" s="18">
        <v>0</v>
      </c>
      <c r="I876" s="18">
        <v>0</v>
      </c>
      <c r="J876" s="8">
        <f t="shared" si="39"/>
        <v>0</v>
      </c>
      <c r="K876" s="10">
        <f t="shared" si="40"/>
        <v>0</v>
      </c>
      <c r="L876" s="17">
        <f t="shared" si="41"/>
        <v>0</v>
      </c>
      <c r="M876" t="str">
        <f>VLOOKUP(D876,'Jer-Tip-Emp'!B:E,4,0)</f>
        <v>Adición</v>
      </c>
      <c r="N876" t="str">
        <f>VLOOKUP(D876,'Jer-Tip-Emp'!B:F,5,0)</f>
        <v>Adición</v>
      </c>
      <c r="O876" t="str">
        <f>VLOOKUP(D876,'Jer-Tip-Emp'!B:G,6,0)</f>
        <v>Adición</v>
      </c>
    </row>
    <row r="877" spans="1:15" ht="27.5" customHeight="1" x14ac:dyDescent="0.2">
      <c r="A877">
        <v>2025</v>
      </c>
      <c r="B877" t="s">
        <v>613</v>
      </c>
      <c r="C877" t="s">
        <v>594</v>
      </c>
      <c r="D877" s="19" t="s">
        <v>289</v>
      </c>
      <c r="E877" s="18" t="s">
        <v>163</v>
      </c>
      <c r="F877" s="18">
        <v>57</v>
      </c>
      <c r="G877" s="20">
        <v>1058325</v>
      </c>
      <c r="H877" s="20">
        <v>-702975</v>
      </c>
      <c r="I877" s="18">
        <v>0</v>
      </c>
      <c r="J877" s="8">
        <f t="shared" si="39"/>
        <v>1058325</v>
      </c>
      <c r="K877" s="10">
        <f t="shared" si="40"/>
        <v>1</v>
      </c>
      <c r="L877" s="17">
        <f t="shared" si="41"/>
        <v>0.66423357664233573</v>
      </c>
      <c r="M877" t="str">
        <f>VLOOKUP(D877,'Jer-Tip-Emp'!B:E,4,0)</f>
        <v>Combos personales</v>
      </c>
      <c r="N877" t="str">
        <f>VLOOKUP(D877,'Jer-Tip-Emp'!B:F,5,0)</f>
        <v>Personal</v>
      </c>
      <c r="O877" t="str">
        <f>VLOOKUP(D877,'Jer-Tip-Emp'!B:G,6,0)</f>
        <v>Combo</v>
      </c>
    </row>
    <row r="878" spans="1:15" ht="27.5" customHeight="1" x14ac:dyDescent="0.2">
      <c r="A878">
        <v>2025</v>
      </c>
      <c r="B878" t="s">
        <v>613</v>
      </c>
      <c r="C878" t="s">
        <v>594</v>
      </c>
      <c r="D878" s="19" t="s">
        <v>192</v>
      </c>
      <c r="E878" s="18" t="s">
        <v>165</v>
      </c>
      <c r="F878" s="18">
        <v>47</v>
      </c>
      <c r="G878" s="20">
        <v>1701900</v>
      </c>
      <c r="H878" s="20">
        <v>-1273200</v>
      </c>
      <c r="I878" s="18">
        <v>0</v>
      </c>
      <c r="J878" s="8">
        <f t="shared" si="39"/>
        <v>1701900</v>
      </c>
      <c r="K878" s="10">
        <f t="shared" si="40"/>
        <v>1</v>
      </c>
      <c r="L878" s="17">
        <f t="shared" si="41"/>
        <v>0.74810505905164815</v>
      </c>
      <c r="M878" t="str">
        <f>VLOOKUP(D878,'Jer-Tip-Emp'!B:E,4,0)</f>
        <v>Combos para compartir</v>
      </c>
      <c r="N878" t="str">
        <f>VLOOKUP(D878,'Jer-Tip-Emp'!B:F,5,0)</f>
        <v>No Personal</v>
      </c>
      <c r="O878" t="str">
        <f>VLOOKUP(D878,'Jer-Tip-Emp'!B:G,6,0)</f>
        <v>Combo</v>
      </c>
    </row>
    <row r="879" spans="1:15" ht="27.5" customHeight="1" x14ac:dyDescent="0.2">
      <c r="A879">
        <v>2025</v>
      </c>
      <c r="B879" t="s">
        <v>613</v>
      </c>
      <c r="C879" t="s">
        <v>594</v>
      </c>
      <c r="D879" s="19" t="s">
        <v>207</v>
      </c>
      <c r="E879" s="18" t="s">
        <v>92</v>
      </c>
      <c r="F879" s="18">
        <v>44</v>
      </c>
      <c r="G879" s="20">
        <v>1091550</v>
      </c>
      <c r="H879" s="20">
        <v>-312050</v>
      </c>
      <c r="I879" s="20">
        <v>423588</v>
      </c>
      <c r="J879" s="8">
        <f t="shared" si="39"/>
        <v>667962</v>
      </c>
      <c r="K879" s="10">
        <f t="shared" si="40"/>
        <v>0.61193898584581563</v>
      </c>
      <c r="L879" s="17">
        <f t="shared" si="41"/>
        <v>0.28587788007878706</v>
      </c>
      <c r="M879" t="str">
        <f>VLOOKUP(D879,'Jer-Tip-Emp'!B:E,4,0)</f>
        <v>Combos personales</v>
      </c>
      <c r="N879" t="str">
        <f>VLOOKUP(D879,'Jer-Tip-Emp'!B:F,5,0)</f>
        <v>Personal</v>
      </c>
      <c r="O879" t="str">
        <f>VLOOKUP(D879,'Jer-Tip-Emp'!B:G,6,0)</f>
        <v>Combo</v>
      </c>
    </row>
    <row r="880" spans="1:15" ht="27.5" customHeight="1" x14ac:dyDescent="0.2">
      <c r="A880">
        <v>2025</v>
      </c>
      <c r="B880" t="s">
        <v>613</v>
      </c>
      <c r="C880" t="s">
        <v>594</v>
      </c>
      <c r="D880" s="19" t="s">
        <v>184</v>
      </c>
      <c r="E880" s="18" t="s">
        <v>162</v>
      </c>
      <c r="F880" s="18">
        <v>32</v>
      </c>
      <c r="G880" s="20">
        <v>674575</v>
      </c>
      <c r="H880" s="20">
        <v>-186225</v>
      </c>
      <c r="I880" s="18">
        <v>0</v>
      </c>
      <c r="J880" s="8">
        <f t="shared" si="39"/>
        <v>674575</v>
      </c>
      <c r="K880" s="10">
        <f t="shared" si="40"/>
        <v>1</v>
      </c>
      <c r="L880" s="17">
        <f t="shared" si="41"/>
        <v>0.27606270614831563</v>
      </c>
      <c r="M880" t="str">
        <f>VLOOKUP(D880,'Jer-Tip-Emp'!B:E,4,0)</f>
        <v>Combos personales</v>
      </c>
      <c r="N880" t="str">
        <f>VLOOKUP(D880,'Jer-Tip-Emp'!B:F,5,0)</f>
        <v>Personal</v>
      </c>
      <c r="O880" t="str">
        <f>VLOOKUP(D880,'Jer-Tip-Emp'!B:G,6,0)</f>
        <v>Caja</v>
      </c>
    </row>
    <row r="881" spans="1:15" ht="27.5" hidden="1" customHeight="1" x14ac:dyDescent="0.2">
      <c r="A881">
        <v>2025</v>
      </c>
      <c r="B881" t="s">
        <v>613</v>
      </c>
      <c r="C881" t="s">
        <v>594</v>
      </c>
      <c r="D881" s="19" t="s">
        <v>490</v>
      </c>
      <c r="E881" s="18" t="s">
        <v>554</v>
      </c>
      <c r="F881" s="18">
        <v>26</v>
      </c>
      <c r="G881" s="18">
        <v>0</v>
      </c>
      <c r="H881" s="18">
        <v>0</v>
      </c>
      <c r="I881" s="20">
        <v>53274</v>
      </c>
      <c r="J881" s="8">
        <f t="shared" si="39"/>
        <v>-53274</v>
      </c>
      <c r="K881" s="10">
        <f t="shared" si="40"/>
        <v>0</v>
      </c>
      <c r="L881" s="17">
        <f t="shared" si="41"/>
        <v>0</v>
      </c>
      <c r="M881" t="str">
        <f>VLOOKUP(D881,'Jer-Tip-Emp'!B:E,4,0)</f>
        <v>Adición</v>
      </c>
      <c r="N881" t="str">
        <f>VLOOKUP(D881,'Jer-Tip-Emp'!B:F,5,0)</f>
        <v>Otro</v>
      </c>
      <c r="O881" t="str">
        <f>VLOOKUP(D881,'Jer-Tip-Emp'!B:G,6,0)</f>
        <v>Otro</v>
      </c>
    </row>
    <row r="882" spans="1:15" ht="27.5" hidden="1" customHeight="1" x14ac:dyDescent="0.2">
      <c r="A882">
        <v>2025</v>
      </c>
      <c r="B882" t="s">
        <v>613</v>
      </c>
      <c r="C882" t="s">
        <v>594</v>
      </c>
      <c r="D882" s="19" t="s">
        <v>328</v>
      </c>
      <c r="E882" s="18" t="s">
        <v>555</v>
      </c>
      <c r="F882" s="18">
        <v>16</v>
      </c>
      <c r="G882" s="20">
        <v>10000</v>
      </c>
      <c r="H882" s="20">
        <v>-6000</v>
      </c>
      <c r="I882" s="18">
        <v>944</v>
      </c>
      <c r="J882" s="8">
        <f t="shared" si="39"/>
        <v>9056</v>
      </c>
      <c r="K882" s="10">
        <f t="shared" si="40"/>
        <v>0.90559999999999996</v>
      </c>
      <c r="L882" s="17">
        <f t="shared" si="41"/>
        <v>0.6</v>
      </c>
      <c r="M882" t="str">
        <f>VLOOKUP(D882,'Jer-Tip-Emp'!B:E,4,0)</f>
        <v>Adición</v>
      </c>
      <c r="N882" t="str">
        <f>VLOOKUP(D882,'Jer-Tip-Emp'!B:F,5,0)</f>
        <v>Adición</v>
      </c>
      <c r="O882" t="str">
        <f>VLOOKUP(D882,'Jer-Tip-Emp'!B:G,6,0)</f>
        <v>Adición</v>
      </c>
    </row>
    <row r="883" spans="1:15" ht="27.5" hidden="1" customHeight="1" x14ac:dyDescent="0.2">
      <c r="A883">
        <v>2025</v>
      </c>
      <c r="B883" t="s">
        <v>613</v>
      </c>
      <c r="C883" t="s">
        <v>594</v>
      </c>
      <c r="D883" s="19" t="s">
        <v>500</v>
      </c>
      <c r="E883" s="18" t="s">
        <v>546</v>
      </c>
      <c r="F883" s="18">
        <v>15</v>
      </c>
      <c r="G883" s="18">
        <v>0</v>
      </c>
      <c r="H883" s="18">
        <v>0</v>
      </c>
      <c r="I883" s="20">
        <v>13020</v>
      </c>
      <c r="J883" s="8">
        <f t="shared" si="39"/>
        <v>-13020</v>
      </c>
      <c r="K883" s="10">
        <f t="shared" si="40"/>
        <v>0</v>
      </c>
      <c r="L883" s="17">
        <f t="shared" si="41"/>
        <v>0</v>
      </c>
      <c r="M883" t="str">
        <f>VLOOKUP(D883,'Jer-Tip-Emp'!B:E,4,0)</f>
        <v>Bebidas</v>
      </c>
      <c r="N883" t="str">
        <f>VLOOKUP(D883,'Jer-Tip-Emp'!B:F,5,0)</f>
        <v>Bebidas Cambio de bebida</v>
      </c>
      <c r="O883" t="str">
        <f>VLOOKUP(D883,'Jer-Tip-Emp'!B:G,6,0)</f>
        <v>Bebidas</v>
      </c>
    </row>
    <row r="884" spans="1:15" ht="27.5" customHeight="1" x14ac:dyDescent="0.2">
      <c r="A884">
        <v>2025</v>
      </c>
      <c r="B884" t="s">
        <v>613</v>
      </c>
      <c r="C884" t="s">
        <v>594</v>
      </c>
      <c r="D884" s="19" t="s">
        <v>196</v>
      </c>
      <c r="E884" s="18" t="s">
        <v>159</v>
      </c>
      <c r="F884" s="18">
        <v>14</v>
      </c>
      <c r="G884" s="20">
        <v>387100</v>
      </c>
      <c r="H884" s="20">
        <v>-101500</v>
      </c>
      <c r="I884" s="20">
        <v>133014</v>
      </c>
      <c r="J884" s="8">
        <f t="shared" si="39"/>
        <v>254086</v>
      </c>
      <c r="K884" s="10">
        <f t="shared" si="40"/>
        <v>0.65638336347197102</v>
      </c>
      <c r="L884" s="17">
        <f t="shared" si="41"/>
        <v>0.26220614828209765</v>
      </c>
      <c r="M884" t="str">
        <f>VLOOKUP(D884,'Jer-Tip-Emp'!B:E,4,0)</f>
        <v>Combos personales</v>
      </c>
      <c r="N884" t="str">
        <f>VLOOKUP(D884,'Jer-Tip-Emp'!B:F,5,0)</f>
        <v>Personal</v>
      </c>
      <c r="O884" t="str">
        <f>VLOOKUP(D884,'Jer-Tip-Emp'!B:G,6,0)</f>
        <v>Combo</v>
      </c>
    </row>
    <row r="885" spans="1:15" ht="27.5" customHeight="1" x14ac:dyDescent="0.2">
      <c r="A885">
        <v>2025</v>
      </c>
      <c r="B885" t="s">
        <v>613</v>
      </c>
      <c r="C885" t="s">
        <v>594</v>
      </c>
      <c r="D885" s="19" t="s">
        <v>215</v>
      </c>
      <c r="E885" s="18" t="s">
        <v>166</v>
      </c>
      <c r="F885" s="18">
        <v>12</v>
      </c>
      <c r="G885" s="20">
        <v>597350</v>
      </c>
      <c r="H885" s="20">
        <v>-445450</v>
      </c>
      <c r="I885" s="18">
        <v>0</v>
      </c>
      <c r="J885" s="8">
        <f t="shared" si="39"/>
        <v>597350</v>
      </c>
      <c r="K885" s="10">
        <f t="shared" si="40"/>
        <v>1</v>
      </c>
      <c r="L885" s="17">
        <f t="shared" si="41"/>
        <v>0.74571022013894706</v>
      </c>
      <c r="M885" t="str">
        <f>VLOOKUP(D885,'Jer-Tip-Emp'!B:E,4,0)</f>
        <v>Platos mong</v>
      </c>
      <c r="N885" t="str">
        <f>VLOOKUP(D885,'Jer-Tip-Emp'!B:F,5,0)</f>
        <v>No Personal</v>
      </c>
      <c r="O885" t="str">
        <f>VLOOKUP(D885,'Jer-Tip-Emp'!B:G,6,0)</f>
        <v>Caja</v>
      </c>
    </row>
    <row r="886" spans="1:15" ht="27.5" hidden="1" customHeight="1" x14ac:dyDescent="0.2">
      <c r="A886">
        <v>2025</v>
      </c>
      <c r="B886" t="s">
        <v>613</v>
      </c>
      <c r="C886" t="s">
        <v>594</v>
      </c>
      <c r="D886" s="19" t="s">
        <v>218</v>
      </c>
      <c r="E886" s="18" t="s">
        <v>33</v>
      </c>
      <c r="F886" s="18">
        <v>7</v>
      </c>
      <c r="G886" s="20">
        <v>69300</v>
      </c>
      <c r="H886" s="18">
        <v>0</v>
      </c>
      <c r="I886" s="18">
        <v>0</v>
      </c>
      <c r="J886" s="8">
        <f t="shared" si="39"/>
        <v>69300</v>
      </c>
      <c r="K886" s="10">
        <f t="shared" si="40"/>
        <v>1</v>
      </c>
      <c r="L886" s="17">
        <f t="shared" si="41"/>
        <v>0</v>
      </c>
      <c r="M886" t="str">
        <f>VLOOKUP(D886,'Jer-Tip-Emp'!B:E,4,0)</f>
        <v>Adición</v>
      </c>
      <c r="N886" t="str">
        <f>VLOOKUP(D886,'Jer-Tip-Emp'!B:F,5,0)</f>
        <v>Adición</v>
      </c>
      <c r="O886" t="str">
        <f>VLOOKUP(D886,'Jer-Tip-Emp'!B:G,6,0)</f>
        <v>Adición</v>
      </c>
    </row>
    <row r="887" spans="1:15" ht="27.5" customHeight="1" x14ac:dyDescent="0.2">
      <c r="A887">
        <v>2025</v>
      </c>
      <c r="B887" t="s">
        <v>613</v>
      </c>
      <c r="C887" t="s">
        <v>594</v>
      </c>
      <c r="D887" s="19" t="s">
        <v>212</v>
      </c>
      <c r="E887" s="18" t="s">
        <v>160</v>
      </c>
      <c r="F887" s="18">
        <v>6</v>
      </c>
      <c r="G887" s="20">
        <v>190950</v>
      </c>
      <c r="H887" s="20">
        <v>-42450</v>
      </c>
      <c r="I887" s="20">
        <v>67518</v>
      </c>
      <c r="J887" s="8">
        <f t="shared" si="39"/>
        <v>123432</v>
      </c>
      <c r="K887" s="10">
        <f t="shared" si="40"/>
        <v>0.6464100549882168</v>
      </c>
      <c r="L887" s="17">
        <f t="shared" si="41"/>
        <v>0.22230950510604872</v>
      </c>
      <c r="M887" t="str">
        <f>VLOOKUP(D887,'Jer-Tip-Emp'!B:E,4,0)</f>
        <v>Combos personales</v>
      </c>
      <c r="N887" t="str">
        <f>VLOOKUP(D887,'Jer-Tip-Emp'!B:F,5,0)</f>
        <v>Personal</v>
      </c>
      <c r="O887" t="str">
        <f>VLOOKUP(D887,'Jer-Tip-Emp'!B:G,6,0)</f>
        <v>Combo</v>
      </c>
    </row>
    <row r="888" spans="1:15" ht="27.5" hidden="1" customHeight="1" x14ac:dyDescent="0.2">
      <c r="A888">
        <v>2025</v>
      </c>
      <c r="B888" t="s">
        <v>613</v>
      </c>
      <c r="C888" t="s">
        <v>594</v>
      </c>
      <c r="D888" s="19" t="s">
        <v>342</v>
      </c>
      <c r="E888" s="18" t="s">
        <v>556</v>
      </c>
      <c r="F888" s="18">
        <v>6</v>
      </c>
      <c r="G888" s="20">
        <v>45600</v>
      </c>
      <c r="H888" s="18">
        <v>0</v>
      </c>
      <c r="I888" s="20">
        <v>18648</v>
      </c>
      <c r="J888" s="8">
        <f t="shared" si="39"/>
        <v>26952</v>
      </c>
      <c r="K888" s="10">
        <f t="shared" si="40"/>
        <v>0.59105263157894739</v>
      </c>
      <c r="L888" s="17">
        <f t="shared" si="41"/>
        <v>0</v>
      </c>
      <c r="M888" t="str">
        <f>VLOOKUP(D888,'Jer-Tip-Emp'!B:E,4,0)</f>
        <v>Adición</v>
      </c>
      <c r="N888" t="str">
        <f>VLOOKUP(D888,'Jer-Tip-Emp'!B:F,5,0)</f>
        <v>Adición</v>
      </c>
      <c r="O888" t="str">
        <f>VLOOKUP(D888,'Jer-Tip-Emp'!B:G,6,0)</f>
        <v>Adición</v>
      </c>
    </row>
    <row r="889" spans="1:15" ht="27.5" hidden="1" customHeight="1" x14ac:dyDescent="0.2">
      <c r="A889">
        <v>2025</v>
      </c>
      <c r="B889" t="s">
        <v>613</v>
      </c>
      <c r="C889" t="s">
        <v>594</v>
      </c>
      <c r="D889" s="19" t="s">
        <v>365</v>
      </c>
      <c r="E889" s="18" t="s">
        <v>558</v>
      </c>
      <c r="F889" s="18">
        <v>6</v>
      </c>
      <c r="G889" s="20">
        <v>5400</v>
      </c>
      <c r="H889" s="18">
        <v>0</v>
      </c>
      <c r="I889" s="20">
        <v>9414</v>
      </c>
      <c r="J889" s="8">
        <f t="shared" si="39"/>
        <v>-4014</v>
      </c>
      <c r="K889" s="10">
        <f t="shared" si="40"/>
        <v>-0.74333333333333329</v>
      </c>
      <c r="L889" s="17">
        <f t="shared" si="41"/>
        <v>0</v>
      </c>
      <c r="M889" t="str">
        <f>VLOOKUP(D889,'Jer-Tip-Emp'!B:E,4,0)</f>
        <v>Adición</v>
      </c>
      <c r="N889" t="str">
        <f>VLOOKUP(D889,'Jer-Tip-Emp'!B:F,5,0)</f>
        <v>Otro</v>
      </c>
      <c r="O889" t="str">
        <f>VLOOKUP(D889,'Jer-Tip-Emp'!B:G,6,0)</f>
        <v>Otro</v>
      </c>
    </row>
    <row r="890" spans="1:15" ht="27.5" hidden="1" customHeight="1" x14ac:dyDescent="0.2">
      <c r="A890">
        <v>2025</v>
      </c>
      <c r="B890" t="s">
        <v>613</v>
      </c>
      <c r="C890" t="s">
        <v>594</v>
      </c>
      <c r="D890" s="19" t="s">
        <v>176</v>
      </c>
      <c r="E890" s="18" t="s">
        <v>544</v>
      </c>
      <c r="F890" s="18">
        <v>6</v>
      </c>
      <c r="G890" s="20">
        <v>5000</v>
      </c>
      <c r="H890" s="20">
        <v>-1000</v>
      </c>
      <c r="I890" s="20">
        <v>11670</v>
      </c>
      <c r="J890" s="8">
        <f t="shared" si="39"/>
        <v>-6670</v>
      </c>
      <c r="K890" s="10">
        <f t="shared" si="40"/>
        <v>-1.3340000000000001</v>
      </c>
      <c r="L890" s="17">
        <f t="shared" si="41"/>
        <v>0.2</v>
      </c>
      <c r="M890" t="str">
        <f>VLOOKUP(D890,'Jer-Tip-Emp'!B:E,4,0)</f>
        <v>Bebidas</v>
      </c>
      <c r="N890" t="str">
        <f>VLOOKUP(D890,'Jer-Tip-Emp'!B:F,5,0)</f>
        <v>Bebidas Cambio de bebida</v>
      </c>
      <c r="O890" t="str">
        <f>VLOOKUP(D890,'Jer-Tip-Emp'!B:G,6,0)</f>
        <v>Bebidas</v>
      </c>
    </row>
    <row r="891" spans="1:15" ht="27.5" hidden="1" customHeight="1" x14ac:dyDescent="0.2">
      <c r="A891">
        <v>2025</v>
      </c>
      <c r="B891" t="s">
        <v>613</v>
      </c>
      <c r="C891" t="s">
        <v>594</v>
      </c>
      <c r="D891" s="19" t="s">
        <v>338</v>
      </c>
      <c r="E891" s="18" t="s">
        <v>579</v>
      </c>
      <c r="F891" s="18">
        <v>5</v>
      </c>
      <c r="G891" s="20">
        <v>2400</v>
      </c>
      <c r="H891" s="20">
        <v>-1600</v>
      </c>
      <c r="I891" s="20">
        <v>1605</v>
      </c>
      <c r="J891" s="8">
        <f t="shared" si="39"/>
        <v>795</v>
      </c>
      <c r="K891" s="10">
        <f t="shared" si="40"/>
        <v>0.33124999999999999</v>
      </c>
      <c r="L891" s="17">
        <f t="shared" si="41"/>
        <v>0.66666666666666663</v>
      </c>
      <c r="M891" t="str">
        <f>VLOOKUP(D891,'Jer-Tip-Emp'!B:E,4,0)</f>
        <v>Adición</v>
      </c>
      <c r="N891" t="str">
        <f>VLOOKUP(D891,'Jer-Tip-Emp'!B:F,5,0)</f>
        <v>Adición</v>
      </c>
      <c r="O891" t="str">
        <f>VLOOKUP(D891,'Jer-Tip-Emp'!B:G,6,0)</f>
        <v>Adición</v>
      </c>
    </row>
    <row r="892" spans="1:15" ht="27.5" customHeight="1" x14ac:dyDescent="0.2">
      <c r="A892">
        <v>2025</v>
      </c>
      <c r="B892" t="s">
        <v>613</v>
      </c>
      <c r="C892" t="s">
        <v>594</v>
      </c>
      <c r="D892" s="19" t="s">
        <v>186</v>
      </c>
      <c r="E892" s="18" t="s">
        <v>95</v>
      </c>
      <c r="F892" s="18">
        <v>5</v>
      </c>
      <c r="G892" s="20">
        <v>149650</v>
      </c>
      <c r="H892" s="20">
        <v>-44850</v>
      </c>
      <c r="I892" s="20">
        <v>47850</v>
      </c>
      <c r="J892" s="8">
        <f t="shared" si="39"/>
        <v>101800</v>
      </c>
      <c r="K892" s="10">
        <f t="shared" si="40"/>
        <v>0.68025392582692945</v>
      </c>
      <c r="L892" s="17">
        <f t="shared" si="41"/>
        <v>0.29969929836284664</v>
      </c>
      <c r="M892" t="str">
        <f>VLOOKUP(D892,'Jer-Tip-Emp'!B:E,4,0)</f>
        <v>Combos personales</v>
      </c>
      <c r="N892" t="str">
        <f>VLOOKUP(D892,'Jer-Tip-Emp'!B:F,5,0)</f>
        <v>Personal</v>
      </c>
      <c r="O892" t="str">
        <f>VLOOKUP(D892,'Jer-Tip-Emp'!B:G,6,0)</f>
        <v>Combo</v>
      </c>
    </row>
    <row r="893" spans="1:15" ht="27.5" hidden="1" customHeight="1" x14ac:dyDescent="0.2">
      <c r="A893">
        <v>2025</v>
      </c>
      <c r="B893" t="s">
        <v>613</v>
      </c>
      <c r="C893" t="s">
        <v>594</v>
      </c>
      <c r="D893" s="19" t="s">
        <v>411</v>
      </c>
      <c r="E893" s="18" t="s">
        <v>569</v>
      </c>
      <c r="F893" s="18">
        <v>5</v>
      </c>
      <c r="G893" s="20">
        <v>10000</v>
      </c>
      <c r="H893" s="18">
        <v>0</v>
      </c>
      <c r="I893" s="20">
        <v>11175</v>
      </c>
      <c r="J893" s="8">
        <f t="shared" si="39"/>
        <v>-1175</v>
      </c>
      <c r="K893" s="10">
        <f t="shared" si="40"/>
        <v>-0.11749999999999999</v>
      </c>
      <c r="L893" s="17">
        <f t="shared" si="41"/>
        <v>0</v>
      </c>
      <c r="M893" t="str">
        <f>VLOOKUP(D893,'Jer-Tip-Emp'!B:E,4,0)</f>
        <v>Bebidas</v>
      </c>
      <c r="N893" t="str">
        <f>VLOOKUP(D893,'Jer-Tip-Emp'!B:F,5,0)</f>
        <v>Bebidas Cambio de bebida</v>
      </c>
      <c r="O893" t="str">
        <f>VLOOKUP(D893,'Jer-Tip-Emp'!B:G,6,0)</f>
        <v>Bebidas</v>
      </c>
    </row>
    <row r="894" spans="1:15" ht="27.5" hidden="1" customHeight="1" x14ac:dyDescent="0.2">
      <c r="A894">
        <v>2025</v>
      </c>
      <c r="B894" t="s">
        <v>613</v>
      </c>
      <c r="C894" t="s">
        <v>594</v>
      </c>
      <c r="D894" s="19" t="s">
        <v>438</v>
      </c>
      <c r="E894" s="18" t="s">
        <v>563</v>
      </c>
      <c r="F894" s="18">
        <v>5</v>
      </c>
      <c r="G894" s="20">
        <v>38000</v>
      </c>
      <c r="H894" s="18">
        <v>0</v>
      </c>
      <c r="I894" s="20">
        <v>14245</v>
      </c>
      <c r="J894" s="8">
        <f t="shared" si="39"/>
        <v>23755</v>
      </c>
      <c r="K894" s="10">
        <f t="shared" si="40"/>
        <v>0.62513157894736837</v>
      </c>
      <c r="L894" s="17">
        <f t="shared" si="41"/>
        <v>0</v>
      </c>
      <c r="M894" t="str">
        <f>VLOOKUP(D894,'Jer-Tip-Emp'!B:E,4,0)</f>
        <v>Adición</v>
      </c>
      <c r="N894" t="str">
        <f>VLOOKUP(D894,'Jer-Tip-Emp'!B:F,5,0)</f>
        <v>Adición</v>
      </c>
      <c r="O894" t="str">
        <f>VLOOKUP(D894,'Jer-Tip-Emp'!B:G,6,0)</f>
        <v>Adición</v>
      </c>
    </row>
    <row r="895" spans="1:15" ht="27.5" hidden="1" customHeight="1" x14ac:dyDescent="0.2">
      <c r="A895">
        <v>2025</v>
      </c>
      <c r="B895" t="s">
        <v>613</v>
      </c>
      <c r="C895" t="s">
        <v>594</v>
      </c>
      <c r="D895" s="19" t="s">
        <v>262</v>
      </c>
      <c r="E895" s="18" t="s">
        <v>102</v>
      </c>
      <c r="F895" s="18">
        <v>4</v>
      </c>
      <c r="G895" s="20">
        <v>91600</v>
      </c>
      <c r="H895" s="18">
        <v>0</v>
      </c>
      <c r="I895" s="20">
        <v>24860</v>
      </c>
      <c r="J895" s="8">
        <f t="shared" si="39"/>
        <v>66740</v>
      </c>
      <c r="K895" s="10">
        <f t="shared" si="40"/>
        <v>0.72860262008733623</v>
      </c>
      <c r="L895" s="17">
        <f t="shared" si="41"/>
        <v>0</v>
      </c>
      <c r="M895" t="str">
        <f>VLOOKUP(D895,'Jer-Tip-Emp'!B:E,4,0)</f>
        <v>Entradas</v>
      </c>
      <c r="N895" t="str">
        <f>VLOOKUP(D895,'Jer-Tip-Emp'!B:F,5,0)</f>
        <v>Otro</v>
      </c>
      <c r="O895" t="str">
        <f>VLOOKUP(D895,'Jer-Tip-Emp'!B:G,6,0)</f>
        <v>Otro</v>
      </c>
    </row>
    <row r="896" spans="1:15" ht="27.5" hidden="1" customHeight="1" x14ac:dyDescent="0.2">
      <c r="A896">
        <v>2025</v>
      </c>
      <c r="B896" t="s">
        <v>613</v>
      </c>
      <c r="C896" t="s">
        <v>594</v>
      </c>
      <c r="D896" s="19" t="s">
        <v>308</v>
      </c>
      <c r="E896" s="18" t="s">
        <v>606</v>
      </c>
      <c r="F896" s="18">
        <v>4</v>
      </c>
      <c r="G896" s="20">
        <v>8000</v>
      </c>
      <c r="H896" s="18">
        <v>0</v>
      </c>
      <c r="I896" s="18">
        <v>0</v>
      </c>
      <c r="J896" s="8">
        <f t="shared" si="39"/>
        <v>8000</v>
      </c>
      <c r="K896" s="10">
        <f t="shared" si="40"/>
        <v>1</v>
      </c>
      <c r="L896" s="17">
        <f t="shared" si="41"/>
        <v>0</v>
      </c>
      <c r="M896" t="str">
        <f>VLOOKUP(D896,'Jer-Tip-Emp'!B:E,4,0)</f>
        <v>Bebidas</v>
      </c>
      <c r="N896" t="str">
        <f>VLOOKUP(D896,'Jer-Tip-Emp'!B:F,5,0)</f>
        <v>Bebidas Cambio de bebida</v>
      </c>
      <c r="O896" t="str">
        <f>VLOOKUP(D896,'Jer-Tip-Emp'!B:G,6,0)</f>
        <v>Bebidas</v>
      </c>
    </row>
    <row r="897" spans="1:15" ht="27.5" hidden="1" customHeight="1" x14ac:dyDescent="0.2">
      <c r="A897">
        <v>2025</v>
      </c>
      <c r="B897" t="s">
        <v>613</v>
      </c>
      <c r="C897" t="s">
        <v>594</v>
      </c>
      <c r="D897" s="19" t="s">
        <v>417</v>
      </c>
      <c r="E897" s="18" t="s">
        <v>603</v>
      </c>
      <c r="F897" s="18">
        <v>4</v>
      </c>
      <c r="G897" s="20">
        <v>14000</v>
      </c>
      <c r="H897" s="18">
        <v>0</v>
      </c>
      <c r="I897" s="20">
        <v>4652</v>
      </c>
      <c r="J897" s="8">
        <f t="shared" ref="J897:J960" si="42">G897-I897</f>
        <v>9348</v>
      </c>
      <c r="K897" s="10">
        <f t="shared" ref="K897:K960" si="43">IFERROR(J897/G897,0)</f>
        <v>0.6677142857142857</v>
      </c>
      <c r="L897" s="17">
        <f t="shared" ref="L897:L960" si="44">IFERROR((H897/G897)*-1,0)</f>
        <v>0</v>
      </c>
      <c r="M897" t="str">
        <f>VLOOKUP(D897,'Jer-Tip-Emp'!B:E,4,0)</f>
        <v>Bebidas</v>
      </c>
      <c r="N897" t="str">
        <f>VLOOKUP(D897,'Jer-Tip-Emp'!B:F,5,0)</f>
        <v>Bebidas Cambio de bebida</v>
      </c>
      <c r="O897" t="str">
        <f>VLOOKUP(D897,'Jer-Tip-Emp'!B:G,6,0)</f>
        <v>Bebidas</v>
      </c>
    </row>
    <row r="898" spans="1:15" ht="27.5" hidden="1" customHeight="1" x14ac:dyDescent="0.2">
      <c r="A898">
        <v>2025</v>
      </c>
      <c r="B898" t="s">
        <v>613</v>
      </c>
      <c r="C898" t="s">
        <v>594</v>
      </c>
      <c r="D898" s="19" t="s">
        <v>284</v>
      </c>
      <c r="E898" s="18" t="s">
        <v>106</v>
      </c>
      <c r="F898" s="18">
        <v>3</v>
      </c>
      <c r="G898" s="20">
        <v>34525</v>
      </c>
      <c r="H898" s="20">
        <v>-4175</v>
      </c>
      <c r="I898" s="20">
        <v>9417</v>
      </c>
      <c r="J898" s="8">
        <f t="shared" si="42"/>
        <v>25108</v>
      </c>
      <c r="K898" s="10">
        <f t="shared" si="43"/>
        <v>0.72724112961622012</v>
      </c>
      <c r="L898" s="17">
        <f t="shared" si="44"/>
        <v>0.12092686459087618</v>
      </c>
      <c r="M898" t="str">
        <f>VLOOKUP(D898,'Jer-Tip-Emp'!B:E,4,0)</f>
        <v>Entradas</v>
      </c>
      <c r="N898" t="str">
        <f>VLOOKUP(D898,'Jer-Tip-Emp'!B:F,5,0)</f>
        <v>Otro</v>
      </c>
      <c r="O898" t="str">
        <f>VLOOKUP(D898,'Jer-Tip-Emp'!B:G,6,0)</f>
        <v>Otro</v>
      </c>
    </row>
    <row r="899" spans="1:15" ht="27.5" customHeight="1" x14ac:dyDescent="0.2">
      <c r="A899">
        <v>2025</v>
      </c>
      <c r="B899" t="s">
        <v>613</v>
      </c>
      <c r="C899" t="s">
        <v>594</v>
      </c>
      <c r="D899" s="19" t="s">
        <v>177</v>
      </c>
      <c r="E899" s="18" t="s">
        <v>99</v>
      </c>
      <c r="F899" s="18">
        <v>3</v>
      </c>
      <c r="G899" s="20">
        <v>91000</v>
      </c>
      <c r="H899" s="20">
        <v>-25700</v>
      </c>
      <c r="I899" s="18">
        <v>0</v>
      </c>
      <c r="J899" s="8">
        <f t="shared" si="42"/>
        <v>91000</v>
      </c>
      <c r="K899" s="10">
        <f t="shared" si="43"/>
        <v>1</v>
      </c>
      <c r="L899" s="17">
        <f t="shared" si="44"/>
        <v>0.28241758241758241</v>
      </c>
      <c r="M899" t="str">
        <f>VLOOKUP(D899,'Jer-Tip-Emp'!B:E,4,0)</f>
        <v>Combos personales</v>
      </c>
      <c r="N899" t="str">
        <f>VLOOKUP(D899,'Jer-Tip-Emp'!B:F,5,0)</f>
        <v>Personal</v>
      </c>
      <c r="O899" t="str">
        <f>VLOOKUP(D899,'Jer-Tip-Emp'!B:G,6,0)</f>
        <v>Combo</v>
      </c>
    </row>
    <row r="900" spans="1:15" ht="27.5" customHeight="1" x14ac:dyDescent="0.2">
      <c r="A900">
        <v>2025</v>
      </c>
      <c r="B900" t="s">
        <v>613</v>
      </c>
      <c r="C900" t="s">
        <v>594</v>
      </c>
      <c r="D900" s="19" t="s">
        <v>313</v>
      </c>
      <c r="E900" s="18" t="s">
        <v>540</v>
      </c>
      <c r="F900" s="18">
        <v>3</v>
      </c>
      <c r="G900" s="18">
        <v>0</v>
      </c>
      <c r="H900" s="18">
        <v>0</v>
      </c>
      <c r="I900" s="20">
        <v>16473</v>
      </c>
      <c r="J900" s="8">
        <f t="shared" si="42"/>
        <v>-16473</v>
      </c>
      <c r="K900" s="10">
        <f t="shared" si="43"/>
        <v>0</v>
      </c>
      <c r="L900" s="17">
        <f t="shared" si="44"/>
        <v>0</v>
      </c>
      <c r="M900" t="str">
        <f>VLOOKUP(D900,'Jer-Tip-Emp'!B:E,4,0)</f>
        <v>Arma tu plato</v>
      </c>
      <c r="N900" t="str">
        <f>VLOOKUP(D900,'Jer-Tip-Emp'!B:F,5,0)</f>
        <v>Personal</v>
      </c>
      <c r="O900" t="str">
        <f>VLOOKUP(D900,'Jer-Tip-Emp'!B:G,6,0)</f>
        <v>Caja</v>
      </c>
    </row>
    <row r="901" spans="1:15" ht="27.5" customHeight="1" x14ac:dyDescent="0.2">
      <c r="A901">
        <v>2025</v>
      </c>
      <c r="B901" t="s">
        <v>613</v>
      </c>
      <c r="C901" t="s">
        <v>594</v>
      </c>
      <c r="D901" s="19" t="s">
        <v>389</v>
      </c>
      <c r="E901" s="18" t="s">
        <v>541</v>
      </c>
      <c r="F901" s="18">
        <v>3</v>
      </c>
      <c r="G901" s="18">
        <v>0</v>
      </c>
      <c r="H901" s="18">
        <v>0</v>
      </c>
      <c r="I901" s="20">
        <v>16401</v>
      </c>
      <c r="J901" s="8">
        <f t="shared" si="42"/>
        <v>-16401</v>
      </c>
      <c r="K901" s="10">
        <f t="shared" si="43"/>
        <v>0</v>
      </c>
      <c r="L901" s="17">
        <f t="shared" si="44"/>
        <v>0</v>
      </c>
      <c r="M901" t="str">
        <f>VLOOKUP(D901,'Jer-Tip-Emp'!B:E,4,0)</f>
        <v>Arma tu plato</v>
      </c>
      <c r="N901" t="str">
        <f>VLOOKUP(D901,'Jer-Tip-Emp'!B:F,5,0)</f>
        <v>Personal</v>
      </c>
      <c r="O901" t="str">
        <f>VLOOKUP(D901,'Jer-Tip-Emp'!B:G,6,0)</f>
        <v>Caja</v>
      </c>
    </row>
    <row r="902" spans="1:15" ht="27.5" customHeight="1" x14ac:dyDescent="0.2">
      <c r="A902">
        <v>2025</v>
      </c>
      <c r="B902" t="s">
        <v>613</v>
      </c>
      <c r="C902" t="s">
        <v>594</v>
      </c>
      <c r="D902" s="19" t="s">
        <v>213</v>
      </c>
      <c r="E902" s="18" t="s">
        <v>101</v>
      </c>
      <c r="F902" s="18">
        <v>3</v>
      </c>
      <c r="G902" s="20">
        <v>90500</v>
      </c>
      <c r="H902" s="20">
        <v>-29200</v>
      </c>
      <c r="I902" s="20">
        <v>98403</v>
      </c>
      <c r="J902" s="8">
        <f t="shared" si="42"/>
        <v>-7903</v>
      </c>
      <c r="K902" s="10">
        <f t="shared" si="43"/>
        <v>-8.7325966850828732E-2</v>
      </c>
      <c r="L902" s="17">
        <f t="shared" si="44"/>
        <v>0.32265193370165746</v>
      </c>
      <c r="M902" t="str">
        <f>VLOOKUP(D902,'Jer-Tip-Emp'!B:E,4,0)</f>
        <v>Combos personales</v>
      </c>
      <c r="N902" t="str">
        <f>VLOOKUP(D902,'Jer-Tip-Emp'!B:F,5,0)</f>
        <v>Personal</v>
      </c>
      <c r="O902" t="str">
        <f>VLOOKUP(D902,'Jer-Tip-Emp'!B:G,6,0)</f>
        <v>Combo</v>
      </c>
    </row>
    <row r="903" spans="1:15" ht="27.5" customHeight="1" x14ac:dyDescent="0.2">
      <c r="A903">
        <v>2025</v>
      </c>
      <c r="B903" t="s">
        <v>613</v>
      </c>
      <c r="C903" t="s">
        <v>594</v>
      </c>
      <c r="D903" s="19" t="s">
        <v>228</v>
      </c>
      <c r="E903" s="18" t="s">
        <v>96</v>
      </c>
      <c r="F903" s="18">
        <v>3</v>
      </c>
      <c r="G903" s="20">
        <v>92150</v>
      </c>
      <c r="H903" s="20">
        <v>-24550</v>
      </c>
      <c r="I903" s="20">
        <v>30741</v>
      </c>
      <c r="J903" s="8">
        <f t="shared" si="42"/>
        <v>61409</v>
      </c>
      <c r="K903" s="10">
        <f t="shared" si="43"/>
        <v>0.66640260444926747</v>
      </c>
      <c r="L903" s="17">
        <f t="shared" si="44"/>
        <v>0.26641345632121544</v>
      </c>
      <c r="M903" t="str">
        <f>VLOOKUP(D903,'Jer-Tip-Emp'!B:E,4,0)</f>
        <v>Combos personales</v>
      </c>
      <c r="N903" t="str">
        <f>VLOOKUP(D903,'Jer-Tip-Emp'!B:F,5,0)</f>
        <v>Personal</v>
      </c>
      <c r="O903" t="str">
        <f>VLOOKUP(D903,'Jer-Tip-Emp'!B:G,6,0)</f>
        <v>Combo</v>
      </c>
    </row>
    <row r="904" spans="1:15" ht="27.5" hidden="1" customHeight="1" x14ac:dyDescent="0.2">
      <c r="A904">
        <v>2025</v>
      </c>
      <c r="B904" t="s">
        <v>613</v>
      </c>
      <c r="C904" t="s">
        <v>594</v>
      </c>
      <c r="D904" s="19" t="s">
        <v>400</v>
      </c>
      <c r="E904" s="18" t="s">
        <v>564</v>
      </c>
      <c r="F904" s="18">
        <v>3</v>
      </c>
      <c r="G904" s="20">
        <v>14400</v>
      </c>
      <c r="H904" s="18">
        <v>0</v>
      </c>
      <c r="I904" s="20">
        <v>3846</v>
      </c>
      <c r="J904" s="8">
        <f t="shared" si="42"/>
        <v>10554</v>
      </c>
      <c r="K904" s="10">
        <f t="shared" si="43"/>
        <v>0.73291666666666666</v>
      </c>
      <c r="L904" s="17">
        <f t="shared" si="44"/>
        <v>0</v>
      </c>
      <c r="M904" t="str">
        <f>VLOOKUP(D904,'Jer-Tip-Emp'!B:E,4,0)</f>
        <v>Adición</v>
      </c>
      <c r="N904" t="str">
        <f>VLOOKUP(D904,'Jer-Tip-Emp'!B:F,5,0)</f>
        <v>Adición</v>
      </c>
      <c r="O904" t="str">
        <f>VLOOKUP(D904,'Jer-Tip-Emp'!B:G,6,0)</f>
        <v>Adición</v>
      </c>
    </row>
    <row r="905" spans="1:15" ht="27.5" customHeight="1" x14ac:dyDescent="0.2">
      <c r="A905">
        <v>2025</v>
      </c>
      <c r="B905" t="s">
        <v>613</v>
      </c>
      <c r="C905" t="s">
        <v>594</v>
      </c>
      <c r="D905" s="19" t="s">
        <v>214</v>
      </c>
      <c r="E905" s="18" t="s">
        <v>81</v>
      </c>
      <c r="F905" s="18">
        <v>3</v>
      </c>
      <c r="G905" s="20">
        <v>187650</v>
      </c>
      <c r="H905" s="20">
        <v>-55050</v>
      </c>
      <c r="I905" s="20">
        <v>70914</v>
      </c>
      <c r="J905" s="8">
        <f t="shared" si="42"/>
        <v>116736</v>
      </c>
      <c r="K905" s="10">
        <f t="shared" si="43"/>
        <v>0.62209432454036773</v>
      </c>
      <c r="L905" s="17">
        <f t="shared" si="44"/>
        <v>0.29336530775379699</v>
      </c>
      <c r="M905" t="str">
        <f>VLOOKUP(D905,'Jer-Tip-Emp'!B:E,4,0)</f>
        <v>Combos para compartir</v>
      </c>
      <c r="N905" t="str">
        <f>VLOOKUP(D905,'Jer-Tip-Emp'!B:F,5,0)</f>
        <v>No Personal</v>
      </c>
      <c r="O905" t="str">
        <f>VLOOKUP(D905,'Jer-Tip-Emp'!B:G,6,0)</f>
        <v>Combo</v>
      </c>
    </row>
    <row r="906" spans="1:15" ht="27.5" hidden="1" customHeight="1" x14ac:dyDescent="0.2">
      <c r="A906">
        <v>2025</v>
      </c>
      <c r="B906" t="s">
        <v>613</v>
      </c>
      <c r="C906" t="s">
        <v>594</v>
      </c>
      <c r="D906" s="19" t="s">
        <v>457</v>
      </c>
      <c r="E906" s="18" t="s">
        <v>602</v>
      </c>
      <c r="F906" s="18">
        <v>2</v>
      </c>
      <c r="G906" s="20">
        <v>6700</v>
      </c>
      <c r="H906" s="20">
        <v>-6700</v>
      </c>
      <c r="I906" s="18">
        <v>14</v>
      </c>
      <c r="J906" s="8">
        <f t="shared" si="42"/>
        <v>6686</v>
      </c>
      <c r="K906" s="10">
        <f t="shared" si="43"/>
        <v>0.99791044776119397</v>
      </c>
      <c r="L906" s="17">
        <f t="shared" si="44"/>
        <v>1</v>
      </c>
      <c r="M906" t="str">
        <f>VLOOKUP(D906,'Jer-Tip-Emp'!B:E,4,0)</f>
        <v>Adición</v>
      </c>
      <c r="N906" t="str">
        <f>VLOOKUP(D906,'Jer-Tip-Emp'!B:F,5,0)</f>
        <v>Adición</v>
      </c>
      <c r="O906" t="str">
        <f>VLOOKUP(D906,'Jer-Tip-Emp'!B:G,6,0)</f>
        <v>Adición</v>
      </c>
    </row>
    <row r="907" spans="1:15" ht="27.5" customHeight="1" x14ac:dyDescent="0.2">
      <c r="A907">
        <v>2025</v>
      </c>
      <c r="B907" t="s">
        <v>613</v>
      </c>
      <c r="C907" t="s">
        <v>594</v>
      </c>
      <c r="D907" s="19" t="s">
        <v>470</v>
      </c>
      <c r="E907" s="18" t="s">
        <v>550</v>
      </c>
      <c r="F907" s="18">
        <v>2</v>
      </c>
      <c r="G907" s="18">
        <v>0</v>
      </c>
      <c r="H907" s="18">
        <v>0</v>
      </c>
      <c r="I907" s="20">
        <v>6194</v>
      </c>
      <c r="J907" s="8">
        <f t="shared" si="42"/>
        <v>-6194</v>
      </c>
      <c r="K907" s="10">
        <f t="shared" si="43"/>
        <v>0</v>
      </c>
      <c r="L907" s="17">
        <f t="shared" si="44"/>
        <v>0</v>
      </c>
      <c r="M907" t="str">
        <f>VLOOKUP(D907,'Jer-Tip-Emp'!B:E,4,0)</f>
        <v>Arma tu plato</v>
      </c>
      <c r="N907" t="str">
        <f>VLOOKUP(D907,'Jer-Tip-Emp'!B:F,5,0)</f>
        <v>Personal</v>
      </c>
      <c r="O907" t="str">
        <f>VLOOKUP(D907,'Jer-Tip-Emp'!B:G,6,0)</f>
        <v>Caja</v>
      </c>
    </row>
    <row r="908" spans="1:15" ht="27.5" customHeight="1" x14ac:dyDescent="0.2">
      <c r="A908">
        <v>2025</v>
      </c>
      <c r="B908" t="s">
        <v>613</v>
      </c>
      <c r="C908" t="s">
        <v>594</v>
      </c>
      <c r="D908" s="19" t="s">
        <v>294</v>
      </c>
      <c r="E908" s="18" t="s">
        <v>108</v>
      </c>
      <c r="F908" s="18">
        <v>2</v>
      </c>
      <c r="G908" s="20">
        <v>53800</v>
      </c>
      <c r="H908" s="18">
        <v>0</v>
      </c>
      <c r="I908" s="20">
        <v>16366</v>
      </c>
      <c r="J908" s="8">
        <f t="shared" si="42"/>
        <v>37434</v>
      </c>
      <c r="K908" s="10">
        <f t="shared" si="43"/>
        <v>0.69579925650557617</v>
      </c>
      <c r="L908" s="17">
        <f t="shared" si="44"/>
        <v>0</v>
      </c>
      <c r="M908" t="str">
        <f>VLOOKUP(D908,'Jer-Tip-Emp'!B:E,4,0)</f>
        <v>Mong Express</v>
      </c>
      <c r="N908" t="str">
        <f>VLOOKUP(D908,'Jer-Tip-Emp'!B:F,5,0)</f>
        <v>Personal</v>
      </c>
      <c r="O908" t="str">
        <f>VLOOKUP(D908,'Jer-Tip-Emp'!B:G,6,0)</f>
        <v>Caja</v>
      </c>
    </row>
    <row r="909" spans="1:15" ht="27.5" hidden="1" customHeight="1" x14ac:dyDescent="0.2">
      <c r="A909">
        <v>2025</v>
      </c>
      <c r="B909" t="s">
        <v>613</v>
      </c>
      <c r="C909" t="s">
        <v>594</v>
      </c>
      <c r="D909" s="19" t="s">
        <v>335</v>
      </c>
      <c r="E909" s="18" t="s">
        <v>40</v>
      </c>
      <c r="F909" s="18">
        <v>2</v>
      </c>
      <c r="G909" s="20">
        <v>11800</v>
      </c>
      <c r="H909" s="18">
        <v>0</v>
      </c>
      <c r="I909" s="20">
        <v>2746</v>
      </c>
      <c r="J909" s="8">
        <f t="shared" si="42"/>
        <v>9054</v>
      </c>
      <c r="K909" s="10">
        <f t="shared" si="43"/>
        <v>0.76728813559322029</v>
      </c>
      <c r="L909" s="17">
        <f t="shared" si="44"/>
        <v>0</v>
      </c>
      <c r="M909" t="str">
        <f>VLOOKUP(D909,'Jer-Tip-Emp'!B:E,4,0)</f>
        <v>Bebidas</v>
      </c>
      <c r="N909" t="str">
        <f>VLOOKUP(D909,'Jer-Tip-Emp'!B:F,5,0)</f>
        <v>Bebidas</v>
      </c>
      <c r="O909" t="str">
        <f>VLOOKUP(D909,'Jer-Tip-Emp'!B:G,6,0)</f>
        <v>Bebidas</v>
      </c>
    </row>
    <row r="910" spans="1:15" ht="27.5" customHeight="1" x14ac:dyDescent="0.2">
      <c r="A910">
        <v>2025</v>
      </c>
      <c r="B910" t="s">
        <v>613</v>
      </c>
      <c r="C910" t="s">
        <v>594</v>
      </c>
      <c r="D910" s="19" t="s">
        <v>290</v>
      </c>
      <c r="E910" s="18" t="s">
        <v>86</v>
      </c>
      <c r="F910" s="18">
        <v>2</v>
      </c>
      <c r="G910" s="20">
        <v>198950</v>
      </c>
      <c r="H910" s="20">
        <v>-62850</v>
      </c>
      <c r="I910" s="20">
        <v>93560</v>
      </c>
      <c r="J910" s="8">
        <f t="shared" si="42"/>
        <v>105390</v>
      </c>
      <c r="K910" s="10">
        <f t="shared" si="43"/>
        <v>0.52973108821311887</v>
      </c>
      <c r="L910" s="17">
        <f t="shared" si="44"/>
        <v>0.31590851972857503</v>
      </c>
      <c r="M910" t="str">
        <f>VLOOKUP(D910,'Jer-Tip-Emp'!B:E,4,0)</f>
        <v>Combos para compartir</v>
      </c>
      <c r="N910" t="str">
        <f>VLOOKUP(D910,'Jer-Tip-Emp'!B:F,5,0)</f>
        <v>No Personal</v>
      </c>
      <c r="O910" t="str">
        <f>VLOOKUP(D910,'Jer-Tip-Emp'!B:G,6,0)</f>
        <v>Combo</v>
      </c>
    </row>
    <row r="911" spans="1:15" ht="27.5" customHeight="1" x14ac:dyDescent="0.2">
      <c r="A911">
        <v>2025</v>
      </c>
      <c r="B911" t="s">
        <v>613</v>
      </c>
      <c r="C911" t="s">
        <v>594</v>
      </c>
      <c r="D911" s="19" t="s">
        <v>206</v>
      </c>
      <c r="E911" s="18" t="s">
        <v>117</v>
      </c>
      <c r="F911" s="18">
        <v>2</v>
      </c>
      <c r="G911" s="20">
        <v>35200</v>
      </c>
      <c r="H911" s="20">
        <v>-4600</v>
      </c>
      <c r="I911" s="20">
        <v>14250</v>
      </c>
      <c r="J911" s="8">
        <f t="shared" si="42"/>
        <v>20950</v>
      </c>
      <c r="K911" s="10">
        <f t="shared" si="43"/>
        <v>0.59517045454545459</v>
      </c>
      <c r="L911" s="17">
        <f t="shared" si="44"/>
        <v>0.13068181818181818</v>
      </c>
      <c r="M911" t="str">
        <f>VLOOKUP(D911,'Jer-Tip-Emp'!B:E,4,0)</f>
        <v>Platos especiales</v>
      </c>
      <c r="N911" t="str">
        <f>VLOOKUP(D911,'Jer-Tip-Emp'!B:F,5,0)</f>
        <v>Personal</v>
      </c>
      <c r="O911" t="str">
        <f>VLOOKUP(D911,'Jer-Tip-Emp'!B:G,6,0)</f>
        <v>Platos especiales</v>
      </c>
    </row>
    <row r="912" spans="1:15" ht="27.5" customHeight="1" x14ac:dyDescent="0.2">
      <c r="A912">
        <v>2025</v>
      </c>
      <c r="B912" t="s">
        <v>613</v>
      </c>
      <c r="C912" t="s">
        <v>594</v>
      </c>
      <c r="D912" s="19" t="s">
        <v>266</v>
      </c>
      <c r="E912" s="18" t="s">
        <v>85</v>
      </c>
      <c r="F912" s="18">
        <v>2</v>
      </c>
      <c r="G912" s="20">
        <v>179000</v>
      </c>
      <c r="H912" s="20">
        <v>-44800</v>
      </c>
      <c r="I912" s="20">
        <v>78442</v>
      </c>
      <c r="J912" s="8">
        <f t="shared" si="42"/>
        <v>100558</v>
      </c>
      <c r="K912" s="10">
        <f t="shared" si="43"/>
        <v>0.56177653631284918</v>
      </c>
      <c r="L912" s="17">
        <f t="shared" si="44"/>
        <v>0.25027932960893856</v>
      </c>
      <c r="M912" t="str">
        <f>VLOOKUP(D912,'Jer-Tip-Emp'!B:E,4,0)</f>
        <v>Combos para compartir</v>
      </c>
      <c r="N912" t="str">
        <f>VLOOKUP(D912,'Jer-Tip-Emp'!B:F,5,0)</f>
        <v>No Personal</v>
      </c>
      <c r="O912" t="str">
        <f>VLOOKUP(D912,'Jer-Tip-Emp'!B:G,6,0)</f>
        <v>Combo</v>
      </c>
    </row>
    <row r="913" spans="1:15" ht="27.5" customHeight="1" x14ac:dyDescent="0.2">
      <c r="A913">
        <v>2025</v>
      </c>
      <c r="B913" t="s">
        <v>613</v>
      </c>
      <c r="C913" t="s">
        <v>594</v>
      </c>
      <c r="D913" s="19" t="s">
        <v>287</v>
      </c>
      <c r="E913" s="18" t="s">
        <v>32</v>
      </c>
      <c r="F913" s="18">
        <v>2</v>
      </c>
      <c r="G913" s="20">
        <v>47925</v>
      </c>
      <c r="H913" s="20">
        <v>-24675</v>
      </c>
      <c r="I913" s="18">
        <v>0</v>
      </c>
      <c r="J913" s="8">
        <f t="shared" si="42"/>
        <v>47925</v>
      </c>
      <c r="K913" s="10">
        <f t="shared" si="43"/>
        <v>1</v>
      </c>
      <c r="L913" s="17">
        <f t="shared" si="44"/>
        <v>0.51486697965571204</v>
      </c>
      <c r="M913" t="str">
        <f>VLOOKUP(D913,'Jer-Tip-Emp'!B:E,4,0)</f>
        <v>Arma tu plato</v>
      </c>
      <c r="N913" t="str">
        <f>VLOOKUP(D913,'Jer-Tip-Emp'!B:F,5,0)</f>
        <v>Personal</v>
      </c>
      <c r="O913" t="str">
        <f>VLOOKUP(D913,'Jer-Tip-Emp'!B:G,6,0)</f>
        <v>Caja</v>
      </c>
    </row>
    <row r="914" spans="1:15" ht="27.5" hidden="1" customHeight="1" x14ac:dyDescent="0.2">
      <c r="A914">
        <v>2025</v>
      </c>
      <c r="B914" t="s">
        <v>613</v>
      </c>
      <c r="C914" t="s">
        <v>594</v>
      </c>
      <c r="D914" s="19" t="s">
        <v>282</v>
      </c>
      <c r="E914" s="18" t="s">
        <v>19</v>
      </c>
      <c r="F914" s="18">
        <v>2</v>
      </c>
      <c r="G914" s="18">
        <v>0</v>
      </c>
      <c r="H914" s="20">
        <v>-15800</v>
      </c>
      <c r="I914" s="20">
        <v>8196</v>
      </c>
      <c r="J914" s="8">
        <f t="shared" si="42"/>
        <v>-8196</v>
      </c>
      <c r="K914" s="10">
        <f t="shared" si="43"/>
        <v>0</v>
      </c>
      <c r="L914" s="17">
        <f t="shared" si="44"/>
        <v>0</v>
      </c>
      <c r="M914" t="str">
        <f>VLOOKUP(D914,'Jer-Tip-Emp'!B:E,4,0)</f>
        <v>Adición</v>
      </c>
      <c r="N914" t="str">
        <f>VLOOKUP(D914,'Jer-Tip-Emp'!B:F,5,0)</f>
        <v>Adición</v>
      </c>
      <c r="O914" t="str">
        <f>VLOOKUP(D914,'Jer-Tip-Emp'!B:G,6,0)</f>
        <v>Adición</v>
      </c>
    </row>
    <row r="915" spans="1:15" ht="27.5" hidden="1" customHeight="1" x14ac:dyDescent="0.2">
      <c r="A915">
        <v>2025</v>
      </c>
      <c r="B915" t="s">
        <v>613</v>
      </c>
      <c r="C915" t="s">
        <v>594</v>
      </c>
      <c r="D915" s="19" t="s">
        <v>418</v>
      </c>
      <c r="E915" s="18" t="s">
        <v>557</v>
      </c>
      <c r="F915" s="18">
        <v>2</v>
      </c>
      <c r="G915" s="20">
        <v>2000</v>
      </c>
      <c r="H915" s="18">
        <v>0</v>
      </c>
      <c r="I915" s="18">
        <v>0</v>
      </c>
      <c r="J915" s="8">
        <f t="shared" si="42"/>
        <v>2000</v>
      </c>
      <c r="K915" s="10">
        <f t="shared" si="43"/>
        <v>1</v>
      </c>
      <c r="L915" s="17">
        <f t="shared" si="44"/>
        <v>0</v>
      </c>
      <c r="M915" t="str">
        <f>VLOOKUP(D915,'Jer-Tip-Emp'!B:E,4,0)</f>
        <v>Adición</v>
      </c>
      <c r="N915" t="str">
        <f>VLOOKUP(D915,'Jer-Tip-Emp'!B:F,5,0)</f>
        <v>Adición</v>
      </c>
      <c r="O915" t="str">
        <f>VLOOKUP(D915,'Jer-Tip-Emp'!B:G,6,0)</f>
        <v>Adición</v>
      </c>
    </row>
    <row r="916" spans="1:15" ht="27.5" hidden="1" customHeight="1" x14ac:dyDescent="0.2">
      <c r="A916">
        <v>2025</v>
      </c>
      <c r="B916" t="s">
        <v>613</v>
      </c>
      <c r="C916" t="s">
        <v>594</v>
      </c>
      <c r="D916" s="19" t="s">
        <v>314</v>
      </c>
      <c r="E916" s="18" t="s">
        <v>67</v>
      </c>
      <c r="F916" s="18">
        <v>1</v>
      </c>
      <c r="G916" s="20">
        <v>5900</v>
      </c>
      <c r="H916" s="18">
        <v>0</v>
      </c>
      <c r="I916" s="20">
        <v>1330</v>
      </c>
      <c r="J916" s="8">
        <f t="shared" si="42"/>
        <v>4570</v>
      </c>
      <c r="K916" s="10">
        <f t="shared" si="43"/>
        <v>0.77457627118644068</v>
      </c>
      <c r="L916" s="17">
        <f t="shared" si="44"/>
        <v>0</v>
      </c>
      <c r="M916" t="str">
        <f>VLOOKUP(D916,'Jer-Tip-Emp'!B:E,4,0)</f>
        <v>Bebidas</v>
      </c>
      <c r="N916" t="str">
        <f>VLOOKUP(D916,'Jer-Tip-Emp'!B:F,5,0)</f>
        <v>Bebidas</v>
      </c>
      <c r="O916" t="str">
        <f>VLOOKUP(D916,'Jer-Tip-Emp'!B:G,6,0)</f>
        <v>Bebidas</v>
      </c>
    </row>
    <row r="917" spans="1:15" ht="27.5" hidden="1" customHeight="1" x14ac:dyDescent="0.2">
      <c r="A917">
        <v>2025</v>
      </c>
      <c r="B917" t="s">
        <v>613</v>
      </c>
      <c r="C917" t="s">
        <v>594</v>
      </c>
      <c r="D917" s="19" t="s">
        <v>432</v>
      </c>
      <c r="E917" s="18" t="s">
        <v>576</v>
      </c>
      <c r="F917" s="18">
        <v>1</v>
      </c>
      <c r="G917" s="20">
        <v>2000</v>
      </c>
      <c r="H917" s="18">
        <v>0</v>
      </c>
      <c r="I917" s="20">
        <v>1368</v>
      </c>
      <c r="J917" s="8">
        <f t="shared" si="42"/>
        <v>632</v>
      </c>
      <c r="K917" s="10">
        <f t="shared" si="43"/>
        <v>0.316</v>
      </c>
      <c r="L917" s="17">
        <f t="shared" si="44"/>
        <v>0</v>
      </c>
      <c r="M917" t="str">
        <f>VLOOKUP(D917,'Jer-Tip-Emp'!B:E,4,0)</f>
        <v>Bebidas</v>
      </c>
      <c r="N917" t="str">
        <f>VLOOKUP(D917,'Jer-Tip-Emp'!B:F,5,0)</f>
        <v>Bebidas Cambio de bebida</v>
      </c>
      <c r="O917" t="str">
        <f>VLOOKUP(D917,'Jer-Tip-Emp'!B:G,6,0)</f>
        <v>Bebidas</v>
      </c>
    </row>
    <row r="918" spans="1:15" ht="27.5" customHeight="1" x14ac:dyDescent="0.2">
      <c r="A918">
        <v>2025</v>
      </c>
      <c r="B918" t="s">
        <v>613</v>
      </c>
      <c r="C918" t="s">
        <v>594</v>
      </c>
      <c r="D918" s="19" t="s">
        <v>278</v>
      </c>
      <c r="E918" s="18" t="s">
        <v>84</v>
      </c>
      <c r="F918" s="18">
        <v>1</v>
      </c>
      <c r="G918" s="20">
        <v>23000</v>
      </c>
      <c r="H918" s="20">
        <v>-6900</v>
      </c>
      <c r="I918" s="20">
        <v>7973</v>
      </c>
      <c r="J918" s="8">
        <f t="shared" si="42"/>
        <v>15027</v>
      </c>
      <c r="K918" s="10">
        <f t="shared" si="43"/>
        <v>0.65334782608695652</v>
      </c>
      <c r="L918" s="17">
        <f t="shared" si="44"/>
        <v>0.3</v>
      </c>
      <c r="M918" t="str">
        <f>VLOOKUP(D918,'Jer-Tip-Emp'!B:E,4,0)</f>
        <v>Combos para compartir</v>
      </c>
      <c r="N918" t="str">
        <f>VLOOKUP(D918,'Jer-Tip-Emp'!B:F,5,0)</f>
        <v>No Personal</v>
      </c>
      <c r="O918" t="str">
        <f>VLOOKUP(D918,'Jer-Tip-Emp'!B:G,6,0)</f>
        <v>Combo</v>
      </c>
    </row>
    <row r="919" spans="1:15" ht="27.5" hidden="1" customHeight="1" x14ac:dyDescent="0.2">
      <c r="A919">
        <v>2025</v>
      </c>
      <c r="B919" t="s">
        <v>613</v>
      </c>
      <c r="C919" t="s">
        <v>594</v>
      </c>
      <c r="D919" s="19" t="s">
        <v>531</v>
      </c>
      <c r="E919" s="18" t="s">
        <v>614</v>
      </c>
      <c r="F919" s="18">
        <v>1</v>
      </c>
      <c r="G919" s="20">
        <v>2350</v>
      </c>
      <c r="H919" s="20">
        <v>-7550</v>
      </c>
      <c r="I919" s="20">
        <v>4501</v>
      </c>
      <c r="J919" s="8">
        <f t="shared" si="42"/>
        <v>-2151</v>
      </c>
      <c r="K919" s="10">
        <f t="shared" si="43"/>
        <v>-0.91531914893617017</v>
      </c>
      <c r="L919" s="17">
        <f t="shared" si="44"/>
        <v>3.2127659574468086</v>
      </c>
      <c r="M919" t="str">
        <f>VLOOKUP(D919,'Jer-Tip-Emp'!B:E,4,0)</f>
        <v>Bebidas</v>
      </c>
      <c r="N919" t="str">
        <f>VLOOKUP(D919,'Jer-Tip-Emp'!B:F,5,0)</f>
        <v>Bebidas Adiciona tu bebida</v>
      </c>
      <c r="O919" t="str">
        <f>VLOOKUP(D919,'Jer-Tip-Emp'!B:G,6,0)</f>
        <v>Bebidas</v>
      </c>
    </row>
    <row r="920" spans="1:15" ht="27.5" hidden="1" customHeight="1" x14ac:dyDescent="0.2">
      <c r="A920">
        <v>2025</v>
      </c>
      <c r="B920" t="s">
        <v>613</v>
      </c>
      <c r="C920" t="s">
        <v>594</v>
      </c>
      <c r="D920" s="19" t="s">
        <v>410</v>
      </c>
      <c r="E920" s="18" t="s">
        <v>559</v>
      </c>
      <c r="F920" s="18">
        <v>1</v>
      </c>
      <c r="G920" s="20">
        <v>2600</v>
      </c>
      <c r="H920" s="18">
        <v>0</v>
      </c>
      <c r="I920" s="20">
        <v>2235</v>
      </c>
      <c r="J920" s="8">
        <f t="shared" si="42"/>
        <v>365</v>
      </c>
      <c r="K920" s="10">
        <f t="shared" si="43"/>
        <v>0.14038461538461539</v>
      </c>
      <c r="L920" s="17">
        <f t="shared" si="44"/>
        <v>0</v>
      </c>
      <c r="M920" t="str">
        <f>VLOOKUP(D920,'Jer-Tip-Emp'!B:E,4,0)</f>
        <v>Bebidas</v>
      </c>
      <c r="N920" t="str">
        <f>VLOOKUP(D920,'Jer-Tip-Emp'!B:F,5,0)</f>
        <v>Bebidas Cambio de bebida</v>
      </c>
      <c r="O920" t="str">
        <f>VLOOKUP(D920,'Jer-Tip-Emp'!B:G,6,0)</f>
        <v>Bebidas</v>
      </c>
    </row>
    <row r="921" spans="1:15" ht="27.5" customHeight="1" x14ac:dyDescent="0.2">
      <c r="A921">
        <v>2025</v>
      </c>
      <c r="B921" t="s">
        <v>613</v>
      </c>
      <c r="C921" t="s">
        <v>594</v>
      </c>
      <c r="D921" s="19" t="s">
        <v>354</v>
      </c>
      <c r="E921" s="18" t="s">
        <v>548</v>
      </c>
      <c r="F921" s="18">
        <v>1</v>
      </c>
      <c r="G921" s="18">
        <v>0</v>
      </c>
      <c r="H921" s="18">
        <v>0</v>
      </c>
      <c r="I921" s="20">
        <v>2634</v>
      </c>
      <c r="J921" s="8">
        <f t="shared" si="42"/>
        <v>-2634</v>
      </c>
      <c r="K921" s="10">
        <f t="shared" si="43"/>
        <v>0</v>
      </c>
      <c r="L921" s="17">
        <f t="shared" si="44"/>
        <v>0</v>
      </c>
      <c r="M921" t="str">
        <f>VLOOKUP(D921,'Jer-Tip-Emp'!B:E,4,0)</f>
        <v>Arma tu plato</v>
      </c>
      <c r="N921" t="str">
        <f>VLOOKUP(D921,'Jer-Tip-Emp'!B:F,5,0)</f>
        <v>Personal</v>
      </c>
      <c r="O921" t="str">
        <f>VLOOKUP(D921,'Jer-Tip-Emp'!B:G,6,0)</f>
        <v>Caja</v>
      </c>
    </row>
    <row r="922" spans="1:15" ht="27.5" hidden="1" customHeight="1" x14ac:dyDescent="0.2">
      <c r="A922">
        <v>2025</v>
      </c>
      <c r="B922" t="s">
        <v>613</v>
      </c>
      <c r="C922" t="s">
        <v>594</v>
      </c>
      <c r="D922" s="19" t="s">
        <v>296</v>
      </c>
      <c r="E922" s="18" t="s">
        <v>22</v>
      </c>
      <c r="F922" s="18">
        <v>1</v>
      </c>
      <c r="G922" s="18">
        <v>0</v>
      </c>
      <c r="H922" s="20">
        <v>-8900</v>
      </c>
      <c r="I922" s="18">
        <v>689</v>
      </c>
      <c r="J922" s="8">
        <f t="shared" si="42"/>
        <v>-689</v>
      </c>
      <c r="K922" s="10">
        <f t="shared" si="43"/>
        <v>0</v>
      </c>
      <c r="L922" s="17">
        <f t="shared" si="44"/>
        <v>0</v>
      </c>
      <c r="M922" t="str">
        <f>VLOOKUP(D922,'Jer-Tip-Emp'!B:E,4,0)</f>
        <v>Adición</v>
      </c>
      <c r="N922" t="str">
        <f>VLOOKUP(D922,'Jer-Tip-Emp'!B:F,5,0)</f>
        <v>Adición</v>
      </c>
      <c r="O922" t="str">
        <f>VLOOKUP(D922,'Jer-Tip-Emp'!B:G,6,0)</f>
        <v>Adición</v>
      </c>
    </row>
    <row r="923" spans="1:15" ht="27.5" hidden="1" customHeight="1" x14ac:dyDescent="0.2">
      <c r="A923">
        <v>2025</v>
      </c>
      <c r="B923" t="s">
        <v>613</v>
      </c>
      <c r="C923" t="s">
        <v>594</v>
      </c>
      <c r="D923" s="19" t="s">
        <v>495</v>
      </c>
      <c r="E923" s="18" t="s">
        <v>572</v>
      </c>
      <c r="F923" s="18">
        <v>1</v>
      </c>
      <c r="G923" s="20">
        <v>2000</v>
      </c>
      <c r="H923" s="18">
        <v>0</v>
      </c>
      <c r="I923" s="20">
        <v>1896</v>
      </c>
      <c r="J923" s="8">
        <f t="shared" si="42"/>
        <v>104</v>
      </c>
      <c r="K923" s="10">
        <f t="shared" si="43"/>
        <v>5.1999999999999998E-2</v>
      </c>
      <c r="L923" s="17">
        <f t="shared" si="44"/>
        <v>0</v>
      </c>
      <c r="M923" t="str">
        <f>VLOOKUP(D923,'Jer-Tip-Emp'!B:E,4,0)</f>
        <v>Bebidas</v>
      </c>
      <c r="N923" t="str">
        <f>VLOOKUP(D923,'Jer-Tip-Emp'!B:F,5,0)</f>
        <v>Bebidas Cambio de bebida</v>
      </c>
      <c r="O923" t="str">
        <f>VLOOKUP(D923,'Jer-Tip-Emp'!B:G,6,0)</f>
        <v>Bebidas</v>
      </c>
    </row>
    <row r="924" spans="1:15" ht="27.5" hidden="1" customHeight="1" x14ac:dyDescent="0.2">
      <c r="A924">
        <v>2025</v>
      </c>
      <c r="B924" t="s">
        <v>613</v>
      </c>
      <c r="C924" t="s">
        <v>594</v>
      </c>
      <c r="D924" s="19" t="s">
        <v>367</v>
      </c>
      <c r="E924" s="18" t="s">
        <v>566</v>
      </c>
      <c r="F924" s="18">
        <v>1</v>
      </c>
      <c r="G924" s="20">
        <v>1000</v>
      </c>
      <c r="H924" s="18">
        <v>0</v>
      </c>
      <c r="I924" s="18">
        <v>0</v>
      </c>
      <c r="J924" s="8">
        <f t="shared" si="42"/>
        <v>1000</v>
      </c>
      <c r="K924" s="10">
        <f t="shared" si="43"/>
        <v>1</v>
      </c>
      <c r="L924" s="17">
        <f t="shared" si="44"/>
        <v>0</v>
      </c>
      <c r="M924" t="str">
        <f>VLOOKUP(D924,'Jer-Tip-Emp'!B:E,4,0)</f>
        <v>Adición</v>
      </c>
      <c r="N924" t="str">
        <f>VLOOKUP(D924,'Jer-Tip-Emp'!B:F,5,0)</f>
        <v>Adición</v>
      </c>
      <c r="O924" t="str">
        <f>VLOOKUP(D924,'Jer-Tip-Emp'!B:G,6,0)</f>
        <v>Adición</v>
      </c>
    </row>
    <row r="925" spans="1:15" ht="27.5" hidden="1" customHeight="1" x14ac:dyDescent="0.2">
      <c r="A925">
        <v>2025</v>
      </c>
      <c r="B925" t="s">
        <v>613</v>
      </c>
      <c r="C925" t="s">
        <v>594</v>
      </c>
      <c r="D925" s="19" t="s">
        <v>445</v>
      </c>
      <c r="E925" s="18" t="s">
        <v>570</v>
      </c>
      <c r="F925" s="18">
        <v>1</v>
      </c>
      <c r="G925" s="20">
        <v>2000</v>
      </c>
      <c r="H925" s="18">
        <v>0</v>
      </c>
      <c r="I925" s="20">
        <v>1711</v>
      </c>
      <c r="J925" s="8">
        <f t="shared" si="42"/>
        <v>289</v>
      </c>
      <c r="K925" s="10">
        <f t="shared" si="43"/>
        <v>0.14449999999999999</v>
      </c>
      <c r="L925" s="17">
        <f t="shared" si="44"/>
        <v>0</v>
      </c>
      <c r="M925" t="str">
        <f>VLOOKUP(D925,'Jer-Tip-Emp'!B:E,4,0)</f>
        <v>Bebidas</v>
      </c>
      <c r="N925" t="str">
        <f>VLOOKUP(D925,'Jer-Tip-Emp'!B:F,5,0)</f>
        <v>Bebidas Cambio de bebida</v>
      </c>
      <c r="O925" t="str">
        <f>VLOOKUP(D925,'Jer-Tip-Emp'!B:G,6,0)</f>
        <v>Bebidas</v>
      </c>
    </row>
    <row r="926" spans="1:15" ht="27.5" hidden="1" customHeight="1" x14ac:dyDescent="0.2">
      <c r="A926">
        <v>2025</v>
      </c>
      <c r="B926" t="s">
        <v>613</v>
      </c>
      <c r="C926" t="s">
        <v>594</v>
      </c>
      <c r="D926" s="19" t="s">
        <v>310</v>
      </c>
      <c r="E926" s="18" t="s">
        <v>53</v>
      </c>
      <c r="F926" s="18">
        <v>1</v>
      </c>
      <c r="G926" s="20">
        <v>6500</v>
      </c>
      <c r="H926" s="18">
        <v>0</v>
      </c>
      <c r="I926" s="20">
        <v>1695</v>
      </c>
      <c r="J926" s="8">
        <f t="shared" si="42"/>
        <v>4805</v>
      </c>
      <c r="K926" s="10">
        <f t="shared" si="43"/>
        <v>0.73923076923076925</v>
      </c>
      <c r="L926" s="17">
        <f t="shared" si="44"/>
        <v>0</v>
      </c>
      <c r="M926" t="str">
        <f>VLOOKUP(D926,'Jer-Tip-Emp'!B:E,4,0)</f>
        <v>Bebidas</v>
      </c>
      <c r="N926" t="str">
        <f>VLOOKUP(D926,'Jer-Tip-Emp'!B:F,5,0)</f>
        <v>Bebidas</v>
      </c>
      <c r="O926" t="str">
        <f>VLOOKUP(D926,'Jer-Tip-Emp'!B:G,6,0)</f>
        <v>Bebidas</v>
      </c>
    </row>
    <row r="927" spans="1:15" ht="27.5" hidden="1" customHeight="1" x14ac:dyDescent="0.2">
      <c r="A927">
        <v>2025</v>
      </c>
      <c r="B927" t="s">
        <v>613</v>
      </c>
      <c r="C927" t="s">
        <v>594</v>
      </c>
      <c r="D927" s="19" t="s">
        <v>426</v>
      </c>
      <c r="E927" s="18" t="s">
        <v>561</v>
      </c>
      <c r="F927" s="18">
        <v>1</v>
      </c>
      <c r="G927" s="20">
        <v>2000</v>
      </c>
      <c r="H927" s="18">
        <v>0</v>
      </c>
      <c r="I927" s="20">
        <v>1516</v>
      </c>
      <c r="J927" s="8">
        <f t="shared" si="42"/>
        <v>484</v>
      </c>
      <c r="K927" s="10">
        <f t="shared" si="43"/>
        <v>0.24199999999999999</v>
      </c>
      <c r="L927" s="17">
        <f t="shared" si="44"/>
        <v>0</v>
      </c>
      <c r="M927" t="str">
        <f>VLOOKUP(D927,'Jer-Tip-Emp'!B:E,4,0)</f>
        <v>Bebidas</v>
      </c>
      <c r="N927" t="str">
        <f>VLOOKUP(D927,'Jer-Tip-Emp'!B:F,5,0)</f>
        <v>Bebidas Cambio de bebida</v>
      </c>
      <c r="O927" t="str">
        <f>VLOOKUP(D927,'Jer-Tip-Emp'!B:G,6,0)</f>
        <v>Bebidas</v>
      </c>
    </row>
    <row r="928" spans="1:15" ht="27.5" hidden="1" customHeight="1" x14ac:dyDescent="0.2">
      <c r="A928">
        <v>2025</v>
      </c>
      <c r="B928" t="s">
        <v>613</v>
      </c>
      <c r="C928" t="s">
        <v>594</v>
      </c>
      <c r="D928" s="19" t="s">
        <v>397</v>
      </c>
      <c r="E928" s="18" t="s">
        <v>61</v>
      </c>
      <c r="F928" s="18">
        <v>1</v>
      </c>
      <c r="G928" s="20">
        <v>5900</v>
      </c>
      <c r="H928" s="18">
        <v>0</v>
      </c>
      <c r="I928" s="20">
        <v>1896</v>
      </c>
      <c r="J928" s="8">
        <f t="shared" si="42"/>
        <v>4004</v>
      </c>
      <c r="K928" s="10">
        <f t="shared" si="43"/>
        <v>0.67864406779661013</v>
      </c>
      <c r="L928" s="17">
        <f t="shared" si="44"/>
        <v>0</v>
      </c>
      <c r="M928" t="str">
        <f>VLOOKUP(D928,'Jer-Tip-Emp'!B:E,4,0)</f>
        <v>Bebidas</v>
      </c>
      <c r="N928" t="str">
        <f>VLOOKUP(D928,'Jer-Tip-Emp'!B:F,5,0)</f>
        <v>Bebidas</v>
      </c>
      <c r="O928" t="str">
        <f>VLOOKUP(D928,'Jer-Tip-Emp'!B:G,6,0)</f>
        <v>Bebidas</v>
      </c>
    </row>
    <row r="929" spans="1:15" ht="27.5" hidden="1" customHeight="1" x14ac:dyDescent="0.2">
      <c r="A929">
        <v>2025</v>
      </c>
      <c r="B929" t="s">
        <v>613</v>
      </c>
      <c r="C929" t="s">
        <v>594</v>
      </c>
      <c r="D929" s="19" t="s">
        <v>348</v>
      </c>
      <c r="E929" s="18" t="s">
        <v>567</v>
      </c>
      <c r="F929" s="18">
        <v>1</v>
      </c>
      <c r="G929" s="20">
        <v>8000</v>
      </c>
      <c r="H929" s="18">
        <v>0</v>
      </c>
      <c r="I929" s="20">
        <v>1747</v>
      </c>
      <c r="J929" s="8">
        <f t="shared" si="42"/>
        <v>6253</v>
      </c>
      <c r="K929" s="10">
        <f t="shared" si="43"/>
        <v>0.78162500000000001</v>
      </c>
      <c r="L929" s="17">
        <f t="shared" si="44"/>
        <v>0</v>
      </c>
      <c r="M929" t="str">
        <f>VLOOKUP(D929,'Jer-Tip-Emp'!B:E,4,0)</f>
        <v>Adición</v>
      </c>
      <c r="N929" t="str">
        <f>VLOOKUP(D929,'Jer-Tip-Emp'!B:F,5,0)</f>
        <v>Adición</v>
      </c>
      <c r="O929" t="str">
        <f>VLOOKUP(D929,'Jer-Tip-Emp'!B:G,6,0)</f>
        <v>Adición</v>
      </c>
    </row>
    <row r="930" spans="1:15" ht="27.5" hidden="1" customHeight="1" x14ac:dyDescent="0.2">
      <c r="A930">
        <v>2025</v>
      </c>
      <c r="B930" t="s">
        <v>613</v>
      </c>
      <c r="C930" t="s">
        <v>594</v>
      </c>
      <c r="D930" s="19" t="s">
        <v>494</v>
      </c>
      <c r="E930" s="18" t="s">
        <v>568</v>
      </c>
      <c r="F930" s="18">
        <v>1</v>
      </c>
      <c r="G930" s="20">
        <v>2000</v>
      </c>
      <c r="H930" s="18">
        <v>0</v>
      </c>
      <c r="I930" s="20">
        <v>2139</v>
      </c>
      <c r="J930" s="8">
        <f t="shared" si="42"/>
        <v>-139</v>
      </c>
      <c r="K930" s="10">
        <f t="shared" si="43"/>
        <v>-6.9500000000000006E-2</v>
      </c>
      <c r="L930" s="17">
        <f t="shared" si="44"/>
        <v>0</v>
      </c>
      <c r="M930" t="str">
        <f>VLOOKUP(D930,'Jer-Tip-Emp'!B:E,4,0)</f>
        <v>Bebidas</v>
      </c>
      <c r="N930" t="str">
        <f>VLOOKUP(D930,'Jer-Tip-Emp'!B:F,5,0)</f>
        <v>Bebidas Cambio de bebida</v>
      </c>
      <c r="O930" t="str">
        <f>VLOOKUP(D930,'Jer-Tip-Emp'!B:G,6,0)</f>
        <v>Bebidas</v>
      </c>
    </row>
    <row r="931" spans="1:15" ht="27.5" customHeight="1" x14ac:dyDescent="0.2">
      <c r="A931">
        <v>2025</v>
      </c>
      <c r="B931" t="s">
        <v>613</v>
      </c>
      <c r="C931" t="s">
        <v>595</v>
      </c>
      <c r="D931" s="19" t="s">
        <v>299</v>
      </c>
      <c r="E931" s="18" t="s">
        <v>129</v>
      </c>
      <c r="F931" s="18">
        <v>35</v>
      </c>
      <c r="G931" s="20">
        <v>1330236</v>
      </c>
      <c r="H931" s="20">
        <v>-171264</v>
      </c>
      <c r="I931" s="20">
        <v>396620</v>
      </c>
      <c r="J931" s="8">
        <f t="shared" si="42"/>
        <v>933616</v>
      </c>
      <c r="K931" s="10">
        <f t="shared" si="43"/>
        <v>0.70184237984838782</v>
      </c>
      <c r="L931" s="17">
        <f t="shared" si="44"/>
        <v>0.12874707946559857</v>
      </c>
      <c r="M931" t="str">
        <f>VLOOKUP(D931,'Jer-Tip-Emp'!B:E,4,0)</f>
        <v>Platos mong</v>
      </c>
      <c r="N931" t="str">
        <f>VLOOKUP(D931,'Jer-Tip-Emp'!B:F,5,0)</f>
        <v>No Personal</v>
      </c>
      <c r="O931" t="str">
        <f>VLOOKUP(D931,'Jer-Tip-Emp'!B:G,6,0)</f>
        <v>Caja</v>
      </c>
    </row>
    <row r="932" spans="1:15" ht="27.5" hidden="1" customHeight="1" x14ac:dyDescent="0.2">
      <c r="A932">
        <v>2025</v>
      </c>
      <c r="B932" t="s">
        <v>613</v>
      </c>
      <c r="C932" t="s">
        <v>595</v>
      </c>
      <c r="D932" s="19" t="s">
        <v>284</v>
      </c>
      <c r="E932" s="18" t="s">
        <v>106</v>
      </c>
      <c r="F932" s="18">
        <v>35</v>
      </c>
      <c r="G932" s="20">
        <v>298885</v>
      </c>
      <c r="H932" s="20">
        <v>-12615</v>
      </c>
      <c r="I932" s="20">
        <v>109865</v>
      </c>
      <c r="J932" s="8">
        <f t="shared" si="42"/>
        <v>189020</v>
      </c>
      <c r="K932" s="10">
        <f t="shared" si="43"/>
        <v>0.63241715040902025</v>
      </c>
      <c r="L932" s="17">
        <f t="shared" si="44"/>
        <v>4.2206868862606016E-2</v>
      </c>
      <c r="M932" t="str">
        <f>VLOOKUP(D932,'Jer-Tip-Emp'!B:E,4,0)</f>
        <v>Entradas</v>
      </c>
      <c r="N932" t="str">
        <f>VLOOKUP(D932,'Jer-Tip-Emp'!B:F,5,0)</f>
        <v>Otro</v>
      </c>
      <c r="O932" t="str">
        <f>VLOOKUP(D932,'Jer-Tip-Emp'!B:G,6,0)</f>
        <v>Otro</v>
      </c>
    </row>
    <row r="933" spans="1:15" ht="27.5" customHeight="1" x14ac:dyDescent="0.2">
      <c r="A933">
        <v>2025</v>
      </c>
      <c r="B933" t="s">
        <v>613</v>
      </c>
      <c r="C933" t="s">
        <v>595</v>
      </c>
      <c r="D933" s="19" t="s">
        <v>286</v>
      </c>
      <c r="E933" s="18" t="s">
        <v>144</v>
      </c>
      <c r="F933" s="18">
        <v>24</v>
      </c>
      <c r="G933" s="20">
        <v>1472245</v>
      </c>
      <c r="H933" s="20">
        <v>-133355</v>
      </c>
      <c r="I933" s="20">
        <v>831720</v>
      </c>
      <c r="J933" s="8">
        <f t="shared" si="42"/>
        <v>640525</v>
      </c>
      <c r="K933" s="10">
        <f t="shared" si="43"/>
        <v>0.43506685368264114</v>
      </c>
      <c r="L933" s="17">
        <f t="shared" si="44"/>
        <v>9.0579353300571583E-2</v>
      </c>
      <c r="M933" t="str">
        <f>VLOOKUP(D933,'Jer-Tip-Emp'!B:E,4,0)</f>
        <v>Platos mong</v>
      </c>
      <c r="N933" t="str">
        <f>VLOOKUP(D933,'Jer-Tip-Emp'!B:F,5,0)</f>
        <v>No Personal</v>
      </c>
      <c r="O933" t="str">
        <f>VLOOKUP(D933,'Jer-Tip-Emp'!B:G,6,0)</f>
        <v>Caja</v>
      </c>
    </row>
    <row r="934" spans="1:15" ht="27.5" customHeight="1" x14ac:dyDescent="0.2">
      <c r="A934">
        <v>2025</v>
      </c>
      <c r="B934" t="s">
        <v>613</v>
      </c>
      <c r="C934" t="s">
        <v>595</v>
      </c>
      <c r="D934" s="19" t="s">
        <v>185</v>
      </c>
      <c r="E934" s="18" t="s">
        <v>137</v>
      </c>
      <c r="F934" s="18">
        <v>21</v>
      </c>
      <c r="G934" s="20">
        <v>837900</v>
      </c>
      <c r="H934" s="18">
        <v>0</v>
      </c>
      <c r="I934" s="20">
        <v>421113</v>
      </c>
      <c r="J934" s="8">
        <f t="shared" si="42"/>
        <v>416787</v>
      </c>
      <c r="K934" s="10">
        <f t="shared" si="43"/>
        <v>0.49741854636591476</v>
      </c>
      <c r="L934" s="17">
        <f t="shared" si="44"/>
        <v>0</v>
      </c>
      <c r="M934" t="str">
        <f>VLOOKUP(D934,'Jer-Tip-Emp'!B:E,4,0)</f>
        <v>Platos mong</v>
      </c>
      <c r="N934" t="str">
        <f>VLOOKUP(D934,'Jer-Tip-Emp'!B:F,5,0)</f>
        <v>No Personal</v>
      </c>
      <c r="O934" t="str">
        <f>VLOOKUP(D934,'Jer-Tip-Emp'!B:G,6,0)</f>
        <v>Platos Especiales</v>
      </c>
    </row>
    <row r="935" spans="1:15" ht="27.5" customHeight="1" x14ac:dyDescent="0.2">
      <c r="A935">
        <v>2025</v>
      </c>
      <c r="B935" t="s">
        <v>613</v>
      </c>
      <c r="C935" t="s">
        <v>595</v>
      </c>
      <c r="D935" s="19" t="s">
        <v>295</v>
      </c>
      <c r="E935" s="18" t="s">
        <v>110</v>
      </c>
      <c r="F935" s="18">
        <v>20</v>
      </c>
      <c r="G935" s="20">
        <v>398000</v>
      </c>
      <c r="H935" s="18">
        <v>0</v>
      </c>
      <c r="I935" s="20">
        <v>135360</v>
      </c>
      <c r="J935" s="8">
        <f t="shared" si="42"/>
        <v>262640</v>
      </c>
      <c r="K935" s="10">
        <f t="shared" si="43"/>
        <v>0.65989949748743715</v>
      </c>
      <c r="L935" s="17">
        <f t="shared" si="44"/>
        <v>0</v>
      </c>
      <c r="M935" t="str">
        <f>VLOOKUP(D935,'Jer-Tip-Emp'!B:E,4,0)</f>
        <v>Platos mong</v>
      </c>
      <c r="N935" t="str">
        <f>VLOOKUP(D935,'Jer-Tip-Emp'!B:F,5,0)</f>
        <v>Personal</v>
      </c>
      <c r="O935" t="str">
        <f>VLOOKUP(D935,'Jer-Tip-Emp'!B:G,6,0)</f>
        <v>Caja</v>
      </c>
    </row>
    <row r="936" spans="1:15" ht="27.5" customHeight="1" x14ac:dyDescent="0.2">
      <c r="A936">
        <v>2025</v>
      </c>
      <c r="B936" t="s">
        <v>613</v>
      </c>
      <c r="C936" t="s">
        <v>595</v>
      </c>
      <c r="D936" s="19" t="s">
        <v>252</v>
      </c>
      <c r="E936" s="18" t="s">
        <v>100</v>
      </c>
      <c r="F936" s="18">
        <v>19</v>
      </c>
      <c r="G936" s="20">
        <v>936645</v>
      </c>
      <c r="H936" s="20">
        <v>-11455</v>
      </c>
      <c r="I936" s="20">
        <v>614669</v>
      </c>
      <c r="J936" s="8">
        <f t="shared" si="42"/>
        <v>321976</v>
      </c>
      <c r="K936" s="10">
        <f t="shared" si="43"/>
        <v>0.34375457083526845</v>
      </c>
      <c r="L936" s="17">
        <f t="shared" si="44"/>
        <v>1.2229820262746291E-2</v>
      </c>
      <c r="M936" t="str">
        <f>VLOOKUP(D936,'Jer-Tip-Emp'!B:E,4,0)</f>
        <v>Platos mong</v>
      </c>
      <c r="N936" t="str">
        <f>VLOOKUP(D936,'Jer-Tip-Emp'!B:F,5,0)</f>
        <v>No Personal</v>
      </c>
      <c r="O936" t="str">
        <f>VLOOKUP(D936,'Jer-Tip-Emp'!B:G,6,0)</f>
        <v>Caja</v>
      </c>
    </row>
    <row r="937" spans="1:15" ht="27.5" customHeight="1" x14ac:dyDescent="0.2">
      <c r="A937">
        <v>2025</v>
      </c>
      <c r="B937" t="s">
        <v>613</v>
      </c>
      <c r="C937" t="s">
        <v>595</v>
      </c>
      <c r="D937" s="19" t="s">
        <v>273</v>
      </c>
      <c r="E937" s="18" t="s">
        <v>23</v>
      </c>
      <c r="F937" s="18">
        <v>17</v>
      </c>
      <c r="G937" s="20">
        <v>405257</v>
      </c>
      <c r="H937" s="20">
        <v>-18043</v>
      </c>
      <c r="I937" s="18">
        <v>0</v>
      </c>
      <c r="J937" s="8">
        <f t="shared" si="42"/>
        <v>405257</v>
      </c>
      <c r="K937" s="10">
        <f t="shared" si="43"/>
        <v>1</v>
      </c>
      <c r="L937" s="17">
        <f t="shared" si="44"/>
        <v>4.4522364820348569E-2</v>
      </c>
      <c r="M937" t="str">
        <f>VLOOKUP(D937,'Jer-Tip-Emp'!B:E,4,0)</f>
        <v>Arma tu plato</v>
      </c>
      <c r="N937" t="str">
        <f>VLOOKUP(D937,'Jer-Tip-Emp'!B:F,5,0)</f>
        <v>Personal</v>
      </c>
      <c r="O937" t="str">
        <f>VLOOKUP(D937,'Jer-Tip-Emp'!B:G,6,0)</f>
        <v>Caja</v>
      </c>
    </row>
    <row r="938" spans="1:15" ht="27.5" customHeight="1" x14ac:dyDescent="0.2">
      <c r="A938">
        <v>2025</v>
      </c>
      <c r="B938" t="s">
        <v>613</v>
      </c>
      <c r="C938" t="s">
        <v>595</v>
      </c>
      <c r="D938" s="19" t="s">
        <v>207</v>
      </c>
      <c r="E938" s="18" t="s">
        <v>92</v>
      </c>
      <c r="F938" s="18">
        <v>17</v>
      </c>
      <c r="G938" s="20">
        <v>403900</v>
      </c>
      <c r="H938" s="20">
        <v>-2400</v>
      </c>
      <c r="I938" s="20">
        <v>163659</v>
      </c>
      <c r="J938" s="8">
        <f t="shared" si="42"/>
        <v>240241</v>
      </c>
      <c r="K938" s="10">
        <f t="shared" si="43"/>
        <v>0.59480316910126274</v>
      </c>
      <c r="L938" s="17">
        <f t="shared" si="44"/>
        <v>5.9420648675414705E-3</v>
      </c>
      <c r="M938" t="str">
        <f>VLOOKUP(D938,'Jer-Tip-Emp'!B:E,4,0)</f>
        <v>Combos personales</v>
      </c>
      <c r="N938" t="str">
        <f>VLOOKUP(D938,'Jer-Tip-Emp'!B:F,5,0)</f>
        <v>Personal</v>
      </c>
      <c r="O938" t="str">
        <f>VLOOKUP(D938,'Jer-Tip-Emp'!B:G,6,0)</f>
        <v>Combo</v>
      </c>
    </row>
    <row r="939" spans="1:15" ht="27.5" hidden="1" customHeight="1" x14ac:dyDescent="0.2">
      <c r="A939">
        <v>2025</v>
      </c>
      <c r="B939" t="s">
        <v>613</v>
      </c>
      <c r="C939" t="s">
        <v>595</v>
      </c>
      <c r="D939" s="19" t="s">
        <v>253</v>
      </c>
      <c r="E939" s="18" t="s">
        <v>105</v>
      </c>
      <c r="F939" s="18">
        <v>16</v>
      </c>
      <c r="G939" s="20">
        <v>70763</v>
      </c>
      <c r="H939" s="20">
        <v>-9237</v>
      </c>
      <c r="I939" s="20">
        <v>25104</v>
      </c>
      <c r="J939" s="8">
        <f t="shared" si="42"/>
        <v>45659</v>
      </c>
      <c r="K939" s="10">
        <f t="shared" si="43"/>
        <v>0.64523833076607828</v>
      </c>
      <c r="L939" s="17">
        <f t="shared" si="44"/>
        <v>0.13053431878241453</v>
      </c>
      <c r="M939" t="str">
        <f>VLOOKUP(D939,'Jer-Tip-Emp'!B:E,4,0)</f>
        <v>Entradas</v>
      </c>
      <c r="N939" t="str">
        <f>VLOOKUP(D939,'Jer-Tip-Emp'!B:F,5,0)</f>
        <v>Otro</v>
      </c>
      <c r="O939" t="str">
        <f>VLOOKUP(D939,'Jer-Tip-Emp'!B:G,6,0)</f>
        <v>Otro</v>
      </c>
    </row>
    <row r="940" spans="1:15" ht="27.5" hidden="1" customHeight="1" x14ac:dyDescent="0.2">
      <c r="A940">
        <v>2025</v>
      </c>
      <c r="B940" t="s">
        <v>613</v>
      </c>
      <c r="C940" t="s">
        <v>595</v>
      </c>
      <c r="D940" s="19" t="s">
        <v>282</v>
      </c>
      <c r="E940" s="18" t="s">
        <v>19</v>
      </c>
      <c r="F940" s="18">
        <v>14</v>
      </c>
      <c r="G940" s="20">
        <v>81666</v>
      </c>
      <c r="H940" s="18">
        <v>-934</v>
      </c>
      <c r="I940" s="20">
        <v>57372</v>
      </c>
      <c r="J940" s="8">
        <f t="shared" si="42"/>
        <v>24294</v>
      </c>
      <c r="K940" s="10">
        <f t="shared" si="43"/>
        <v>0.29747997942840348</v>
      </c>
      <c r="L940" s="17">
        <f t="shared" si="44"/>
        <v>1.1436828055739231E-2</v>
      </c>
      <c r="M940" t="str">
        <f>VLOOKUP(D940,'Jer-Tip-Emp'!B:E,4,0)</f>
        <v>Adición</v>
      </c>
      <c r="N940" t="str">
        <f>VLOOKUP(D940,'Jer-Tip-Emp'!B:F,5,0)</f>
        <v>Adición</v>
      </c>
      <c r="O940" t="str">
        <f>VLOOKUP(D940,'Jer-Tip-Emp'!B:G,6,0)</f>
        <v>Adición</v>
      </c>
    </row>
    <row r="941" spans="1:15" ht="27.5" customHeight="1" x14ac:dyDescent="0.2">
      <c r="A941">
        <v>2025</v>
      </c>
      <c r="B941" t="s">
        <v>613</v>
      </c>
      <c r="C941" t="s">
        <v>595</v>
      </c>
      <c r="D941" s="19" t="s">
        <v>235</v>
      </c>
      <c r="E941" s="18" t="s">
        <v>147</v>
      </c>
      <c r="F941" s="18">
        <v>14</v>
      </c>
      <c r="G941" s="20">
        <v>679945</v>
      </c>
      <c r="H941" s="20">
        <v>-18655</v>
      </c>
      <c r="I941" s="20">
        <v>263452</v>
      </c>
      <c r="J941" s="8">
        <f t="shared" si="42"/>
        <v>416493</v>
      </c>
      <c r="K941" s="10">
        <f t="shared" si="43"/>
        <v>0.61253924949812122</v>
      </c>
      <c r="L941" s="17">
        <f t="shared" si="44"/>
        <v>2.7436042621094354E-2</v>
      </c>
      <c r="M941" t="str">
        <f>VLOOKUP(D941,'Jer-Tip-Emp'!B:E,4,0)</f>
        <v>Platos mong</v>
      </c>
      <c r="N941" t="str">
        <f>VLOOKUP(D941,'Jer-Tip-Emp'!B:F,5,0)</f>
        <v>No Personal</v>
      </c>
      <c r="O941" t="str">
        <f>VLOOKUP(D941,'Jer-Tip-Emp'!B:G,6,0)</f>
        <v>Caja</v>
      </c>
    </row>
    <row r="942" spans="1:15" ht="27.5" customHeight="1" x14ac:dyDescent="0.2">
      <c r="A942">
        <v>2025</v>
      </c>
      <c r="B942" t="s">
        <v>613</v>
      </c>
      <c r="C942" t="s">
        <v>595</v>
      </c>
      <c r="D942" s="19" t="s">
        <v>214</v>
      </c>
      <c r="E942" s="18" t="s">
        <v>81</v>
      </c>
      <c r="F942" s="18">
        <v>12</v>
      </c>
      <c r="G942" s="20">
        <v>620800</v>
      </c>
      <c r="H942" s="20">
        <v>-26000</v>
      </c>
      <c r="I942" s="20">
        <v>283656</v>
      </c>
      <c r="J942" s="8">
        <f t="shared" si="42"/>
        <v>337144</v>
      </c>
      <c r="K942" s="10">
        <f t="shared" si="43"/>
        <v>0.54307989690721648</v>
      </c>
      <c r="L942" s="17">
        <f t="shared" si="44"/>
        <v>4.1881443298969069E-2</v>
      </c>
      <c r="M942" t="str">
        <f>VLOOKUP(D942,'Jer-Tip-Emp'!B:E,4,0)</f>
        <v>Combos para compartir</v>
      </c>
      <c r="N942" t="str">
        <f>VLOOKUP(D942,'Jer-Tip-Emp'!B:F,5,0)</f>
        <v>No Personal</v>
      </c>
      <c r="O942" t="str">
        <f>VLOOKUP(D942,'Jer-Tip-Emp'!B:G,6,0)</f>
        <v>Combo</v>
      </c>
    </row>
    <row r="943" spans="1:15" ht="27.5" customHeight="1" x14ac:dyDescent="0.2">
      <c r="A943">
        <v>2025</v>
      </c>
      <c r="B943" t="s">
        <v>613</v>
      </c>
      <c r="C943" t="s">
        <v>595</v>
      </c>
      <c r="D943" s="19" t="s">
        <v>186</v>
      </c>
      <c r="E943" s="18" t="s">
        <v>95</v>
      </c>
      <c r="F943" s="18">
        <v>12</v>
      </c>
      <c r="G943" s="20">
        <v>335887</v>
      </c>
      <c r="H943" s="20">
        <v>-10913</v>
      </c>
      <c r="I943" s="20">
        <v>114840</v>
      </c>
      <c r="J943" s="8">
        <f t="shared" si="42"/>
        <v>221047</v>
      </c>
      <c r="K943" s="10">
        <f t="shared" si="43"/>
        <v>0.65809930125310001</v>
      </c>
      <c r="L943" s="17">
        <f t="shared" si="44"/>
        <v>3.2490093394504697E-2</v>
      </c>
      <c r="M943" t="str">
        <f>VLOOKUP(D943,'Jer-Tip-Emp'!B:E,4,0)</f>
        <v>Combos personales</v>
      </c>
      <c r="N943" t="str">
        <f>VLOOKUP(D943,'Jer-Tip-Emp'!B:F,5,0)</f>
        <v>Personal</v>
      </c>
      <c r="O943" t="str">
        <f>VLOOKUP(D943,'Jer-Tip-Emp'!B:G,6,0)</f>
        <v>Combo</v>
      </c>
    </row>
    <row r="944" spans="1:15" ht="27.5" customHeight="1" x14ac:dyDescent="0.2">
      <c r="A944">
        <v>2025</v>
      </c>
      <c r="B944" t="s">
        <v>613</v>
      </c>
      <c r="C944" t="s">
        <v>595</v>
      </c>
      <c r="D944" s="19" t="s">
        <v>313</v>
      </c>
      <c r="E944" s="18" t="s">
        <v>540</v>
      </c>
      <c r="F944" s="18">
        <v>11</v>
      </c>
      <c r="G944" s="18">
        <v>0</v>
      </c>
      <c r="H944" s="18">
        <v>0</v>
      </c>
      <c r="I944" s="20">
        <v>60401</v>
      </c>
      <c r="J944" s="8">
        <f t="shared" si="42"/>
        <v>-60401</v>
      </c>
      <c r="K944" s="10">
        <f t="shared" si="43"/>
        <v>0</v>
      </c>
      <c r="L944" s="17">
        <f t="shared" si="44"/>
        <v>0</v>
      </c>
      <c r="M944" t="str">
        <f>VLOOKUP(D944,'Jer-Tip-Emp'!B:E,4,0)</f>
        <v>Arma tu plato</v>
      </c>
      <c r="N944" t="str">
        <f>VLOOKUP(D944,'Jer-Tip-Emp'!B:F,5,0)</f>
        <v>Personal</v>
      </c>
      <c r="O944" t="str">
        <f>VLOOKUP(D944,'Jer-Tip-Emp'!B:G,6,0)</f>
        <v>Caja</v>
      </c>
    </row>
    <row r="945" spans="1:15" ht="27.5" hidden="1" customHeight="1" x14ac:dyDescent="0.2">
      <c r="A945">
        <v>2025</v>
      </c>
      <c r="B945" t="s">
        <v>613</v>
      </c>
      <c r="C945" t="s">
        <v>595</v>
      </c>
      <c r="D945" s="19" t="s">
        <v>403</v>
      </c>
      <c r="E945" s="18" t="s">
        <v>45</v>
      </c>
      <c r="F945" s="18">
        <v>10</v>
      </c>
      <c r="G945" s="20">
        <v>97735</v>
      </c>
      <c r="H945" s="20">
        <v>-1265</v>
      </c>
      <c r="I945" s="20">
        <v>45010</v>
      </c>
      <c r="J945" s="8">
        <f t="shared" si="42"/>
        <v>52725</v>
      </c>
      <c r="K945" s="10">
        <f t="shared" si="43"/>
        <v>0.53946897222080115</v>
      </c>
      <c r="L945" s="17">
        <f t="shared" si="44"/>
        <v>1.2943162633652222E-2</v>
      </c>
      <c r="M945" t="str">
        <f>VLOOKUP(D945,'Jer-Tip-Emp'!B:E,4,0)</f>
        <v>Bebidas</v>
      </c>
      <c r="N945" t="str">
        <f>VLOOKUP(D945,'Jer-Tip-Emp'!B:F,5,0)</f>
        <v>Bebidas</v>
      </c>
      <c r="O945" t="str">
        <f>VLOOKUP(D945,'Jer-Tip-Emp'!B:G,6,0)</f>
        <v>Bebidas</v>
      </c>
    </row>
    <row r="946" spans="1:15" ht="27.5" customHeight="1" x14ac:dyDescent="0.2">
      <c r="A946">
        <v>2025</v>
      </c>
      <c r="B946" t="s">
        <v>613</v>
      </c>
      <c r="C946" t="s">
        <v>595</v>
      </c>
      <c r="D946" s="19" t="s">
        <v>376</v>
      </c>
      <c r="E946" s="18" t="s">
        <v>543</v>
      </c>
      <c r="F946" s="18">
        <v>9</v>
      </c>
      <c r="G946" s="18">
        <v>0</v>
      </c>
      <c r="H946" s="18">
        <v>0</v>
      </c>
      <c r="I946" s="20">
        <v>11538</v>
      </c>
      <c r="J946" s="8">
        <f t="shared" si="42"/>
        <v>-11538</v>
      </c>
      <c r="K946" s="10">
        <f t="shared" si="43"/>
        <v>0</v>
      </c>
      <c r="L946" s="17">
        <f t="shared" si="44"/>
        <v>0</v>
      </c>
      <c r="M946" t="str">
        <f>VLOOKUP(D946,'Jer-Tip-Emp'!B:E,4,0)</f>
        <v>Arma tu plato</v>
      </c>
      <c r="N946" t="str">
        <f>VLOOKUP(D946,'Jer-Tip-Emp'!B:F,5,0)</f>
        <v>Personal</v>
      </c>
      <c r="O946" t="str">
        <f>VLOOKUP(D946,'Jer-Tip-Emp'!B:G,6,0)</f>
        <v>Caja</v>
      </c>
    </row>
    <row r="947" spans="1:15" ht="27.5" hidden="1" customHeight="1" x14ac:dyDescent="0.2">
      <c r="A947">
        <v>2025</v>
      </c>
      <c r="B947" t="s">
        <v>613</v>
      </c>
      <c r="C947" t="s">
        <v>595</v>
      </c>
      <c r="D947" s="19" t="s">
        <v>310</v>
      </c>
      <c r="E947" s="18" t="s">
        <v>53</v>
      </c>
      <c r="F947" s="18">
        <v>9</v>
      </c>
      <c r="G947" s="20">
        <v>53100</v>
      </c>
      <c r="H947" s="18">
        <v>0</v>
      </c>
      <c r="I947" s="20">
        <v>15255</v>
      </c>
      <c r="J947" s="8">
        <f t="shared" si="42"/>
        <v>37845</v>
      </c>
      <c r="K947" s="10">
        <f t="shared" si="43"/>
        <v>0.71271186440677969</v>
      </c>
      <c r="L947" s="17">
        <f t="shared" si="44"/>
        <v>0</v>
      </c>
      <c r="M947" t="str">
        <f>VLOOKUP(D947,'Jer-Tip-Emp'!B:E,4,0)</f>
        <v>Bebidas</v>
      </c>
      <c r="N947" t="str">
        <f>VLOOKUP(D947,'Jer-Tip-Emp'!B:F,5,0)</f>
        <v>Bebidas</v>
      </c>
      <c r="O947" t="str">
        <f>VLOOKUP(D947,'Jer-Tip-Emp'!B:G,6,0)</f>
        <v>Bebidas</v>
      </c>
    </row>
    <row r="948" spans="1:15" ht="27.5" customHeight="1" x14ac:dyDescent="0.2">
      <c r="A948">
        <v>2025</v>
      </c>
      <c r="B948" t="s">
        <v>613</v>
      </c>
      <c r="C948" t="s">
        <v>595</v>
      </c>
      <c r="D948" s="19" t="s">
        <v>232</v>
      </c>
      <c r="E948" s="18" t="s">
        <v>94</v>
      </c>
      <c r="F948" s="18">
        <v>9</v>
      </c>
      <c r="G948" s="20">
        <v>205971</v>
      </c>
      <c r="H948" s="18">
        <v>-129</v>
      </c>
      <c r="I948" s="20">
        <v>84636</v>
      </c>
      <c r="J948" s="8">
        <f t="shared" si="42"/>
        <v>121335</v>
      </c>
      <c r="K948" s="10">
        <f t="shared" si="43"/>
        <v>0.58908778420263042</v>
      </c>
      <c r="L948" s="17">
        <f t="shared" si="44"/>
        <v>6.2630176092750916E-4</v>
      </c>
      <c r="M948" t="str">
        <f>VLOOKUP(D948,'Jer-Tip-Emp'!B:E,4,0)</f>
        <v>Platos mong</v>
      </c>
      <c r="N948" t="str">
        <f>VLOOKUP(D948,'Jer-Tip-Emp'!B:F,5,0)</f>
        <v>Personal</v>
      </c>
      <c r="O948" t="str">
        <f>VLOOKUP(D948,'Jer-Tip-Emp'!B:G,6,0)</f>
        <v>Caja</v>
      </c>
    </row>
    <row r="949" spans="1:15" ht="27.5" customHeight="1" x14ac:dyDescent="0.2">
      <c r="A949">
        <v>2025</v>
      </c>
      <c r="B949" t="s">
        <v>613</v>
      </c>
      <c r="C949" t="s">
        <v>595</v>
      </c>
      <c r="D949" s="19" t="s">
        <v>333</v>
      </c>
      <c r="E949" s="18" t="s">
        <v>547</v>
      </c>
      <c r="F949" s="18">
        <v>9</v>
      </c>
      <c r="G949" s="18">
        <v>0</v>
      </c>
      <c r="H949" s="18">
        <v>0</v>
      </c>
      <c r="I949" s="20">
        <v>29898</v>
      </c>
      <c r="J949" s="8">
        <f t="shared" si="42"/>
        <v>-29898</v>
      </c>
      <c r="K949" s="10">
        <f t="shared" si="43"/>
        <v>0</v>
      </c>
      <c r="L949" s="17">
        <f t="shared" si="44"/>
        <v>0</v>
      </c>
      <c r="M949" t="str">
        <f>VLOOKUP(D949,'Jer-Tip-Emp'!B:E,4,0)</f>
        <v>Arma tu plato</v>
      </c>
      <c r="N949" t="str">
        <f>VLOOKUP(D949,'Jer-Tip-Emp'!B:F,5,0)</f>
        <v>Personal</v>
      </c>
      <c r="O949" t="str">
        <f>VLOOKUP(D949,'Jer-Tip-Emp'!B:G,6,0)</f>
        <v>Caja</v>
      </c>
    </row>
    <row r="950" spans="1:15" ht="27.5" customHeight="1" x14ac:dyDescent="0.2">
      <c r="A950">
        <v>2025</v>
      </c>
      <c r="B950" t="s">
        <v>613</v>
      </c>
      <c r="C950" t="s">
        <v>595</v>
      </c>
      <c r="D950" s="19" t="s">
        <v>180</v>
      </c>
      <c r="E950" s="18" t="s">
        <v>128</v>
      </c>
      <c r="F950" s="18">
        <v>8</v>
      </c>
      <c r="G950" s="20">
        <v>167081</v>
      </c>
      <c r="H950" s="18">
        <v>-119</v>
      </c>
      <c r="I950" s="20">
        <v>54704</v>
      </c>
      <c r="J950" s="8">
        <f t="shared" si="42"/>
        <v>112377</v>
      </c>
      <c r="K950" s="10">
        <f t="shared" si="43"/>
        <v>0.67258994140566553</v>
      </c>
      <c r="L950" s="17">
        <f t="shared" si="44"/>
        <v>7.122293977172749E-4</v>
      </c>
      <c r="M950" t="str">
        <f>VLOOKUP(D950,'Jer-Tip-Emp'!B:E,4,0)</f>
        <v>Platos mong</v>
      </c>
      <c r="N950" t="str">
        <f>VLOOKUP(D950,'Jer-Tip-Emp'!B:F,5,0)</f>
        <v>Personal</v>
      </c>
      <c r="O950" t="str">
        <f>VLOOKUP(D950,'Jer-Tip-Emp'!B:G,6,0)</f>
        <v>Caja</v>
      </c>
    </row>
    <row r="951" spans="1:15" ht="27.5" hidden="1" customHeight="1" x14ac:dyDescent="0.2">
      <c r="A951">
        <v>2025</v>
      </c>
      <c r="B951" t="s">
        <v>613</v>
      </c>
      <c r="C951" t="s">
        <v>595</v>
      </c>
      <c r="D951" s="19" t="s">
        <v>189</v>
      </c>
      <c r="E951" s="18" t="s">
        <v>21</v>
      </c>
      <c r="F951" s="18">
        <v>8</v>
      </c>
      <c r="G951" s="20">
        <v>55082</v>
      </c>
      <c r="H951" s="18">
        <v>-118</v>
      </c>
      <c r="I951" s="20">
        <v>19712</v>
      </c>
      <c r="J951" s="8">
        <f t="shared" si="42"/>
        <v>35370</v>
      </c>
      <c r="K951" s="10">
        <f t="shared" si="43"/>
        <v>0.6421335463490796</v>
      </c>
      <c r="L951" s="17">
        <f t="shared" si="44"/>
        <v>2.1422606296067682E-3</v>
      </c>
      <c r="M951" t="str">
        <f>VLOOKUP(D951,'Jer-Tip-Emp'!B:E,4,0)</f>
        <v>Adición</v>
      </c>
      <c r="N951" t="str">
        <f>VLOOKUP(D951,'Jer-Tip-Emp'!B:F,5,0)</f>
        <v>Adición</v>
      </c>
      <c r="O951" t="str">
        <f>VLOOKUP(D951,'Jer-Tip-Emp'!B:G,6,0)</f>
        <v>Adición</v>
      </c>
    </row>
    <row r="952" spans="1:15" ht="27.5" customHeight="1" x14ac:dyDescent="0.2">
      <c r="A952">
        <v>2025</v>
      </c>
      <c r="B952" t="s">
        <v>613</v>
      </c>
      <c r="C952" t="s">
        <v>595</v>
      </c>
      <c r="D952" s="19" t="s">
        <v>196</v>
      </c>
      <c r="E952" s="18" t="s">
        <v>159</v>
      </c>
      <c r="F952" s="18">
        <v>8</v>
      </c>
      <c r="G952" s="20">
        <v>207200</v>
      </c>
      <c r="H952" s="18">
        <v>0</v>
      </c>
      <c r="I952" s="20">
        <v>76008</v>
      </c>
      <c r="J952" s="8">
        <f t="shared" si="42"/>
        <v>131192</v>
      </c>
      <c r="K952" s="10">
        <f t="shared" si="43"/>
        <v>0.63316602316602322</v>
      </c>
      <c r="L952" s="17">
        <f t="shared" si="44"/>
        <v>0</v>
      </c>
      <c r="M952" t="str">
        <f>VLOOKUP(D952,'Jer-Tip-Emp'!B:E,4,0)</f>
        <v>Combos personales</v>
      </c>
      <c r="N952" t="str">
        <f>VLOOKUP(D952,'Jer-Tip-Emp'!B:F,5,0)</f>
        <v>Personal</v>
      </c>
      <c r="O952" t="str">
        <f>VLOOKUP(D952,'Jer-Tip-Emp'!B:G,6,0)</f>
        <v>Combo</v>
      </c>
    </row>
    <row r="953" spans="1:15" ht="27.5" customHeight="1" x14ac:dyDescent="0.2">
      <c r="A953">
        <v>2025</v>
      </c>
      <c r="B953" t="s">
        <v>613</v>
      </c>
      <c r="C953" t="s">
        <v>595</v>
      </c>
      <c r="D953" s="19" t="s">
        <v>322</v>
      </c>
      <c r="E953" s="18" t="s">
        <v>545</v>
      </c>
      <c r="F953" s="18">
        <v>7</v>
      </c>
      <c r="G953" s="20">
        <v>13392</v>
      </c>
      <c r="H953" s="18">
        <v>-608</v>
      </c>
      <c r="I953" s="20">
        <v>21756</v>
      </c>
      <c r="J953" s="8">
        <f t="shared" si="42"/>
        <v>-8364</v>
      </c>
      <c r="K953" s="10">
        <f t="shared" si="43"/>
        <v>-0.62455197132616491</v>
      </c>
      <c r="L953" s="17">
        <f t="shared" si="44"/>
        <v>4.5400238948626048E-2</v>
      </c>
      <c r="M953" t="str">
        <f>VLOOKUP(D953,'Jer-Tip-Emp'!B:E,4,0)</f>
        <v>Arma tu plato</v>
      </c>
      <c r="N953" t="str">
        <f>VLOOKUP(D953,'Jer-Tip-Emp'!B:F,5,0)</f>
        <v>Personal</v>
      </c>
      <c r="O953" t="str">
        <f>VLOOKUP(D953,'Jer-Tip-Emp'!B:G,6,0)</f>
        <v>Caja</v>
      </c>
    </row>
    <row r="954" spans="1:15" ht="27.5" customHeight="1" x14ac:dyDescent="0.2">
      <c r="A954">
        <v>2025</v>
      </c>
      <c r="B954" t="s">
        <v>613</v>
      </c>
      <c r="C954" t="s">
        <v>595</v>
      </c>
      <c r="D954" s="19" t="s">
        <v>212</v>
      </c>
      <c r="E954" s="18" t="s">
        <v>160</v>
      </c>
      <c r="F954" s="18">
        <v>7</v>
      </c>
      <c r="G954" s="20">
        <v>198037</v>
      </c>
      <c r="H954" s="20">
        <v>-4263</v>
      </c>
      <c r="I954" s="20">
        <v>78771</v>
      </c>
      <c r="J954" s="8">
        <f t="shared" si="42"/>
        <v>119266</v>
      </c>
      <c r="K954" s="10">
        <f t="shared" si="43"/>
        <v>0.60224099536955211</v>
      </c>
      <c r="L954" s="17">
        <f t="shared" si="44"/>
        <v>2.1526280442543566E-2</v>
      </c>
      <c r="M954" t="str">
        <f>VLOOKUP(D954,'Jer-Tip-Emp'!B:E,4,0)</f>
        <v>Combos personales</v>
      </c>
      <c r="N954" t="str">
        <f>VLOOKUP(D954,'Jer-Tip-Emp'!B:F,5,0)</f>
        <v>Personal</v>
      </c>
      <c r="O954" t="str">
        <f>VLOOKUP(D954,'Jer-Tip-Emp'!B:G,6,0)</f>
        <v>Combo</v>
      </c>
    </row>
    <row r="955" spans="1:15" ht="27.5" customHeight="1" x14ac:dyDescent="0.2">
      <c r="A955">
        <v>2025</v>
      </c>
      <c r="B955" t="s">
        <v>613</v>
      </c>
      <c r="C955" t="s">
        <v>595</v>
      </c>
      <c r="D955" s="19" t="s">
        <v>297</v>
      </c>
      <c r="E955" s="18" t="s">
        <v>131</v>
      </c>
      <c r="F955" s="18">
        <v>7</v>
      </c>
      <c r="G955" s="20">
        <v>122601</v>
      </c>
      <c r="H955" s="20">
        <v>-9699</v>
      </c>
      <c r="I955" s="20">
        <v>38227</v>
      </c>
      <c r="J955" s="8">
        <f t="shared" si="42"/>
        <v>84374</v>
      </c>
      <c r="K955" s="10">
        <f t="shared" si="43"/>
        <v>0.6881999331163694</v>
      </c>
      <c r="L955" s="17">
        <f t="shared" si="44"/>
        <v>7.9110284581691837E-2</v>
      </c>
      <c r="M955" t="str">
        <f>VLOOKUP(D955,'Jer-Tip-Emp'!B:E,4,0)</f>
        <v>Platos mong</v>
      </c>
      <c r="N955" t="str">
        <f>VLOOKUP(D955,'Jer-Tip-Emp'!B:F,5,0)</f>
        <v>Personal</v>
      </c>
      <c r="O955" t="str">
        <f>VLOOKUP(D955,'Jer-Tip-Emp'!B:G,6,0)</f>
        <v>Caja</v>
      </c>
    </row>
    <row r="956" spans="1:15" ht="27.5" customHeight="1" x14ac:dyDescent="0.2">
      <c r="A956">
        <v>2025</v>
      </c>
      <c r="B956" t="s">
        <v>613</v>
      </c>
      <c r="C956" t="s">
        <v>595</v>
      </c>
      <c r="D956" s="19" t="s">
        <v>241</v>
      </c>
      <c r="E956" s="18" t="s">
        <v>107</v>
      </c>
      <c r="F956" s="18">
        <v>7</v>
      </c>
      <c r="G956" s="20">
        <v>532065</v>
      </c>
      <c r="H956" s="20">
        <v>-41235</v>
      </c>
      <c r="I956" s="20">
        <v>298928</v>
      </c>
      <c r="J956" s="8">
        <f t="shared" si="42"/>
        <v>233137</v>
      </c>
      <c r="K956" s="10">
        <f t="shared" si="43"/>
        <v>0.43817390732335337</v>
      </c>
      <c r="L956" s="17">
        <f t="shared" si="44"/>
        <v>7.7499929519889488E-2</v>
      </c>
      <c r="M956" t="str">
        <f>VLOOKUP(D956,'Jer-Tip-Emp'!B:E,4,0)</f>
        <v>Platos mong</v>
      </c>
      <c r="N956" t="str">
        <f>VLOOKUP(D956,'Jer-Tip-Emp'!B:F,5,0)</f>
        <v>No Personal</v>
      </c>
      <c r="O956" t="str">
        <f>VLOOKUP(D956,'Jer-Tip-Emp'!B:G,6,0)</f>
        <v>Caja</v>
      </c>
    </row>
    <row r="957" spans="1:15" ht="27.5" customHeight="1" x14ac:dyDescent="0.2">
      <c r="A957">
        <v>2025</v>
      </c>
      <c r="B957" t="s">
        <v>613</v>
      </c>
      <c r="C957" t="s">
        <v>595</v>
      </c>
      <c r="D957" s="19" t="s">
        <v>202</v>
      </c>
      <c r="E957" s="18" t="s">
        <v>142</v>
      </c>
      <c r="F957" s="18">
        <v>6</v>
      </c>
      <c r="G957" s="20">
        <v>203400</v>
      </c>
      <c r="H957" s="18">
        <v>0</v>
      </c>
      <c r="I957" s="20">
        <v>85386</v>
      </c>
      <c r="J957" s="8">
        <f t="shared" si="42"/>
        <v>118014</v>
      </c>
      <c r="K957" s="10">
        <f t="shared" si="43"/>
        <v>0.58020648967551625</v>
      </c>
      <c r="L957" s="17">
        <f t="shared" si="44"/>
        <v>0</v>
      </c>
      <c r="M957" t="str">
        <f>VLOOKUP(D957,'Jer-Tip-Emp'!B:E,4,0)</f>
        <v>Platos mong</v>
      </c>
      <c r="N957" t="str">
        <f>VLOOKUP(D957,'Jer-Tip-Emp'!B:F,5,0)</f>
        <v>No Personal</v>
      </c>
      <c r="O957" t="str">
        <f>VLOOKUP(D957,'Jer-Tip-Emp'!B:G,6,0)</f>
        <v>Caja</v>
      </c>
    </row>
    <row r="958" spans="1:15" ht="27.5" customHeight="1" x14ac:dyDescent="0.2">
      <c r="A958">
        <v>2025</v>
      </c>
      <c r="B958" t="s">
        <v>613</v>
      </c>
      <c r="C958" t="s">
        <v>595</v>
      </c>
      <c r="D958" s="19" t="s">
        <v>245</v>
      </c>
      <c r="E958" s="18" t="s">
        <v>167</v>
      </c>
      <c r="F958" s="18">
        <v>5</v>
      </c>
      <c r="G958" s="20">
        <v>96500</v>
      </c>
      <c r="H958" s="20">
        <v>-3000</v>
      </c>
      <c r="I958" s="18">
        <v>0</v>
      </c>
      <c r="J958" s="8">
        <f t="shared" si="42"/>
        <v>96500</v>
      </c>
      <c r="K958" s="10">
        <f t="shared" si="43"/>
        <v>1</v>
      </c>
      <c r="L958" s="17">
        <f t="shared" si="44"/>
        <v>3.1088082901554404E-2</v>
      </c>
      <c r="M958" t="str">
        <f>VLOOKUP(D958,'Jer-Tip-Emp'!B:E,4,0)</f>
        <v>Mong Express</v>
      </c>
      <c r="N958" t="str">
        <f>VLOOKUP(D958,'Jer-Tip-Emp'!B:F,5,0)</f>
        <v>Personal</v>
      </c>
      <c r="O958" t="str">
        <f>VLOOKUP(D958,'Jer-Tip-Emp'!B:G,6,0)</f>
        <v>Caja</v>
      </c>
    </row>
    <row r="959" spans="1:15" ht="27.5" customHeight="1" x14ac:dyDescent="0.2">
      <c r="A959">
        <v>2025</v>
      </c>
      <c r="B959" t="s">
        <v>613</v>
      </c>
      <c r="C959" t="s">
        <v>595</v>
      </c>
      <c r="D959" s="19" t="s">
        <v>240</v>
      </c>
      <c r="E959" s="18" t="s">
        <v>139</v>
      </c>
      <c r="F959" s="18">
        <v>5</v>
      </c>
      <c r="G959" s="20">
        <v>209500</v>
      </c>
      <c r="H959" s="18">
        <v>0</v>
      </c>
      <c r="I959" s="20">
        <v>121275</v>
      </c>
      <c r="J959" s="8">
        <f t="shared" si="42"/>
        <v>88225</v>
      </c>
      <c r="K959" s="10">
        <f t="shared" si="43"/>
        <v>0.42112171837708828</v>
      </c>
      <c r="L959" s="17">
        <f t="shared" si="44"/>
        <v>0</v>
      </c>
      <c r="M959" t="str">
        <f>VLOOKUP(D959,'Jer-Tip-Emp'!B:E,4,0)</f>
        <v>Platos mong</v>
      </c>
      <c r="N959" t="str">
        <f>VLOOKUP(D959,'Jer-Tip-Emp'!B:F,5,0)</f>
        <v>No Personal</v>
      </c>
      <c r="O959" t="str">
        <f>VLOOKUP(D959,'Jer-Tip-Emp'!B:G,6,0)</f>
        <v>Caja</v>
      </c>
    </row>
    <row r="960" spans="1:15" ht="27.5" customHeight="1" x14ac:dyDescent="0.2">
      <c r="A960">
        <v>2025</v>
      </c>
      <c r="B960" t="s">
        <v>613</v>
      </c>
      <c r="C960" t="s">
        <v>595</v>
      </c>
      <c r="D960" s="19" t="s">
        <v>285</v>
      </c>
      <c r="E960" s="18" t="s">
        <v>146</v>
      </c>
      <c r="F960" s="18">
        <v>5</v>
      </c>
      <c r="G960" s="20">
        <v>109500</v>
      </c>
      <c r="H960" s="18">
        <v>0</v>
      </c>
      <c r="I960" s="20">
        <v>42320</v>
      </c>
      <c r="J960" s="8">
        <f t="shared" si="42"/>
        <v>67180</v>
      </c>
      <c r="K960" s="10">
        <f t="shared" si="43"/>
        <v>0.61351598173515987</v>
      </c>
      <c r="L960" s="17">
        <f t="shared" si="44"/>
        <v>0</v>
      </c>
      <c r="M960" t="str">
        <f>VLOOKUP(D960,'Jer-Tip-Emp'!B:E,4,0)</f>
        <v>Platos mong</v>
      </c>
      <c r="N960" t="str">
        <f>VLOOKUP(D960,'Jer-Tip-Emp'!B:F,5,0)</f>
        <v>Personal</v>
      </c>
      <c r="O960" t="str">
        <f>VLOOKUP(D960,'Jer-Tip-Emp'!B:G,6,0)</f>
        <v>Caja</v>
      </c>
    </row>
    <row r="961" spans="1:15" ht="27.5" customHeight="1" x14ac:dyDescent="0.2">
      <c r="A961">
        <v>2025</v>
      </c>
      <c r="B961" t="s">
        <v>613</v>
      </c>
      <c r="C961" t="s">
        <v>595</v>
      </c>
      <c r="D961" s="19" t="s">
        <v>178</v>
      </c>
      <c r="E961" s="18" t="s">
        <v>145</v>
      </c>
      <c r="F961" s="18">
        <v>5</v>
      </c>
      <c r="G961" s="20">
        <v>407363</v>
      </c>
      <c r="H961" s="20">
        <v>-22137</v>
      </c>
      <c r="I961" s="20">
        <v>243040</v>
      </c>
      <c r="J961" s="8">
        <f t="shared" ref="J961:J1024" si="45">G961-I961</f>
        <v>164323</v>
      </c>
      <c r="K961" s="10">
        <f t="shared" ref="K961:K1024" si="46">IFERROR(J961/G961,0)</f>
        <v>0.40338224139158441</v>
      </c>
      <c r="L961" s="17">
        <f t="shared" ref="L961:L1024" si="47">IFERROR((H961/G961)*-1,0)</f>
        <v>5.434219602663963E-2</v>
      </c>
      <c r="M961" t="str">
        <f>VLOOKUP(D961,'Jer-Tip-Emp'!B:E,4,0)</f>
        <v>Platos mong</v>
      </c>
      <c r="N961" t="str">
        <f>VLOOKUP(D961,'Jer-Tip-Emp'!B:F,5,0)</f>
        <v>No Personal</v>
      </c>
      <c r="O961" t="str">
        <f>VLOOKUP(D961,'Jer-Tip-Emp'!B:G,6,0)</f>
        <v>Caja</v>
      </c>
    </row>
    <row r="962" spans="1:15" ht="27.5" customHeight="1" x14ac:dyDescent="0.2">
      <c r="A962">
        <v>2025</v>
      </c>
      <c r="B962" t="s">
        <v>613</v>
      </c>
      <c r="C962" t="s">
        <v>595</v>
      </c>
      <c r="D962" s="19" t="s">
        <v>205</v>
      </c>
      <c r="E962" s="18" t="s">
        <v>141</v>
      </c>
      <c r="F962" s="18">
        <v>5</v>
      </c>
      <c r="G962" s="20">
        <v>79500</v>
      </c>
      <c r="H962" s="18">
        <v>0</v>
      </c>
      <c r="I962" s="20">
        <v>30320</v>
      </c>
      <c r="J962" s="8">
        <f t="shared" si="45"/>
        <v>49180</v>
      </c>
      <c r="K962" s="10">
        <f t="shared" si="46"/>
        <v>0.61861635220125788</v>
      </c>
      <c r="L962" s="17">
        <f t="shared" si="47"/>
        <v>0</v>
      </c>
      <c r="M962" t="str">
        <f>VLOOKUP(D962,'Jer-Tip-Emp'!B:E,4,0)</f>
        <v>Platos mong</v>
      </c>
      <c r="N962" t="str">
        <f>VLOOKUP(D962,'Jer-Tip-Emp'!B:F,5,0)</f>
        <v>Personal</v>
      </c>
      <c r="O962" t="str">
        <f>VLOOKUP(D962,'Jer-Tip-Emp'!B:G,6,0)</f>
        <v>Caja</v>
      </c>
    </row>
    <row r="963" spans="1:15" ht="27.5" hidden="1" customHeight="1" x14ac:dyDescent="0.2">
      <c r="A963">
        <v>2025</v>
      </c>
      <c r="B963" t="s">
        <v>613</v>
      </c>
      <c r="C963" t="s">
        <v>595</v>
      </c>
      <c r="D963" s="19" t="s">
        <v>268</v>
      </c>
      <c r="E963" s="18" t="s">
        <v>17</v>
      </c>
      <c r="F963" s="18">
        <v>4</v>
      </c>
      <c r="G963" s="20">
        <v>21622</v>
      </c>
      <c r="H963" s="20">
        <v>-1978</v>
      </c>
      <c r="I963" s="20">
        <v>5128</v>
      </c>
      <c r="J963" s="8">
        <f t="shared" si="45"/>
        <v>16494</v>
      </c>
      <c r="K963" s="10">
        <f t="shared" si="46"/>
        <v>0.76283415040236791</v>
      </c>
      <c r="L963" s="17">
        <f t="shared" si="47"/>
        <v>9.1480899084266029E-2</v>
      </c>
      <c r="M963" t="str">
        <f>VLOOKUP(D963,'Jer-Tip-Emp'!B:E,4,0)</f>
        <v>Adición</v>
      </c>
      <c r="N963" t="str">
        <f>VLOOKUP(D963,'Jer-Tip-Emp'!B:F,5,0)</f>
        <v>Adición</v>
      </c>
      <c r="O963" t="str">
        <f>VLOOKUP(D963,'Jer-Tip-Emp'!B:G,6,0)</f>
        <v>Adición</v>
      </c>
    </row>
    <row r="964" spans="1:15" ht="27.5" customHeight="1" x14ac:dyDescent="0.2">
      <c r="A964">
        <v>2025</v>
      </c>
      <c r="B964" t="s">
        <v>613</v>
      </c>
      <c r="C964" t="s">
        <v>595</v>
      </c>
      <c r="D964" s="19" t="s">
        <v>266</v>
      </c>
      <c r="E964" s="18" t="s">
        <v>85</v>
      </c>
      <c r="F964" s="18">
        <v>4</v>
      </c>
      <c r="G964" s="20">
        <v>266357</v>
      </c>
      <c r="H964" s="20">
        <v>-13243</v>
      </c>
      <c r="I964" s="20">
        <v>156884</v>
      </c>
      <c r="J964" s="8">
        <f t="shared" si="45"/>
        <v>109473</v>
      </c>
      <c r="K964" s="10">
        <f t="shared" si="46"/>
        <v>0.41100102494021185</v>
      </c>
      <c r="L964" s="17">
        <f t="shared" si="47"/>
        <v>4.971898617269304E-2</v>
      </c>
      <c r="M964" t="str">
        <f>VLOOKUP(D964,'Jer-Tip-Emp'!B:E,4,0)</f>
        <v>Combos para compartir</v>
      </c>
      <c r="N964" t="str">
        <f>VLOOKUP(D964,'Jer-Tip-Emp'!B:F,5,0)</f>
        <v>No Personal</v>
      </c>
      <c r="O964" t="str">
        <f>VLOOKUP(D964,'Jer-Tip-Emp'!B:G,6,0)</f>
        <v>Combo</v>
      </c>
    </row>
    <row r="965" spans="1:15" ht="27.5" customHeight="1" x14ac:dyDescent="0.2">
      <c r="A965">
        <v>2025</v>
      </c>
      <c r="B965" t="s">
        <v>613</v>
      </c>
      <c r="C965" t="s">
        <v>595</v>
      </c>
      <c r="D965" s="19" t="s">
        <v>389</v>
      </c>
      <c r="E965" s="18" t="s">
        <v>541</v>
      </c>
      <c r="F965" s="18">
        <v>4</v>
      </c>
      <c r="G965" s="18">
        <v>0</v>
      </c>
      <c r="H965" s="18">
        <v>0</v>
      </c>
      <c r="I965" s="20">
        <v>21868</v>
      </c>
      <c r="J965" s="8">
        <f t="shared" si="45"/>
        <v>-21868</v>
      </c>
      <c r="K965" s="10">
        <f t="shared" si="46"/>
        <v>0</v>
      </c>
      <c r="L965" s="17">
        <f t="shared" si="47"/>
        <v>0</v>
      </c>
      <c r="M965" t="str">
        <f>VLOOKUP(D965,'Jer-Tip-Emp'!B:E,4,0)</f>
        <v>Arma tu plato</v>
      </c>
      <c r="N965" t="str">
        <f>VLOOKUP(D965,'Jer-Tip-Emp'!B:F,5,0)</f>
        <v>Personal</v>
      </c>
      <c r="O965" t="str">
        <f>VLOOKUP(D965,'Jer-Tip-Emp'!B:G,6,0)</f>
        <v>Caja</v>
      </c>
    </row>
    <row r="966" spans="1:15" ht="27.5" customHeight="1" x14ac:dyDescent="0.2">
      <c r="A966">
        <v>2025</v>
      </c>
      <c r="B966" t="s">
        <v>613</v>
      </c>
      <c r="C966" t="s">
        <v>595</v>
      </c>
      <c r="D966" s="19" t="s">
        <v>293</v>
      </c>
      <c r="E966" s="18" t="s">
        <v>127</v>
      </c>
      <c r="F966" s="18">
        <v>4</v>
      </c>
      <c r="G966" s="20">
        <v>226600</v>
      </c>
      <c r="H966" s="20">
        <v>-5000</v>
      </c>
      <c r="I966" s="20">
        <v>112228</v>
      </c>
      <c r="J966" s="8">
        <f t="shared" si="45"/>
        <v>114372</v>
      </c>
      <c r="K966" s="10">
        <f t="shared" si="46"/>
        <v>0.50473080317740515</v>
      </c>
      <c r="L966" s="17">
        <f t="shared" si="47"/>
        <v>2.2065313327449251E-2</v>
      </c>
      <c r="M966" t="str">
        <f>VLOOKUP(D966,'Jer-Tip-Emp'!B:E,4,0)</f>
        <v>Platos mong</v>
      </c>
      <c r="N966" t="str">
        <f>VLOOKUP(D966,'Jer-Tip-Emp'!B:F,5,0)</f>
        <v>No Personal</v>
      </c>
      <c r="O966" t="str">
        <f>VLOOKUP(D966,'Jer-Tip-Emp'!B:G,6,0)</f>
        <v>Caja</v>
      </c>
    </row>
    <row r="967" spans="1:15" ht="27.5" customHeight="1" x14ac:dyDescent="0.2">
      <c r="A967">
        <v>2025</v>
      </c>
      <c r="B967" t="s">
        <v>613</v>
      </c>
      <c r="C967" t="s">
        <v>595</v>
      </c>
      <c r="D967" s="19" t="s">
        <v>294</v>
      </c>
      <c r="E967" s="18" t="s">
        <v>108</v>
      </c>
      <c r="F967" s="18">
        <v>4</v>
      </c>
      <c r="G967" s="20">
        <v>79600</v>
      </c>
      <c r="H967" s="18">
        <v>0</v>
      </c>
      <c r="I967" s="20">
        <v>32732</v>
      </c>
      <c r="J967" s="8">
        <f t="shared" si="45"/>
        <v>46868</v>
      </c>
      <c r="K967" s="10">
        <f t="shared" si="46"/>
        <v>0.58879396984924626</v>
      </c>
      <c r="L967" s="17">
        <f t="shared" si="47"/>
        <v>0</v>
      </c>
      <c r="M967" t="str">
        <f>VLOOKUP(D967,'Jer-Tip-Emp'!B:E,4,0)</f>
        <v>Mong Express</v>
      </c>
      <c r="N967" t="str">
        <f>VLOOKUP(D967,'Jer-Tip-Emp'!B:F,5,0)</f>
        <v>Personal</v>
      </c>
      <c r="O967" t="str">
        <f>VLOOKUP(D967,'Jer-Tip-Emp'!B:G,6,0)</f>
        <v>Caja</v>
      </c>
    </row>
    <row r="968" spans="1:15" ht="27.5" customHeight="1" x14ac:dyDescent="0.2">
      <c r="A968">
        <v>2025</v>
      </c>
      <c r="B968" t="s">
        <v>613</v>
      </c>
      <c r="C968" t="s">
        <v>595</v>
      </c>
      <c r="D968" s="19" t="s">
        <v>298</v>
      </c>
      <c r="E968" s="18" t="s">
        <v>153</v>
      </c>
      <c r="F968" s="18">
        <v>4</v>
      </c>
      <c r="G968" s="20">
        <v>71241</v>
      </c>
      <c r="H968" s="20">
        <v>-12359</v>
      </c>
      <c r="I968" s="20">
        <v>34084</v>
      </c>
      <c r="J968" s="8">
        <f t="shared" si="45"/>
        <v>37157</v>
      </c>
      <c r="K968" s="10">
        <f t="shared" si="46"/>
        <v>0.52156763661374772</v>
      </c>
      <c r="L968" s="17">
        <f t="shared" si="47"/>
        <v>0.17348156258334385</v>
      </c>
      <c r="M968" t="str">
        <f>VLOOKUP(D968,'Jer-Tip-Emp'!B:E,4,0)</f>
        <v>Platos mong</v>
      </c>
      <c r="N968" t="str">
        <f>VLOOKUP(D968,'Jer-Tip-Emp'!B:F,5,0)</f>
        <v>Personal</v>
      </c>
      <c r="O968" t="str">
        <f>VLOOKUP(D968,'Jer-Tip-Emp'!B:G,6,0)</f>
        <v>Caja</v>
      </c>
    </row>
    <row r="969" spans="1:15" ht="27.5" customHeight="1" x14ac:dyDescent="0.2">
      <c r="A969">
        <v>2025</v>
      </c>
      <c r="B969" t="s">
        <v>613</v>
      </c>
      <c r="C969" t="s">
        <v>595</v>
      </c>
      <c r="D969" s="19" t="s">
        <v>198</v>
      </c>
      <c r="E969" s="18" t="s">
        <v>124</v>
      </c>
      <c r="F969" s="18">
        <v>4</v>
      </c>
      <c r="G969" s="20">
        <v>95600</v>
      </c>
      <c r="H969" s="18">
        <v>0</v>
      </c>
      <c r="I969" s="20">
        <v>35028</v>
      </c>
      <c r="J969" s="8">
        <f t="shared" si="45"/>
        <v>60572</v>
      </c>
      <c r="K969" s="10">
        <f t="shared" si="46"/>
        <v>0.6335983263598326</v>
      </c>
      <c r="L969" s="17">
        <f t="shared" si="47"/>
        <v>0</v>
      </c>
      <c r="M969" t="str">
        <f>VLOOKUP(D969,'Jer-Tip-Emp'!B:E,4,0)</f>
        <v>Platos mong</v>
      </c>
      <c r="N969" t="str">
        <f>VLOOKUP(D969,'Jer-Tip-Emp'!B:F,5,0)</f>
        <v>Personal</v>
      </c>
      <c r="O969" t="str">
        <f>VLOOKUP(D969,'Jer-Tip-Emp'!B:G,6,0)</f>
        <v>Caja</v>
      </c>
    </row>
    <row r="970" spans="1:15" ht="27.5" hidden="1" customHeight="1" x14ac:dyDescent="0.2">
      <c r="A970">
        <v>2025</v>
      </c>
      <c r="B970" t="s">
        <v>613</v>
      </c>
      <c r="C970" t="s">
        <v>595</v>
      </c>
      <c r="D970" s="19" t="s">
        <v>409</v>
      </c>
      <c r="E970" s="18" t="s">
        <v>64</v>
      </c>
      <c r="F970" s="18">
        <v>4</v>
      </c>
      <c r="G970" s="20">
        <v>30755</v>
      </c>
      <c r="H970" s="20">
        <v>-1245</v>
      </c>
      <c r="I970" s="18">
        <v>0</v>
      </c>
      <c r="J970" s="8">
        <f t="shared" si="45"/>
        <v>30755</v>
      </c>
      <c r="K970" s="10">
        <f t="shared" si="46"/>
        <v>1</v>
      </c>
      <c r="L970" s="17">
        <f t="shared" si="47"/>
        <v>4.0481222565436514E-2</v>
      </c>
      <c r="M970" t="str">
        <f>VLOOKUP(D970,'Jer-Tip-Emp'!B:E,4,0)</f>
        <v>Bebidas</v>
      </c>
      <c r="N970" t="str">
        <f>VLOOKUP(D970,'Jer-Tip-Emp'!B:F,5,0)</f>
        <v>Bebidas</v>
      </c>
      <c r="O970" t="str">
        <f>VLOOKUP(D970,'Jer-Tip-Emp'!B:G,6,0)</f>
        <v>Bebidas</v>
      </c>
    </row>
    <row r="971" spans="1:15" ht="27.5" customHeight="1" x14ac:dyDescent="0.2">
      <c r="A971">
        <v>2025</v>
      </c>
      <c r="B971" t="s">
        <v>613</v>
      </c>
      <c r="C971" t="s">
        <v>595</v>
      </c>
      <c r="D971" s="19" t="s">
        <v>279</v>
      </c>
      <c r="E971" s="18" t="s">
        <v>132</v>
      </c>
      <c r="F971" s="18">
        <v>4</v>
      </c>
      <c r="G971" s="20">
        <v>139600</v>
      </c>
      <c r="H971" s="18">
        <v>0</v>
      </c>
      <c r="I971" s="20">
        <v>44868</v>
      </c>
      <c r="J971" s="8">
        <f t="shared" si="45"/>
        <v>94732</v>
      </c>
      <c r="K971" s="10">
        <f t="shared" si="46"/>
        <v>0.67859598853868197</v>
      </c>
      <c r="L971" s="17">
        <f t="shared" si="47"/>
        <v>0</v>
      </c>
      <c r="M971" t="str">
        <f>VLOOKUP(D971,'Jer-Tip-Emp'!B:E,4,0)</f>
        <v>Platos mong</v>
      </c>
      <c r="N971" t="str">
        <f>VLOOKUP(D971,'Jer-Tip-Emp'!B:F,5,0)</f>
        <v>No Personal</v>
      </c>
      <c r="O971" t="str">
        <f>VLOOKUP(D971,'Jer-Tip-Emp'!B:G,6,0)</f>
        <v>Caja</v>
      </c>
    </row>
    <row r="972" spans="1:15" ht="27.5" customHeight="1" x14ac:dyDescent="0.2">
      <c r="A972">
        <v>2025</v>
      </c>
      <c r="B972" t="s">
        <v>613</v>
      </c>
      <c r="C972" t="s">
        <v>595</v>
      </c>
      <c r="D972" s="19" t="s">
        <v>393</v>
      </c>
      <c r="E972" s="18" t="s">
        <v>549</v>
      </c>
      <c r="F972" s="18">
        <v>3</v>
      </c>
      <c r="G972" s="20">
        <v>5392</v>
      </c>
      <c r="H972" s="18">
        <v>-608</v>
      </c>
      <c r="I972" s="20">
        <v>6105</v>
      </c>
      <c r="J972" s="8">
        <f t="shared" si="45"/>
        <v>-713</v>
      </c>
      <c r="K972" s="10">
        <f t="shared" si="46"/>
        <v>-0.13223293768545993</v>
      </c>
      <c r="L972" s="17">
        <f t="shared" si="47"/>
        <v>0.11275964391691394</v>
      </c>
      <c r="M972" t="str">
        <f>VLOOKUP(D972,'Jer-Tip-Emp'!B:E,4,0)</f>
        <v>Arma tu plato</v>
      </c>
      <c r="N972" t="str">
        <f>VLOOKUP(D972,'Jer-Tip-Emp'!B:F,5,0)</f>
        <v>Personal</v>
      </c>
      <c r="O972" t="str">
        <f>VLOOKUP(D972,'Jer-Tip-Emp'!B:G,6,0)</f>
        <v>Caja</v>
      </c>
    </row>
    <row r="973" spans="1:15" ht="27.5" hidden="1" customHeight="1" x14ac:dyDescent="0.2">
      <c r="A973">
        <v>2025</v>
      </c>
      <c r="B973" t="s">
        <v>613</v>
      </c>
      <c r="C973" t="s">
        <v>595</v>
      </c>
      <c r="D973" s="19" t="s">
        <v>309</v>
      </c>
      <c r="E973" s="18" t="s">
        <v>48</v>
      </c>
      <c r="F973" s="18">
        <v>3</v>
      </c>
      <c r="G973" s="20">
        <v>11033</v>
      </c>
      <c r="H973" s="18">
        <v>-667</v>
      </c>
      <c r="I973" s="20">
        <v>3489</v>
      </c>
      <c r="J973" s="8">
        <f t="shared" si="45"/>
        <v>7544</v>
      </c>
      <c r="K973" s="10">
        <f t="shared" si="46"/>
        <v>0.68376688117465789</v>
      </c>
      <c r="L973" s="17">
        <f t="shared" si="47"/>
        <v>6.0454998640442306E-2</v>
      </c>
      <c r="M973" t="str">
        <f>VLOOKUP(D973,'Jer-Tip-Emp'!B:E,4,0)</f>
        <v>Bebidas</v>
      </c>
      <c r="N973" t="str">
        <f>VLOOKUP(D973,'Jer-Tip-Emp'!B:F,5,0)</f>
        <v>Bebidas</v>
      </c>
      <c r="O973" t="str">
        <f>VLOOKUP(D973,'Jer-Tip-Emp'!B:G,6,0)</f>
        <v>Bebidas</v>
      </c>
    </row>
    <row r="974" spans="1:15" ht="27.5" hidden="1" customHeight="1" x14ac:dyDescent="0.2">
      <c r="A974">
        <v>2025</v>
      </c>
      <c r="B974" t="s">
        <v>613</v>
      </c>
      <c r="C974" t="s">
        <v>595</v>
      </c>
      <c r="D974" s="19" t="s">
        <v>262</v>
      </c>
      <c r="E974" s="18" t="s">
        <v>102</v>
      </c>
      <c r="F974" s="18">
        <v>3</v>
      </c>
      <c r="G974" s="20">
        <v>50700</v>
      </c>
      <c r="H974" s="18">
        <v>0</v>
      </c>
      <c r="I974" s="20">
        <v>18645</v>
      </c>
      <c r="J974" s="8">
        <f t="shared" si="45"/>
        <v>32055</v>
      </c>
      <c r="K974" s="10">
        <f t="shared" si="46"/>
        <v>0.63224852071005921</v>
      </c>
      <c r="L974" s="17">
        <f t="shared" si="47"/>
        <v>0</v>
      </c>
      <c r="M974" t="str">
        <f>VLOOKUP(D974,'Jer-Tip-Emp'!B:E,4,0)</f>
        <v>Entradas</v>
      </c>
      <c r="N974" t="str">
        <f>VLOOKUP(D974,'Jer-Tip-Emp'!B:F,5,0)</f>
        <v>Otro</v>
      </c>
      <c r="O974" t="str">
        <f>VLOOKUP(D974,'Jer-Tip-Emp'!B:G,6,0)</f>
        <v>Otro</v>
      </c>
    </row>
    <row r="975" spans="1:15" ht="27.5" customHeight="1" x14ac:dyDescent="0.2">
      <c r="A975">
        <v>2025</v>
      </c>
      <c r="B975" t="s">
        <v>613</v>
      </c>
      <c r="C975" t="s">
        <v>595</v>
      </c>
      <c r="D975" s="19" t="s">
        <v>244</v>
      </c>
      <c r="E975" s="18" t="s">
        <v>113</v>
      </c>
      <c r="F975" s="18">
        <v>3</v>
      </c>
      <c r="G975" s="20">
        <v>86700</v>
      </c>
      <c r="H975" s="18">
        <v>0</v>
      </c>
      <c r="I975" s="20">
        <v>22815</v>
      </c>
      <c r="J975" s="8">
        <f t="shared" si="45"/>
        <v>63885</v>
      </c>
      <c r="K975" s="10">
        <f t="shared" si="46"/>
        <v>0.73685121107266438</v>
      </c>
      <c r="L975" s="17">
        <f t="shared" si="47"/>
        <v>0</v>
      </c>
      <c r="M975" t="str">
        <f>VLOOKUP(D975,'Jer-Tip-Emp'!B:E,4,0)</f>
        <v>Platos especiales</v>
      </c>
      <c r="N975" t="str">
        <f>VLOOKUP(D975,'Jer-Tip-Emp'!B:F,5,0)</f>
        <v>Personal</v>
      </c>
      <c r="O975" t="str">
        <f>VLOOKUP(D975,'Jer-Tip-Emp'!B:G,6,0)</f>
        <v>Platos especiales</v>
      </c>
    </row>
    <row r="976" spans="1:15" ht="27.5" hidden="1" customHeight="1" x14ac:dyDescent="0.2">
      <c r="A976">
        <v>2025</v>
      </c>
      <c r="B976" t="s">
        <v>613</v>
      </c>
      <c r="C976" t="s">
        <v>595</v>
      </c>
      <c r="D976" s="19" t="s">
        <v>193</v>
      </c>
      <c r="E976" s="18" t="s">
        <v>18</v>
      </c>
      <c r="F976" s="18">
        <v>3</v>
      </c>
      <c r="G976" s="20">
        <v>20700</v>
      </c>
      <c r="H976" s="18">
        <v>0</v>
      </c>
      <c r="I976" s="20">
        <v>9324</v>
      </c>
      <c r="J976" s="8">
        <f t="shared" si="45"/>
        <v>11376</v>
      </c>
      <c r="K976" s="10">
        <f t="shared" si="46"/>
        <v>0.54956521739130437</v>
      </c>
      <c r="L976" s="17">
        <f t="shared" si="47"/>
        <v>0</v>
      </c>
      <c r="M976" t="str">
        <f>VLOOKUP(D976,'Jer-Tip-Emp'!B:E,4,0)</f>
        <v>Adición</v>
      </c>
      <c r="N976" t="str">
        <f>VLOOKUP(D976,'Jer-Tip-Emp'!B:F,5,0)</f>
        <v>Adición</v>
      </c>
      <c r="O976" t="str">
        <f>VLOOKUP(D976,'Jer-Tip-Emp'!B:G,6,0)</f>
        <v>Adición</v>
      </c>
    </row>
    <row r="977" spans="1:15" ht="27.5" customHeight="1" x14ac:dyDescent="0.2">
      <c r="A977">
        <v>2025</v>
      </c>
      <c r="B977" t="s">
        <v>613</v>
      </c>
      <c r="C977" t="s">
        <v>595</v>
      </c>
      <c r="D977" s="19" t="s">
        <v>354</v>
      </c>
      <c r="E977" s="18" t="s">
        <v>548</v>
      </c>
      <c r="F977" s="18">
        <v>3</v>
      </c>
      <c r="G977" s="18">
        <v>0</v>
      </c>
      <c r="H977" s="18">
        <v>0</v>
      </c>
      <c r="I977" s="20">
        <v>7902</v>
      </c>
      <c r="J977" s="8">
        <f t="shared" si="45"/>
        <v>-7902</v>
      </c>
      <c r="K977" s="10">
        <f t="shared" si="46"/>
        <v>0</v>
      </c>
      <c r="L977" s="17">
        <f t="shared" si="47"/>
        <v>0</v>
      </c>
      <c r="M977" t="str">
        <f>VLOOKUP(D977,'Jer-Tip-Emp'!B:E,4,0)</f>
        <v>Arma tu plato</v>
      </c>
      <c r="N977" t="str">
        <f>VLOOKUP(D977,'Jer-Tip-Emp'!B:F,5,0)</f>
        <v>Personal</v>
      </c>
      <c r="O977" t="str">
        <f>VLOOKUP(D977,'Jer-Tip-Emp'!B:G,6,0)</f>
        <v>Caja</v>
      </c>
    </row>
    <row r="978" spans="1:15" ht="27.5" hidden="1" customHeight="1" x14ac:dyDescent="0.2">
      <c r="A978">
        <v>2025</v>
      </c>
      <c r="B978" t="s">
        <v>613</v>
      </c>
      <c r="C978" t="s">
        <v>595</v>
      </c>
      <c r="D978" s="19" t="s">
        <v>364</v>
      </c>
      <c r="E978" s="18" t="s">
        <v>51</v>
      </c>
      <c r="F978" s="18">
        <v>3</v>
      </c>
      <c r="G978" s="20">
        <v>10366</v>
      </c>
      <c r="H978" s="20">
        <v>-1334</v>
      </c>
      <c r="I978" s="20">
        <v>3873</v>
      </c>
      <c r="J978" s="8">
        <f t="shared" si="45"/>
        <v>6493</v>
      </c>
      <c r="K978" s="10">
        <f t="shared" si="46"/>
        <v>0.62637468647501449</v>
      </c>
      <c r="L978" s="17">
        <f t="shared" si="47"/>
        <v>0.12868994790661778</v>
      </c>
      <c r="M978" t="str">
        <f>VLOOKUP(D978,'Jer-Tip-Emp'!B:E,4,0)</f>
        <v>Bebidas</v>
      </c>
      <c r="N978" t="str">
        <f>VLOOKUP(D978,'Jer-Tip-Emp'!B:F,5,0)</f>
        <v>Bebidas</v>
      </c>
      <c r="O978" t="str">
        <f>VLOOKUP(D978,'Jer-Tip-Emp'!B:G,6,0)</f>
        <v>Bebidas</v>
      </c>
    </row>
    <row r="979" spans="1:15" ht="27.5" hidden="1" customHeight="1" x14ac:dyDescent="0.2">
      <c r="A979">
        <v>2025</v>
      </c>
      <c r="B979" t="s">
        <v>613</v>
      </c>
      <c r="C979" t="s">
        <v>595</v>
      </c>
      <c r="D979" s="19" t="s">
        <v>327</v>
      </c>
      <c r="E979" s="18" t="s">
        <v>44</v>
      </c>
      <c r="F979" s="18">
        <v>2</v>
      </c>
      <c r="G979" s="20">
        <v>9800</v>
      </c>
      <c r="H979" s="18">
        <v>0</v>
      </c>
      <c r="I979" s="20">
        <v>2190</v>
      </c>
      <c r="J979" s="8">
        <f t="shared" si="45"/>
        <v>7610</v>
      </c>
      <c r="K979" s="10">
        <f t="shared" si="46"/>
        <v>0.77653061224489794</v>
      </c>
      <c r="L979" s="17">
        <f t="shared" si="47"/>
        <v>0</v>
      </c>
      <c r="M979" t="str">
        <f>VLOOKUP(D979,'Jer-Tip-Emp'!B:E,4,0)</f>
        <v>Bebidas</v>
      </c>
      <c r="N979" t="str">
        <f>VLOOKUP(D979,'Jer-Tip-Emp'!B:F,5,0)</f>
        <v>Bebidas</v>
      </c>
      <c r="O979" t="str">
        <f>VLOOKUP(D979,'Jer-Tip-Emp'!B:G,6,0)</f>
        <v>Bebidas</v>
      </c>
    </row>
    <row r="980" spans="1:15" ht="27.5" hidden="1" customHeight="1" x14ac:dyDescent="0.2">
      <c r="A980">
        <v>2025</v>
      </c>
      <c r="B980" t="s">
        <v>613</v>
      </c>
      <c r="C980" t="s">
        <v>595</v>
      </c>
      <c r="D980" s="19" t="s">
        <v>500</v>
      </c>
      <c r="E980" s="18" t="s">
        <v>546</v>
      </c>
      <c r="F980" s="18">
        <v>2</v>
      </c>
      <c r="G980" s="18">
        <v>0</v>
      </c>
      <c r="H980" s="18">
        <v>0</v>
      </c>
      <c r="I980" s="20">
        <v>1736</v>
      </c>
      <c r="J980" s="8">
        <f t="shared" si="45"/>
        <v>-1736</v>
      </c>
      <c r="K980" s="10">
        <f t="shared" si="46"/>
        <v>0</v>
      </c>
      <c r="L980" s="17">
        <f t="shared" si="47"/>
        <v>0</v>
      </c>
      <c r="M980" t="str">
        <f>VLOOKUP(D980,'Jer-Tip-Emp'!B:E,4,0)</f>
        <v>Bebidas</v>
      </c>
      <c r="N980" t="str">
        <f>VLOOKUP(D980,'Jer-Tip-Emp'!B:F,5,0)</f>
        <v>Bebidas Cambio de bebida</v>
      </c>
      <c r="O980" t="str">
        <f>VLOOKUP(D980,'Jer-Tip-Emp'!B:G,6,0)</f>
        <v>Bebidas</v>
      </c>
    </row>
    <row r="981" spans="1:15" ht="27.5" customHeight="1" x14ac:dyDescent="0.2">
      <c r="A981">
        <v>2025</v>
      </c>
      <c r="B981" t="s">
        <v>613</v>
      </c>
      <c r="C981" t="s">
        <v>595</v>
      </c>
      <c r="D981" s="19" t="s">
        <v>246</v>
      </c>
      <c r="E981" s="18" t="s">
        <v>29</v>
      </c>
      <c r="F981" s="18">
        <v>2</v>
      </c>
      <c r="G981" s="20">
        <v>15800</v>
      </c>
      <c r="H981" s="18">
        <v>0</v>
      </c>
      <c r="I981" s="18">
        <v>0</v>
      </c>
      <c r="J981" s="8">
        <f t="shared" si="45"/>
        <v>15800</v>
      </c>
      <c r="K981" s="10">
        <f t="shared" si="46"/>
        <v>1</v>
      </c>
      <c r="L981" s="17">
        <f t="shared" si="47"/>
        <v>0</v>
      </c>
      <c r="M981" t="str">
        <f>VLOOKUP(D981,'Jer-Tip-Emp'!B:E,4,0)</f>
        <v>Armalo en combo</v>
      </c>
      <c r="N981" t="str">
        <f>VLOOKUP(D981,'Jer-Tip-Emp'!B:F,5,0)</f>
        <v>Personal</v>
      </c>
      <c r="O981" t="str">
        <f>VLOOKUP(D981,'Jer-Tip-Emp'!B:G,6,0)</f>
        <v>Combo</v>
      </c>
    </row>
    <row r="982" spans="1:15" ht="27.5" customHeight="1" x14ac:dyDescent="0.2">
      <c r="A982">
        <v>2025</v>
      </c>
      <c r="B982" t="s">
        <v>613</v>
      </c>
      <c r="C982" t="s">
        <v>595</v>
      </c>
      <c r="D982" s="19" t="s">
        <v>470</v>
      </c>
      <c r="E982" s="18" t="s">
        <v>550</v>
      </c>
      <c r="F982" s="18">
        <v>2</v>
      </c>
      <c r="G982" s="18">
        <v>0</v>
      </c>
      <c r="H982" s="18">
        <v>0</v>
      </c>
      <c r="I982" s="20">
        <v>6194</v>
      </c>
      <c r="J982" s="8">
        <f t="shared" si="45"/>
        <v>-6194</v>
      </c>
      <c r="K982" s="10">
        <f t="shared" si="46"/>
        <v>0</v>
      </c>
      <c r="L982" s="17">
        <f t="shared" si="47"/>
        <v>0</v>
      </c>
      <c r="M982" t="str">
        <f>VLOOKUP(D982,'Jer-Tip-Emp'!B:E,4,0)</f>
        <v>Arma tu plato</v>
      </c>
      <c r="N982" t="str">
        <f>VLOOKUP(D982,'Jer-Tip-Emp'!B:F,5,0)</f>
        <v>Personal</v>
      </c>
      <c r="O982" t="str">
        <f>VLOOKUP(D982,'Jer-Tip-Emp'!B:G,6,0)</f>
        <v>Caja</v>
      </c>
    </row>
    <row r="983" spans="1:15" ht="27.5" hidden="1" customHeight="1" x14ac:dyDescent="0.2">
      <c r="A983">
        <v>2025</v>
      </c>
      <c r="B983" t="s">
        <v>613</v>
      </c>
      <c r="C983" t="s">
        <v>595</v>
      </c>
      <c r="D983" s="19" t="s">
        <v>336</v>
      </c>
      <c r="E983" s="18" t="s">
        <v>60</v>
      </c>
      <c r="F983" s="18">
        <v>2</v>
      </c>
      <c r="G983" s="20">
        <v>9800</v>
      </c>
      <c r="H983" s="18">
        <v>0</v>
      </c>
      <c r="I983" s="20">
        <v>3120</v>
      </c>
      <c r="J983" s="8">
        <f t="shared" si="45"/>
        <v>6680</v>
      </c>
      <c r="K983" s="10">
        <f t="shared" si="46"/>
        <v>0.68163265306122445</v>
      </c>
      <c r="L983" s="17">
        <f t="shared" si="47"/>
        <v>0</v>
      </c>
      <c r="M983" t="str">
        <f>VLOOKUP(D983,'Jer-Tip-Emp'!B:E,4,0)</f>
        <v>Bebidas</v>
      </c>
      <c r="N983" t="str">
        <f>VLOOKUP(D983,'Jer-Tip-Emp'!B:F,5,0)</f>
        <v>Bebidas</v>
      </c>
      <c r="O983" t="str">
        <f>VLOOKUP(D983,'Jer-Tip-Emp'!B:G,6,0)</f>
        <v>Bebidas</v>
      </c>
    </row>
    <row r="984" spans="1:15" ht="27.5" customHeight="1" x14ac:dyDescent="0.2">
      <c r="A984">
        <v>2025</v>
      </c>
      <c r="B984" t="s">
        <v>613</v>
      </c>
      <c r="C984" t="s">
        <v>595</v>
      </c>
      <c r="D984" s="19" t="s">
        <v>265</v>
      </c>
      <c r="E984" s="18" t="s">
        <v>140</v>
      </c>
      <c r="F984" s="18">
        <v>2</v>
      </c>
      <c r="G984" s="20">
        <v>127800</v>
      </c>
      <c r="H984" s="18">
        <v>0</v>
      </c>
      <c r="I984" s="20">
        <v>64358</v>
      </c>
      <c r="J984" s="8">
        <f t="shared" si="45"/>
        <v>63442</v>
      </c>
      <c r="K984" s="10">
        <f t="shared" si="46"/>
        <v>0.49641627543035993</v>
      </c>
      <c r="L984" s="17">
        <f t="shared" si="47"/>
        <v>0</v>
      </c>
      <c r="M984" t="str">
        <f>VLOOKUP(D984,'Jer-Tip-Emp'!B:E,4,0)</f>
        <v>Platos mong</v>
      </c>
      <c r="N984" t="str">
        <f>VLOOKUP(D984,'Jer-Tip-Emp'!B:F,5,0)</f>
        <v>No Personal</v>
      </c>
      <c r="O984" t="str">
        <f>VLOOKUP(D984,'Jer-Tip-Emp'!B:G,6,0)</f>
        <v>Caja</v>
      </c>
    </row>
    <row r="985" spans="1:15" ht="27.5" customHeight="1" x14ac:dyDescent="0.2">
      <c r="A985">
        <v>2025</v>
      </c>
      <c r="B985" t="s">
        <v>613</v>
      </c>
      <c r="C985" t="s">
        <v>595</v>
      </c>
      <c r="D985" s="19" t="s">
        <v>206</v>
      </c>
      <c r="E985" s="18" t="s">
        <v>117</v>
      </c>
      <c r="F985" s="18">
        <v>2</v>
      </c>
      <c r="G985" s="20">
        <v>33800</v>
      </c>
      <c r="H985" s="18">
        <v>0</v>
      </c>
      <c r="I985" s="20">
        <v>14250</v>
      </c>
      <c r="J985" s="8">
        <f t="shared" si="45"/>
        <v>19550</v>
      </c>
      <c r="K985" s="10">
        <f t="shared" si="46"/>
        <v>0.57840236686390534</v>
      </c>
      <c r="L985" s="17">
        <f t="shared" si="47"/>
        <v>0</v>
      </c>
      <c r="M985" t="str">
        <f>VLOOKUP(D985,'Jer-Tip-Emp'!B:E,4,0)</f>
        <v>Platos especiales</v>
      </c>
      <c r="N985" t="str">
        <f>VLOOKUP(D985,'Jer-Tip-Emp'!B:F,5,0)</f>
        <v>Personal</v>
      </c>
      <c r="O985" t="str">
        <f>VLOOKUP(D985,'Jer-Tip-Emp'!B:G,6,0)</f>
        <v>Platos especiales</v>
      </c>
    </row>
    <row r="986" spans="1:15" ht="27.5" hidden="1" customHeight="1" x14ac:dyDescent="0.2">
      <c r="A986">
        <v>2025</v>
      </c>
      <c r="B986" t="s">
        <v>613</v>
      </c>
      <c r="C986" t="s">
        <v>595</v>
      </c>
      <c r="D986" s="19" t="s">
        <v>176</v>
      </c>
      <c r="E986" s="18" t="s">
        <v>544</v>
      </c>
      <c r="F986" s="18">
        <v>2</v>
      </c>
      <c r="G986" s="20">
        <v>2000</v>
      </c>
      <c r="H986" s="18">
        <v>0</v>
      </c>
      <c r="I986" s="20">
        <v>3890</v>
      </c>
      <c r="J986" s="8">
        <f t="shared" si="45"/>
        <v>-1890</v>
      </c>
      <c r="K986" s="10">
        <f t="shared" si="46"/>
        <v>-0.94499999999999995</v>
      </c>
      <c r="L986" s="17">
        <f t="shared" si="47"/>
        <v>0</v>
      </c>
      <c r="M986" t="str">
        <f>VLOOKUP(D986,'Jer-Tip-Emp'!B:E,4,0)</f>
        <v>Bebidas</v>
      </c>
      <c r="N986" t="str">
        <f>VLOOKUP(D986,'Jer-Tip-Emp'!B:F,5,0)</f>
        <v>Bebidas Cambio de bebida</v>
      </c>
      <c r="O986" t="str">
        <f>VLOOKUP(D986,'Jer-Tip-Emp'!B:G,6,0)</f>
        <v>Bebidas</v>
      </c>
    </row>
    <row r="987" spans="1:15" ht="27.5" customHeight="1" x14ac:dyDescent="0.2">
      <c r="A987">
        <v>2025</v>
      </c>
      <c r="B987" t="s">
        <v>613</v>
      </c>
      <c r="C987" t="s">
        <v>595</v>
      </c>
      <c r="D987" s="19" t="s">
        <v>225</v>
      </c>
      <c r="E987" s="18" t="s">
        <v>157</v>
      </c>
      <c r="F987" s="18">
        <v>1</v>
      </c>
      <c r="G987" s="20">
        <v>17900</v>
      </c>
      <c r="H987" s="18">
        <v>0</v>
      </c>
      <c r="I987" s="20">
        <v>7141</v>
      </c>
      <c r="J987" s="8">
        <f t="shared" si="45"/>
        <v>10759</v>
      </c>
      <c r="K987" s="10">
        <f t="shared" si="46"/>
        <v>0.60106145251396648</v>
      </c>
      <c r="L987" s="17">
        <f t="shared" si="47"/>
        <v>0</v>
      </c>
      <c r="M987" t="str">
        <f>VLOOKUP(D987,'Jer-Tip-Emp'!B:E,4,0)</f>
        <v>Platos mong</v>
      </c>
      <c r="N987" t="str">
        <f>VLOOKUP(D987,'Jer-Tip-Emp'!B:F,5,0)</f>
        <v>Personal</v>
      </c>
      <c r="O987" t="str">
        <f>VLOOKUP(D987,'Jer-Tip-Emp'!B:G,6,0)</f>
        <v>Caja</v>
      </c>
    </row>
    <row r="988" spans="1:15" ht="27.5" hidden="1" customHeight="1" x14ac:dyDescent="0.2">
      <c r="A988">
        <v>2025</v>
      </c>
      <c r="B988" t="s">
        <v>613</v>
      </c>
      <c r="C988" t="s">
        <v>595</v>
      </c>
      <c r="D988" s="19" t="s">
        <v>330</v>
      </c>
      <c r="E988" s="18" t="s">
        <v>38</v>
      </c>
      <c r="F988" s="18">
        <v>1</v>
      </c>
      <c r="G988" s="20">
        <v>4900</v>
      </c>
      <c r="H988" s="18">
        <v>0</v>
      </c>
      <c r="I988" s="20">
        <v>1288</v>
      </c>
      <c r="J988" s="8">
        <f t="shared" si="45"/>
        <v>3612</v>
      </c>
      <c r="K988" s="10">
        <f t="shared" si="46"/>
        <v>0.7371428571428571</v>
      </c>
      <c r="L988" s="17">
        <f t="shared" si="47"/>
        <v>0</v>
      </c>
      <c r="M988" t="str">
        <f>VLOOKUP(D988,'Jer-Tip-Emp'!B:E,4,0)</f>
        <v>Bebidas</v>
      </c>
      <c r="N988" t="str">
        <f>VLOOKUP(D988,'Jer-Tip-Emp'!B:F,5,0)</f>
        <v>Bebidas</v>
      </c>
      <c r="O988" t="str">
        <f>VLOOKUP(D988,'Jer-Tip-Emp'!B:G,6,0)</f>
        <v>Bebidas</v>
      </c>
    </row>
    <row r="989" spans="1:15" ht="27.5" customHeight="1" x14ac:dyDescent="0.2">
      <c r="A989">
        <v>2025</v>
      </c>
      <c r="B989" t="s">
        <v>613</v>
      </c>
      <c r="C989" t="s">
        <v>595</v>
      </c>
      <c r="D989" s="19" t="s">
        <v>474</v>
      </c>
      <c r="E989" s="18" t="s">
        <v>553</v>
      </c>
      <c r="F989" s="18">
        <v>1</v>
      </c>
      <c r="G989" s="18">
        <v>0</v>
      </c>
      <c r="H989" s="18">
        <v>0</v>
      </c>
      <c r="I989" s="20">
        <v>2849</v>
      </c>
      <c r="J989" s="8">
        <f t="shared" si="45"/>
        <v>-2849</v>
      </c>
      <c r="K989" s="10">
        <f t="shared" si="46"/>
        <v>0</v>
      </c>
      <c r="L989" s="17">
        <f t="shared" si="47"/>
        <v>0</v>
      </c>
      <c r="M989" t="str">
        <f>VLOOKUP(D989,'Jer-Tip-Emp'!B:E,4,0)</f>
        <v>Arma tu plato</v>
      </c>
      <c r="N989" t="str">
        <f>VLOOKUP(D989,'Jer-Tip-Emp'!B:F,5,0)</f>
        <v>Personal</v>
      </c>
      <c r="O989" t="str">
        <f>VLOOKUP(D989,'Jer-Tip-Emp'!B:G,6,0)</f>
        <v>Caja</v>
      </c>
    </row>
    <row r="990" spans="1:15" ht="27.5" customHeight="1" x14ac:dyDescent="0.2">
      <c r="A990">
        <v>2025</v>
      </c>
      <c r="B990" t="s">
        <v>613</v>
      </c>
      <c r="C990" t="s">
        <v>595</v>
      </c>
      <c r="D990" s="19" t="s">
        <v>448</v>
      </c>
      <c r="E990" s="18" t="s">
        <v>552</v>
      </c>
      <c r="F990" s="18">
        <v>1</v>
      </c>
      <c r="G990" s="18">
        <v>0</v>
      </c>
      <c r="H990" s="18">
        <v>0</v>
      </c>
      <c r="I990" s="20">
        <v>5263</v>
      </c>
      <c r="J990" s="8">
        <f t="shared" si="45"/>
        <v>-5263</v>
      </c>
      <c r="K990" s="10">
        <f t="shared" si="46"/>
        <v>0</v>
      </c>
      <c r="L990" s="17">
        <f t="shared" si="47"/>
        <v>0</v>
      </c>
      <c r="M990" t="str">
        <f>VLOOKUP(D990,'Jer-Tip-Emp'!B:E,4,0)</f>
        <v>Arma tu plato</v>
      </c>
      <c r="N990" t="str">
        <f>VLOOKUP(D990,'Jer-Tip-Emp'!B:F,5,0)</f>
        <v>Personal</v>
      </c>
      <c r="O990" t="str">
        <f>VLOOKUP(D990,'Jer-Tip-Emp'!B:G,6,0)</f>
        <v>Caja</v>
      </c>
    </row>
    <row r="991" spans="1:15" ht="27.5" customHeight="1" x14ac:dyDescent="0.2">
      <c r="A991">
        <v>2025</v>
      </c>
      <c r="B991" t="s">
        <v>613</v>
      </c>
      <c r="C991" t="s">
        <v>595</v>
      </c>
      <c r="D991" s="19" t="s">
        <v>278</v>
      </c>
      <c r="E991" s="18" t="s">
        <v>84</v>
      </c>
      <c r="F991" s="18">
        <v>1</v>
      </c>
      <c r="G991" s="20">
        <v>20900</v>
      </c>
      <c r="H991" s="18">
        <v>0</v>
      </c>
      <c r="I991" s="20">
        <v>7973</v>
      </c>
      <c r="J991" s="8">
        <f t="shared" si="45"/>
        <v>12927</v>
      </c>
      <c r="K991" s="10">
        <f t="shared" si="46"/>
        <v>0.61851674641148324</v>
      </c>
      <c r="L991" s="17">
        <f t="shared" si="47"/>
        <v>0</v>
      </c>
      <c r="M991" t="str">
        <f>VLOOKUP(D991,'Jer-Tip-Emp'!B:E,4,0)</f>
        <v>Combos para compartir</v>
      </c>
      <c r="N991" t="str">
        <f>VLOOKUP(D991,'Jer-Tip-Emp'!B:F,5,0)</f>
        <v>No Personal</v>
      </c>
      <c r="O991" t="str">
        <f>VLOOKUP(D991,'Jer-Tip-Emp'!B:G,6,0)</f>
        <v>Combo</v>
      </c>
    </row>
    <row r="992" spans="1:15" ht="27.5" customHeight="1" x14ac:dyDescent="0.2">
      <c r="A992">
        <v>2025</v>
      </c>
      <c r="B992" t="s">
        <v>613</v>
      </c>
      <c r="C992" t="s">
        <v>595</v>
      </c>
      <c r="D992" s="19" t="s">
        <v>204</v>
      </c>
      <c r="E992" s="18" t="s">
        <v>154</v>
      </c>
      <c r="F992" s="18">
        <v>1</v>
      </c>
      <c r="G992" s="20">
        <v>38978</v>
      </c>
      <c r="H992" s="20">
        <v>-3922</v>
      </c>
      <c r="I992" s="20">
        <v>19441</v>
      </c>
      <c r="J992" s="8">
        <f t="shared" si="45"/>
        <v>19537</v>
      </c>
      <c r="K992" s="10">
        <f t="shared" si="46"/>
        <v>0.50123146390271434</v>
      </c>
      <c r="L992" s="17">
        <f t="shared" si="47"/>
        <v>0.10062086305095182</v>
      </c>
      <c r="M992" t="str">
        <f>VLOOKUP(D992,'Jer-Tip-Emp'!B:E,4,0)</f>
        <v>Platos mong</v>
      </c>
      <c r="N992" t="str">
        <f>VLOOKUP(D992,'Jer-Tip-Emp'!B:F,5,0)</f>
        <v>No Personal</v>
      </c>
      <c r="O992" t="str">
        <f>VLOOKUP(D992,'Jer-Tip-Emp'!B:G,6,0)</f>
        <v>Caja</v>
      </c>
    </row>
    <row r="993" spans="1:15" ht="27.5" customHeight="1" x14ac:dyDescent="0.2">
      <c r="A993">
        <v>2025</v>
      </c>
      <c r="B993" t="s">
        <v>613</v>
      </c>
      <c r="C993" t="s">
        <v>595</v>
      </c>
      <c r="D993" s="19" t="s">
        <v>260</v>
      </c>
      <c r="E993" s="18" t="s">
        <v>97</v>
      </c>
      <c r="F993" s="18">
        <v>1</v>
      </c>
      <c r="G993" s="20">
        <v>47900</v>
      </c>
      <c r="H993" s="18">
        <v>0</v>
      </c>
      <c r="I993" s="20">
        <v>20911</v>
      </c>
      <c r="J993" s="8">
        <f t="shared" si="45"/>
        <v>26989</v>
      </c>
      <c r="K993" s="10">
        <f t="shared" si="46"/>
        <v>0.56344467640918583</v>
      </c>
      <c r="L993" s="17">
        <f t="shared" si="47"/>
        <v>0</v>
      </c>
      <c r="M993" t="str">
        <f>VLOOKUP(D993,'Jer-Tip-Emp'!B:E,4,0)</f>
        <v>Platos mong</v>
      </c>
      <c r="N993" t="str">
        <f>VLOOKUP(D993,'Jer-Tip-Emp'!B:F,5,0)</f>
        <v>No Personal</v>
      </c>
      <c r="O993" t="str">
        <f>VLOOKUP(D993,'Jer-Tip-Emp'!B:G,6,0)</f>
        <v>Caja</v>
      </c>
    </row>
    <row r="994" spans="1:15" ht="27.5" customHeight="1" x14ac:dyDescent="0.2">
      <c r="A994">
        <v>2025</v>
      </c>
      <c r="B994" t="s">
        <v>613</v>
      </c>
      <c r="C994" t="s">
        <v>595</v>
      </c>
      <c r="D994" s="19" t="s">
        <v>290</v>
      </c>
      <c r="E994" s="18" t="s">
        <v>86</v>
      </c>
      <c r="F994" s="18">
        <v>1</v>
      </c>
      <c r="G994" s="20">
        <v>96900</v>
      </c>
      <c r="H994" s="18">
        <v>0</v>
      </c>
      <c r="I994" s="20">
        <v>46780</v>
      </c>
      <c r="J994" s="8">
        <f t="shared" si="45"/>
        <v>50120</v>
      </c>
      <c r="K994" s="10">
        <f t="shared" si="46"/>
        <v>0.51723426212590295</v>
      </c>
      <c r="L994" s="17">
        <f t="shared" si="47"/>
        <v>0</v>
      </c>
      <c r="M994" t="str">
        <f>VLOOKUP(D994,'Jer-Tip-Emp'!B:E,4,0)</f>
        <v>Combos para compartir</v>
      </c>
      <c r="N994" t="str">
        <f>VLOOKUP(D994,'Jer-Tip-Emp'!B:F,5,0)</f>
        <v>No Personal</v>
      </c>
      <c r="O994" t="str">
        <f>VLOOKUP(D994,'Jer-Tip-Emp'!B:G,6,0)</f>
        <v>Combo</v>
      </c>
    </row>
    <row r="995" spans="1:15" ht="27.5" hidden="1" customHeight="1" x14ac:dyDescent="0.2">
      <c r="A995">
        <v>2025</v>
      </c>
      <c r="B995" t="s">
        <v>613</v>
      </c>
      <c r="C995" t="s">
        <v>595</v>
      </c>
      <c r="D995" s="19" t="s">
        <v>337</v>
      </c>
      <c r="E995" s="18" t="s">
        <v>58</v>
      </c>
      <c r="F995" s="18">
        <v>1</v>
      </c>
      <c r="G995" s="20">
        <v>4900</v>
      </c>
      <c r="H995" s="18">
        <v>0</v>
      </c>
      <c r="I995" s="20">
        <v>1560</v>
      </c>
      <c r="J995" s="8">
        <f t="shared" si="45"/>
        <v>3340</v>
      </c>
      <c r="K995" s="10">
        <f t="shared" si="46"/>
        <v>0.68163265306122445</v>
      </c>
      <c r="L995" s="17">
        <f t="shared" si="47"/>
        <v>0</v>
      </c>
      <c r="M995" t="str">
        <f>VLOOKUP(D995,'Jer-Tip-Emp'!B:E,4,0)</f>
        <v>Bebidas</v>
      </c>
      <c r="N995" t="str">
        <f>VLOOKUP(D995,'Jer-Tip-Emp'!B:F,5,0)</f>
        <v>Bebidas</v>
      </c>
      <c r="O995" t="str">
        <f>VLOOKUP(D995,'Jer-Tip-Emp'!B:G,6,0)</f>
        <v>Bebidas</v>
      </c>
    </row>
    <row r="996" spans="1:15" ht="27.5" customHeight="1" x14ac:dyDescent="0.2">
      <c r="A996">
        <v>2025</v>
      </c>
      <c r="B996" t="s">
        <v>613</v>
      </c>
      <c r="C996" t="s">
        <v>595</v>
      </c>
      <c r="D996" s="19" t="s">
        <v>259</v>
      </c>
      <c r="E996" s="18" t="s">
        <v>152</v>
      </c>
      <c r="F996" s="18">
        <v>1</v>
      </c>
      <c r="G996" s="20">
        <v>57900</v>
      </c>
      <c r="H996" s="18">
        <v>0</v>
      </c>
      <c r="I996" s="20">
        <v>37744</v>
      </c>
      <c r="J996" s="8">
        <f t="shared" si="45"/>
        <v>20156</v>
      </c>
      <c r="K996" s="10">
        <f t="shared" si="46"/>
        <v>0.34811744386873922</v>
      </c>
      <c r="L996" s="17">
        <f t="shared" si="47"/>
        <v>0</v>
      </c>
      <c r="M996" t="str">
        <f>VLOOKUP(D996,'Jer-Tip-Emp'!B:E,4,0)</f>
        <v>Platos mong</v>
      </c>
      <c r="N996" t="str">
        <f>VLOOKUP(D996,'Jer-Tip-Emp'!B:F,5,0)</f>
        <v>No Personal</v>
      </c>
      <c r="O996" t="str">
        <f>VLOOKUP(D996,'Jer-Tip-Emp'!B:G,6,0)</f>
        <v>Caja</v>
      </c>
    </row>
    <row r="997" spans="1:15" ht="27.5" hidden="1" customHeight="1" x14ac:dyDescent="0.2">
      <c r="A997">
        <v>2025</v>
      </c>
      <c r="B997" t="s">
        <v>613</v>
      </c>
      <c r="C997" t="s">
        <v>595</v>
      </c>
      <c r="D997" s="19" t="s">
        <v>326</v>
      </c>
      <c r="E997" s="18" t="s">
        <v>69</v>
      </c>
      <c r="F997" s="18">
        <v>1</v>
      </c>
      <c r="G997" s="20">
        <v>4900</v>
      </c>
      <c r="H997" s="18">
        <v>0</v>
      </c>
      <c r="I997" s="20">
        <v>1330</v>
      </c>
      <c r="J997" s="8">
        <f t="shared" si="45"/>
        <v>3570</v>
      </c>
      <c r="K997" s="10">
        <f t="shared" si="46"/>
        <v>0.72857142857142854</v>
      </c>
      <c r="L997" s="17">
        <f t="shared" si="47"/>
        <v>0</v>
      </c>
      <c r="M997" t="str">
        <f>VLOOKUP(D997,'Jer-Tip-Emp'!B:E,4,0)</f>
        <v>Bebidas</v>
      </c>
      <c r="N997" t="str">
        <f>VLOOKUP(D997,'Jer-Tip-Emp'!B:F,5,0)</f>
        <v>Bebidas</v>
      </c>
      <c r="O997" t="str">
        <f>VLOOKUP(D997,'Jer-Tip-Emp'!B:G,6,0)</f>
        <v>Bebidas</v>
      </c>
    </row>
    <row r="998" spans="1:15" ht="27.5" customHeight="1" x14ac:dyDescent="0.2">
      <c r="A998">
        <v>2025</v>
      </c>
      <c r="B998" t="s">
        <v>613</v>
      </c>
      <c r="C998" t="s">
        <v>595</v>
      </c>
      <c r="D998" s="19" t="s">
        <v>191</v>
      </c>
      <c r="E998" s="18" t="s">
        <v>136</v>
      </c>
      <c r="F998" s="18">
        <v>1</v>
      </c>
      <c r="G998" s="20">
        <v>29900</v>
      </c>
      <c r="H998" s="18">
        <v>0</v>
      </c>
      <c r="I998" s="20">
        <v>11810</v>
      </c>
      <c r="J998" s="8">
        <f t="shared" si="45"/>
        <v>18090</v>
      </c>
      <c r="K998" s="10">
        <f t="shared" si="46"/>
        <v>0.60501672240802673</v>
      </c>
      <c r="L998" s="17">
        <f t="shared" si="47"/>
        <v>0</v>
      </c>
      <c r="M998" t="str">
        <f>VLOOKUP(D998,'Jer-Tip-Emp'!B:E,4,0)</f>
        <v>Platos mong</v>
      </c>
      <c r="N998" t="str">
        <f>VLOOKUP(D998,'Jer-Tip-Emp'!B:F,5,0)</f>
        <v>No Personal</v>
      </c>
      <c r="O998" t="str">
        <f>VLOOKUP(D998,'Jer-Tip-Emp'!B:G,6,0)</f>
        <v>Caja</v>
      </c>
    </row>
    <row r="999" spans="1:15" ht="27.5" hidden="1" customHeight="1" x14ac:dyDescent="0.2">
      <c r="A999">
        <v>2025</v>
      </c>
      <c r="B999" t="s">
        <v>613</v>
      </c>
      <c r="C999" t="s">
        <v>595</v>
      </c>
      <c r="D999" s="19" t="s">
        <v>351</v>
      </c>
      <c r="E999" s="18" t="s">
        <v>55</v>
      </c>
      <c r="F999" s="18">
        <v>1</v>
      </c>
      <c r="G999" s="20">
        <v>5900</v>
      </c>
      <c r="H999" s="18">
        <v>0</v>
      </c>
      <c r="I999" s="20">
        <v>1448</v>
      </c>
      <c r="J999" s="8">
        <f t="shared" si="45"/>
        <v>4452</v>
      </c>
      <c r="K999" s="10">
        <f t="shared" si="46"/>
        <v>0.75457627118644066</v>
      </c>
      <c r="L999" s="17">
        <f t="shared" si="47"/>
        <v>0</v>
      </c>
      <c r="M999" t="str">
        <f>VLOOKUP(D999,'Jer-Tip-Emp'!B:E,4,0)</f>
        <v>Bebidas</v>
      </c>
      <c r="N999" t="str">
        <f>VLOOKUP(D999,'Jer-Tip-Emp'!B:F,5,0)</f>
        <v>Bebidas</v>
      </c>
      <c r="O999" t="str">
        <f>VLOOKUP(D999,'Jer-Tip-Emp'!B:G,6,0)</f>
        <v>Bebidas</v>
      </c>
    </row>
    <row r="1000" spans="1:15" ht="27.5" customHeight="1" x14ac:dyDescent="0.2">
      <c r="A1000">
        <v>2025</v>
      </c>
      <c r="B1000" t="s">
        <v>613</v>
      </c>
      <c r="C1000" t="s">
        <v>595</v>
      </c>
      <c r="D1000" s="19" t="s">
        <v>197</v>
      </c>
      <c r="E1000" s="18" t="s">
        <v>31</v>
      </c>
      <c r="F1000" s="18">
        <v>1</v>
      </c>
      <c r="G1000" s="20">
        <v>7900</v>
      </c>
      <c r="H1000" s="18">
        <v>0</v>
      </c>
      <c r="I1000" s="20">
        <v>3212</v>
      </c>
      <c r="J1000" s="8">
        <f t="shared" si="45"/>
        <v>4688</v>
      </c>
      <c r="K1000" s="10">
        <f t="shared" si="46"/>
        <v>0.59341772151898731</v>
      </c>
      <c r="L1000" s="17">
        <f t="shared" si="47"/>
        <v>0</v>
      </c>
      <c r="M1000" t="str">
        <f>VLOOKUP(D1000,'Jer-Tip-Emp'!B:E,4,0)</f>
        <v>Armalo en combo</v>
      </c>
      <c r="N1000" t="str">
        <f>VLOOKUP(D1000,'Jer-Tip-Emp'!B:F,5,0)</f>
        <v>Personal</v>
      </c>
      <c r="O1000" t="str">
        <f>VLOOKUP(D1000,'Jer-Tip-Emp'!B:G,6,0)</f>
        <v>Combo</v>
      </c>
    </row>
    <row r="1001" spans="1:15" ht="27.5" hidden="1" customHeight="1" x14ac:dyDescent="0.2">
      <c r="A1001">
        <v>2025</v>
      </c>
      <c r="B1001" t="s">
        <v>613</v>
      </c>
      <c r="C1001" t="s">
        <v>595</v>
      </c>
      <c r="D1001" s="19" t="s">
        <v>183</v>
      </c>
      <c r="E1001" s="18" t="s">
        <v>104</v>
      </c>
      <c r="F1001" s="18">
        <v>1</v>
      </c>
      <c r="G1001" s="20">
        <v>15900</v>
      </c>
      <c r="H1001" s="18">
        <v>0</v>
      </c>
      <c r="I1001" s="20">
        <v>10028</v>
      </c>
      <c r="J1001" s="8">
        <f t="shared" si="45"/>
        <v>5872</v>
      </c>
      <c r="K1001" s="10">
        <f t="shared" si="46"/>
        <v>0.36930817610062894</v>
      </c>
      <c r="L1001" s="17">
        <f t="shared" si="47"/>
        <v>0</v>
      </c>
      <c r="M1001" t="str">
        <f>VLOOKUP(D1001,'Jer-Tip-Emp'!B:E,4,0)</f>
        <v>Entradas</v>
      </c>
      <c r="N1001" t="str">
        <f>VLOOKUP(D1001,'Jer-Tip-Emp'!B:F,5,0)</f>
        <v>Otro</v>
      </c>
      <c r="O1001" t="str">
        <f>VLOOKUP(D1001,'Jer-Tip-Emp'!B:G,6,0)</f>
        <v>Otro</v>
      </c>
    </row>
    <row r="1002" spans="1:15" ht="27.5" hidden="1" customHeight="1" x14ac:dyDescent="0.2">
      <c r="A1002">
        <v>2025</v>
      </c>
      <c r="B1002" t="s">
        <v>613</v>
      </c>
      <c r="C1002" t="s">
        <v>595</v>
      </c>
      <c r="D1002" s="19" t="s">
        <v>452</v>
      </c>
      <c r="E1002" s="18" t="s">
        <v>573</v>
      </c>
      <c r="F1002" s="18">
        <v>1</v>
      </c>
      <c r="G1002" s="20">
        <v>1600</v>
      </c>
      <c r="H1002" s="18">
        <v>0</v>
      </c>
      <c r="I1002" s="20">
        <v>1874</v>
      </c>
      <c r="J1002" s="8">
        <f t="shared" si="45"/>
        <v>-274</v>
      </c>
      <c r="K1002" s="10">
        <f t="shared" si="46"/>
        <v>-0.17125000000000001</v>
      </c>
      <c r="L1002" s="17">
        <f t="shared" si="47"/>
        <v>0</v>
      </c>
      <c r="M1002" t="str">
        <f>VLOOKUP(D1002,'Jer-Tip-Emp'!B:E,4,0)</f>
        <v>Bebidas</v>
      </c>
      <c r="N1002" t="str">
        <f>VLOOKUP(D1002,'Jer-Tip-Emp'!B:F,5,0)</f>
        <v>Bebidas Cambio de bebida</v>
      </c>
      <c r="O1002" t="str">
        <f>VLOOKUP(D1002,'Jer-Tip-Emp'!B:G,6,0)</f>
        <v>Bebidas</v>
      </c>
    </row>
    <row r="1003" spans="1:15" ht="27.5" hidden="1" customHeight="1" x14ac:dyDescent="0.2">
      <c r="A1003">
        <v>2025</v>
      </c>
      <c r="B1003" t="s">
        <v>613</v>
      </c>
      <c r="C1003" t="s">
        <v>595</v>
      </c>
      <c r="D1003" s="19" t="s">
        <v>218</v>
      </c>
      <c r="E1003" s="18" t="s">
        <v>33</v>
      </c>
      <c r="F1003" s="18">
        <v>1</v>
      </c>
      <c r="G1003" s="20">
        <v>7900</v>
      </c>
      <c r="H1003" s="18">
        <v>0</v>
      </c>
      <c r="I1003" s="18">
        <v>0</v>
      </c>
      <c r="J1003" s="8">
        <f t="shared" si="45"/>
        <v>7900</v>
      </c>
      <c r="K1003" s="10">
        <f t="shared" si="46"/>
        <v>1</v>
      </c>
      <c r="L1003" s="17">
        <f t="shared" si="47"/>
        <v>0</v>
      </c>
      <c r="M1003" t="str">
        <f>VLOOKUP(D1003,'Jer-Tip-Emp'!B:E,4,0)</f>
        <v>Adición</v>
      </c>
      <c r="N1003" t="str">
        <f>VLOOKUP(D1003,'Jer-Tip-Emp'!B:F,5,0)</f>
        <v>Adición</v>
      </c>
      <c r="O1003" t="str">
        <f>VLOOKUP(D1003,'Jer-Tip-Emp'!B:G,6,0)</f>
        <v>Adición</v>
      </c>
    </row>
    <row r="1004" spans="1:15" ht="27.5" customHeight="1" x14ac:dyDescent="0.2">
      <c r="A1004">
        <v>2025</v>
      </c>
      <c r="B1004" t="s">
        <v>613</v>
      </c>
      <c r="C1004" t="s">
        <v>595</v>
      </c>
      <c r="D1004" s="19" t="s">
        <v>224</v>
      </c>
      <c r="E1004" s="18" t="s">
        <v>114</v>
      </c>
      <c r="F1004" s="18">
        <v>1</v>
      </c>
      <c r="G1004" s="20">
        <v>24900</v>
      </c>
      <c r="H1004" s="18">
        <v>0</v>
      </c>
      <c r="I1004" s="20">
        <v>12718</v>
      </c>
      <c r="J1004" s="8">
        <f t="shared" si="45"/>
        <v>12182</v>
      </c>
      <c r="K1004" s="10">
        <f t="shared" si="46"/>
        <v>0.48923694779116467</v>
      </c>
      <c r="L1004" s="17">
        <f t="shared" si="47"/>
        <v>0</v>
      </c>
      <c r="M1004" t="str">
        <f>VLOOKUP(D1004,'Jer-Tip-Emp'!B:E,4,0)</f>
        <v>Platos especiales</v>
      </c>
      <c r="N1004" t="str">
        <f>VLOOKUP(D1004,'Jer-Tip-Emp'!B:F,5,0)</f>
        <v>Personal</v>
      </c>
      <c r="O1004" t="str">
        <f>VLOOKUP(D1004,'Jer-Tip-Emp'!B:G,6,0)</f>
        <v>Platos especiales</v>
      </c>
    </row>
    <row r="1005" spans="1:15" ht="27.5" customHeight="1" x14ac:dyDescent="0.2">
      <c r="A1005">
        <v>2025</v>
      </c>
      <c r="B1005" t="s">
        <v>615</v>
      </c>
      <c r="C1005" t="s">
        <v>609</v>
      </c>
      <c r="D1005" s="19" t="s">
        <v>207</v>
      </c>
      <c r="E1005" s="18" t="s">
        <v>92</v>
      </c>
      <c r="F1005" s="18">
        <v>209</v>
      </c>
      <c r="G1005" s="20">
        <v>4991100</v>
      </c>
      <c r="H1005" s="20">
        <v>-4000</v>
      </c>
      <c r="I1005" s="20">
        <v>2012043</v>
      </c>
      <c r="J1005" s="8">
        <f t="shared" si="45"/>
        <v>2979057</v>
      </c>
      <c r="K1005" s="10">
        <f t="shared" si="46"/>
        <v>0.59687383542706018</v>
      </c>
      <c r="L1005" s="17">
        <f t="shared" si="47"/>
        <v>8.0142653923984694E-4</v>
      </c>
      <c r="M1005" t="str">
        <f>VLOOKUP(D1005,'Jer-Tip-Emp'!B:E,4,0)</f>
        <v>Combos personales</v>
      </c>
      <c r="N1005" t="str">
        <f>VLOOKUP(D1005,'Jer-Tip-Emp'!B:F,5,0)</f>
        <v>Personal</v>
      </c>
      <c r="O1005" t="str">
        <f>VLOOKUP(D1005,'Jer-Tip-Emp'!B:G,6,0)</f>
        <v>Combo</v>
      </c>
    </row>
    <row r="1006" spans="1:15" ht="27.5" customHeight="1" x14ac:dyDescent="0.2">
      <c r="A1006">
        <v>2025</v>
      </c>
      <c r="B1006" t="s">
        <v>615</v>
      </c>
      <c r="C1006" t="s">
        <v>609</v>
      </c>
      <c r="D1006" s="19" t="s">
        <v>273</v>
      </c>
      <c r="E1006" s="18" t="s">
        <v>23</v>
      </c>
      <c r="F1006" s="18">
        <v>196</v>
      </c>
      <c r="G1006" s="20">
        <v>4850673</v>
      </c>
      <c r="H1006" s="20">
        <v>-29727</v>
      </c>
      <c r="I1006" s="18">
        <v>0</v>
      </c>
      <c r="J1006" s="8">
        <f t="shared" si="45"/>
        <v>4850673</v>
      </c>
      <c r="K1006" s="10">
        <f t="shared" si="46"/>
        <v>1</v>
      </c>
      <c r="L1006" s="17">
        <f t="shared" si="47"/>
        <v>6.1284279521625143E-3</v>
      </c>
      <c r="M1006" t="str">
        <f>VLOOKUP(D1006,'Jer-Tip-Emp'!B:E,4,0)</f>
        <v>Arma tu plato</v>
      </c>
      <c r="N1006" t="str">
        <f>VLOOKUP(D1006,'Jer-Tip-Emp'!B:F,5,0)</f>
        <v>Personal</v>
      </c>
      <c r="O1006" t="str">
        <f>VLOOKUP(D1006,'Jer-Tip-Emp'!B:G,6,0)</f>
        <v>Caja</v>
      </c>
    </row>
    <row r="1007" spans="1:15" ht="27.5" customHeight="1" x14ac:dyDescent="0.2">
      <c r="A1007">
        <v>2025</v>
      </c>
      <c r="B1007" t="s">
        <v>615</v>
      </c>
      <c r="C1007" t="s">
        <v>609</v>
      </c>
      <c r="D1007" s="19" t="s">
        <v>313</v>
      </c>
      <c r="E1007" s="18" t="s">
        <v>540</v>
      </c>
      <c r="F1007" s="18">
        <v>123</v>
      </c>
      <c r="G1007" s="18">
        <v>0</v>
      </c>
      <c r="H1007" s="18">
        <v>0</v>
      </c>
      <c r="I1007" s="20">
        <v>675393</v>
      </c>
      <c r="J1007" s="8">
        <f t="shared" si="45"/>
        <v>-675393</v>
      </c>
      <c r="K1007" s="10">
        <f t="shared" si="46"/>
        <v>0</v>
      </c>
      <c r="L1007" s="17">
        <f t="shared" si="47"/>
        <v>0</v>
      </c>
      <c r="M1007" t="str">
        <f>VLOOKUP(D1007,'Jer-Tip-Emp'!B:E,4,0)</f>
        <v>Arma tu plato</v>
      </c>
      <c r="N1007" t="str">
        <f>VLOOKUP(D1007,'Jer-Tip-Emp'!B:F,5,0)</f>
        <v>Personal</v>
      </c>
      <c r="O1007" t="str">
        <f>VLOOKUP(D1007,'Jer-Tip-Emp'!B:G,6,0)</f>
        <v>Caja</v>
      </c>
    </row>
    <row r="1008" spans="1:15" ht="27.5" customHeight="1" x14ac:dyDescent="0.2">
      <c r="A1008">
        <v>2025</v>
      </c>
      <c r="B1008" t="s">
        <v>615</v>
      </c>
      <c r="C1008" t="s">
        <v>609</v>
      </c>
      <c r="D1008" s="19" t="s">
        <v>389</v>
      </c>
      <c r="E1008" s="18" t="s">
        <v>541</v>
      </c>
      <c r="F1008" s="18">
        <v>94</v>
      </c>
      <c r="G1008" s="18">
        <v>0</v>
      </c>
      <c r="H1008" s="18">
        <v>0</v>
      </c>
      <c r="I1008" s="20">
        <v>513898</v>
      </c>
      <c r="J1008" s="8">
        <f t="shared" si="45"/>
        <v>-513898</v>
      </c>
      <c r="K1008" s="10">
        <f t="shared" si="46"/>
        <v>0</v>
      </c>
      <c r="L1008" s="17">
        <f t="shared" si="47"/>
        <v>0</v>
      </c>
      <c r="M1008" t="str">
        <f>VLOOKUP(D1008,'Jer-Tip-Emp'!B:E,4,0)</f>
        <v>Arma tu plato</v>
      </c>
      <c r="N1008" t="str">
        <f>VLOOKUP(D1008,'Jer-Tip-Emp'!B:F,5,0)</f>
        <v>Personal</v>
      </c>
      <c r="O1008" t="str">
        <f>VLOOKUP(D1008,'Jer-Tip-Emp'!B:G,6,0)</f>
        <v>Caja</v>
      </c>
    </row>
    <row r="1009" spans="1:15" ht="27.5" hidden="1" customHeight="1" x14ac:dyDescent="0.2">
      <c r="A1009">
        <v>2025</v>
      </c>
      <c r="B1009" t="s">
        <v>615</v>
      </c>
      <c r="C1009" t="s">
        <v>609</v>
      </c>
      <c r="D1009" s="19" t="s">
        <v>284</v>
      </c>
      <c r="E1009" s="18" t="s">
        <v>106</v>
      </c>
      <c r="F1009" s="18">
        <v>86</v>
      </c>
      <c r="G1009" s="20">
        <v>763600</v>
      </c>
      <c r="H1009" s="20">
        <v>-1800</v>
      </c>
      <c r="I1009" s="20">
        <v>269954</v>
      </c>
      <c r="J1009" s="8">
        <f t="shared" si="45"/>
        <v>493646</v>
      </c>
      <c r="K1009" s="10">
        <f t="shared" si="46"/>
        <v>0.64647197485594554</v>
      </c>
      <c r="L1009" s="17">
        <f t="shared" si="47"/>
        <v>2.3572551073860661E-3</v>
      </c>
      <c r="M1009" t="str">
        <f>VLOOKUP(D1009,'Jer-Tip-Emp'!B:E,4,0)</f>
        <v>Entradas</v>
      </c>
      <c r="N1009" t="str">
        <f>VLOOKUP(D1009,'Jer-Tip-Emp'!B:F,5,0)</f>
        <v>Otro</v>
      </c>
      <c r="O1009" t="str">
        <f>VLOOKUP(D1009,'Jer-Tip-Emp'!B:G,6,0)</f>
        <v>Otro</v>
      </c>
    </row>
    <row r="1010" spans="1:15" ht="27.5" customHeight="1" x14ac:dyDescent="0.2">
      <c r="A1010">
        <v>2025</v>
      </c>
      <c r="B1010" t="s">
        <v>615</v>
      </c>
      <c r="C1010" t="s">
        <v>609</v>
      </c>
      <c r="D1010" s="19" t="s">
        <v>186</v>
      </c>
      <c r="E1010" s="18" t="s">
        <v>95</v>
      </c>
      <c r="F1010" s="18">
        <v>80</v>
      </c>
      <c r="G1010" s="20">
        <v>2311509</v>
      </c>
      <c r="H1010" s="18">
        <v>-491</v>
      </c>
      <c r="I1010" s="20">
        <v>765600</v>
      </c>
      <c r="J1010" s="8">
        <f t="shared" si="45"/>
        <v>1545909</v>
      </c>
      <c r="K1010" s="10">
        <f t="shared" si="46"/>
        <v>0.66878779187102455</v>
      </c>
      <c r="L1010" s="17">
        <f t="shared" si="47"/>
        <v>2.1241535291448142E-4</v>
      </c>
      <c r="M1010" t="str">
        <f>VLOOKUP(D1010,'Jer-Tip-Emp'!B:E,4,0)</f>
        <v>Combos personales</v>
      </c>
      <c r="N1010" t="str">
        <f>VLOOKUP(D1010,'Jer-Tip-Emp'!B:F,5,0)</f>
        <v>Personal</v>
      </c>
      <c r="O1010" t="str">
        <f>VLOOKUP(D1010,'Jer-Tip-Emp'!B:G,6,0)</f>
        <v>Combo</v>
      </c>
    </row>
    <row r="1011" spans="1:15" ht="27.5" customHeight="1" x14ac:dyDescent="0.2">
      <c r="A1011">
        <v>2025</v>
      </c>
      <c r="B1011" t="s">
        <v>615</v>
      </c>
      <c r="C1011" t="s">
        <v>609</v>
      </c>
      <c r="D1011" s="19" t="s">
        <v>196</v>
      </c>
      <c r="E1011" s="18" t="s">
        <v>159</v>
      </c>
      <c r="F1011" s="18">
        <v>72</v>
      </c>
      <c r="G1011" s="20">
        <v>1862800</v>
      </c>
      <c r="H1011" s="20">
        <v>-2000</v>
      </c>
      <c r="I1011" s="20">
        <v>684072</v>
      </c>
      <c r="J1011" s="8">
        <f t="shared" si="45"/>
        <v>1178728</v>
      </c>
      <c r="K1011" s="10">
        <f t="shared" si="46"/>
        <v>0.63277217092548854</v>
      </c>
      <c r="L1011" s="17">
        <f t="shared" si="47"/>
        <v>1.0736525660296329E-3</v>
      </c>
      <c r="M1011" t="str">
        <f>VLOOKUP(D1011,'Jer-Tip-Emp'!B:E,4,0)</f>
        <v>Combos personales</v>
      </c>
      <c r="N1011" t="str">
        <f>VLOOKUP(D1011,'Jer-Tip-Emp'!B:F,5,0)</f>
        <v>Personal</v>
      </c>
      <c r="O1011" t="str">
        <f>VLOOKUP(D1011,'Jer-Tip-Emp'!B:G,6,0)</f>
        <v>Combo</v>
      </c>
    </row>
    <row r="1012" spans="1:15" ht="27.5" customHeight="1" x14ac:dyDescent="0.2">
      <c r="A1012">
        <v>2025</v>
      </c>
      <c r="B1012" t="s">
        <v>615</v>
      </c>
      <c r="C1012" t="s">
        <v>609</v>
      </c>
      <c r="D1012" s="19" t="s">
        <v>212</v>
      </c>
      <c r="E1012" s="18" t="s">
        <v>160</v>
      </c>
      <c r="F1012" s="18">
        <v>72</v>
      </c>
      <c r="G1012" s="20">
        <v>2069015</v>
      </c>
      <c r="H1012" s="20">
        <v>-11785</v>
      </c>
      <c r="I1012" s="20">
        <v>810216</v>
      </c>
      <c r="J1012" s="8">
        <f t="shared" si="45"/>
        <v>1258799</v>
      </c>
      <c r="K1012" s="10">
        <f t="shared" si="46"/>
        <v>0.60840496564790492</v>
      </c>
      <c r="L1012" s="17">
        <f t="shared" si="47"/>
        <v>5.6959471052650656E-3</v>
      </c>
      <c r="M1012" t="str">
        <f>VLOOKUP(D1012,'Jer-Tip-Emp'!B:E,4,0)</f>
        <v>Combos personales</v>
      </c>
      <c r="N1012" t="str">
        <f>VLOOKUP(D1012,'Jer-Tip-Emp'!B:F,5,0)</f>
        <v>Personal</v>
      </c>
      <c r="O1012" t="str">
        <f>VLOOKUP(D1012,'Jer-Tip-Emp'!B:G,6,0)</f>
        <v>Combo</v>
      </c>
    </row>
    <row r="1013" spans="1:15" ht="27.5" customHeight="1" x14ac:dyDescent="0.2">
      <c r="A1013">
        <v>2025</v>
      </c>
      <c r="B1013" t="s">
        <v>615</v>
      </c>
      <c r="C1013" t="s">
        <v>609</v>
      </c>
      <c r="D1013" s="19" t="s">
        <v>333</v>
      </c>
      <c r="E1013" s="18" t="s">
        <v>547</v>
      </c>
      <c r="F1013" s="18">
        <v>68</v>
      </c>
      <c r="G1013" s="18">
        <v>0</v>
      </c>
      <c r="H1013" s="18">
        <v>0</v>
      </c>
      <c r="I1013" s="20">
        <v>225896</v>
      </c>
      <c r="J1013" s="8">
        <f t="shared" si="45"/>
        <v>-225896</v>
      </c>
      <c r="K1013" s="10">
        <f t="shared" si="46"/>
        <v>0</v>
      </c>
      <c r="L1013" s="17">
        <f t="shared" si="47"/>
        <v>0</v>
      </c>
      <c r="M1013" t="str">
        <f>VLOOKUP(D1013,'Jer-Tip-Emp'!B:E,4,0)</f>
        <v>Arma tu plato</v>
      </c>
      <c r="N1013" t="str">
        <f>VLOOKUP(D1013,'Jer-Tip-Emp'!B:F,5,0)</f>
        <v>Personal</v>
      </c>
      <c r="O1013" t="str">
        <f>VLOOKUP(D1013,'Jer-Tip-Emp'!B:G,6,0)</f>
        <v>Caja</v>
      </c>
    </row>
    <row r="1014" spans="1:15" ht="27.5" customHeight="1" x14ac:dyDescent="0.2">
      <c r="A1014">
        <v>2025</v>
      </c>
      <c r="B1014" t="s">
        <v>615</v>
      </c>
      <c r="C1014" t="s">
        <v>609</v>
      </c>
      <c r="D1014" s="19" t="s">
        <v>393</v>
      </c>
      <c r="E1014" s="18" t="s">
        <v>549</v>
      </c>
      <c r="F1014" s="18">
        <v>63</v>
      </c>
      <c r="G1014" s="20">
        <v>126000</v>
      </c>
      <c r="H1014" s="18">
        <v>0</v>
      </c>
      <c r="I1014" s="20">
        <v>128205</v>
      </c>
      <c r="J1014" s="8">
        <f t="shared" si="45"/>
        <v>-2205</v>
      </c>
      <c r="K1014" s="10">
        <f t="shared" si="46"/>
        <v>-1.7500000000000002E-2</v>
      </c>
      <c r="L1014" s="17">
        <f t="shared" si="47"/>
        <v>0</v>
      </c>
      <c r="M1014" t="str">
        <f>VLOOKUP(D1014,'Jer-Tip-Emp'!B:E,4,0)</f>
        <v>Arma tu plato</v>
      </c>
      <c r="N1014" t="str">
        <f>VLOOKUP(D1014,'Jer-Tip-Emp'!B:F,5,0)</f>
        <v>Personal</v>
      </c>
      <c r="O1014" t="str">
        <f>VLOOKUP(D1014,'Jer-Tip-Emp'!B:G,6,0)</f>
        <v>Caja</v>
      </c>
    </row>
    <row r="1015" spans="1:15" ht="27.5" hidden="1" customHeight="1" x14ac:dyDescent="0.2">
      <c r="A1015">
        <v>2025</v>
      </c>
      <c r="B1015" t="s">
        <v>615</v>
      </c>
      <c r="C1015" t="s">
        <v>609</v>
      </c>
      <c r="D1015" s="19" t="s">
        <v>310</v>
      </c>
      <c r="E1015" s="18" t="s">
        <v>53</v>
      </c>
      <c r="F1015" s="18">
        <v>61</v>
      </c>
      <c r="G1015" s="20">
        <v>359551</v>
      </c>
      <c r="H1015" s="18">
        <v>-349</v>
      </c>
      <c r="I1015" s="20">
        <v>103395</v>
      </c>
      <c r="J1015" s="8">
        <f t="shared" si="45"/>
        <v>256156</v>
      </c>
      <c r="K1015" s="10">
        <f t="shared" si="46"/>
        <v>0.71243300672227305</v>
      </c>
      <c r="L1015" s="17">
        <f t="shared" si="47"/>
        <v>9.7065506701413703E-4</v>
      </c>
      <c r="M1015" t="str">
        <f>VLOOKUP(D1015,'Jer-Tip-Emp'!B:E,4,0)</f>
        <v>Bebidas</v>
      </c>
      <c r="N1015" t="str">
        <f>VLOOKUP(D1015,'Jer-Tip-Emp'!B:F,5,0)</f>
        <v>Bebidas</v>
      </c>
      <c r="O1015" t="str">
        <f>VLOOKUP(D1015,'Jer-Tip-Emp'!B:G,6,0)</f>
        <v>Bebidas</v>
      </c>
    </row>
    <row r="1016" spans="1:15" ht="27.5" customHeight="1" x14ac:dyDescent="0.2">
      <c r="A1016">
        <v>2025</v>
      </c>
      <c r="B1016" t="s">
        <v>615</v>
      </c>
      <c r="C1016" t="s">
        <v>609</v>
      </c>
      <c r="D1016" s="19" t="s">
        <v>223</v>
      </c>
      <c r="E1016" s="18" t="s">
        <v>116</v>
      </c>
      <c r="F1016" s="18">
        <v>59</v>
      </c>
      <c r="G1016" s="20">
        <v>1587100</v>
      </c>
      <c r="H1016" s="18">
        <v>0</v>
      </c>
      <c r="I1016" s="20">
        <v>804642</v>
      </c>
      <c r="J1016" s="8">
        <f t="shared" si="45"/>
        <v>782458</v>
      </c>
      <c r="K1016" s="10">
        <f t="shared" si="46"/>
        <v>0.4930111524163569</v>
      </c>
      <c r="L1016" s="17">
        <f t="shared" si="47"/>
        <v>0</v>
      </c>
      <c r="M1016" t="str">
        <f>VLOOKUP(D1016,'Jer-Tip-Emp'!B:E,4,0)</f>
        <v>Platos especiales</v>
      </c>
      <c r="N1016" t="str">
        <f>VLOOKUP(D1016,'Jer-Tip-Emp'!B:F,5,0)</f>
        <v>Personal</v>
      </c>
      <c r="O1016" t="str">
        <f>VLOOKUP(D1016,'Jer-Tip-Emp'!B:G,6,0)</f>
        <v>Platos especiales</v>
      </c>
    </row>
    <row r="1017" spans="1:15" ht="27.5" customHeight="1" x14ac:dyDescent="0.2">
      <c r="A1017">
        <v>2025</v>
      </c>
      <c r="B1017" t="s">
        <v>615</v>
      </c>
      <c r="C1017" t="s">
        <v>609</v>
      </c>
      <c r="D1017" s="19" t="s">
        <v>322</v>
      </c>
      <c r="E1017" s="18" t="s">
        <v>545</v>
      </c>
      <c r="F1017" s="18">
        <v>57</v>
      </c>
      <c r="G1017" s="20">
        <v>113805</v>
      </c>
      <c r="H1017" s="18">
        <v>-195</v>
      </c>
      <c r="I1017" s="20">
        <v>177156</v>
      </c>
      <c r="J1017" s="8">
        <f t="shared" si="45"/>
        <v>-63351</v>
      </c>
      <c r="K1017" s="10">
        <f t="shared" si="46"/>
        <v>-0.55666271253459865</v>
      </c>
      <c r="L1017" s="17">
        <f t="shared" si="47"/>
        <v>1.7134572294714644E-3</v>
      </c>
      <c r="M1017" t="str">
        <f>VLOOKUP(D1017,'Jer-Tip-Emp'!B:E,4,0)</f>
        <v>Arma tu plato</v>
      </c>
      <c r="N1017" t="str">
        <f>VLOOKUP(D1017,'Jer-Tip-Emp'!B:F,5,0)</f>
        <v>Personal</v>
      </c>
      <c r="O1017" t="str">
        <f>VLOOKUP(D1017,'Jer-Tip-Emp'!B:G,6,0)</f>
        <v>Caja</v>
      </c>
    </row>
    <row r="1018" spans="1:15" ht="27.5" customHeight="1" x14ac:dyDescent="0.2">
      <c r="A1018">
        <v>2025</v>
      </c>
      <c r="B1018" t="s">
        <v>615</v>
      </c>
      <c r="C1018" t="s">
        <v>609</v>
      </c>
      <c r="D1018" s="19" t="s">
        <v>354</v>
      </c>
      <c r="E1018" s="18" t="s">
        <v>548</v>
      </c>
      <c r="F1018" s="18">
        <v>53</v>
      </c>
      <c r="G1018" s="18">
        <v>0</v>
      </c>
      <c r="H1018" s="18">
        <v>0</v>
      </c>
      <c r="I1018" s="20">
        <v>139602</v>
      </c>
      <c r="J1018" s="8">
        <f t="shared" si="45"/>
        <v>-139602</v>
      </c>
      <c r="K1018" s="10">
        <f t="shared" si="46"/>
        <v>0</v>
      </c>
      <c r="L1018" s="17">
        <f t="shared" si="47"/>
        <v>0</v>
      </c>
      <c r="M1018" t="str">
        <f>VLOOKUP(D1018,'Jer-Tip-Emp'!B:E,4,0)</f>
        <v>Arma tu plato</v>
      </c>
      <c r="N1018" t="str">
        <f>VLOOKUP(D1018,'Jer-Tip-Emp'!B:F,5,0)</f>
        <v>Personal</v>
      </c>
      <c r="O1018" t="str">
        <f>VLOOKUP(D1018,'Jer-Tip-Emp'!B:G,6,0)</f>
        <v>Caja</v>
      </c>
    </row>
    <row r="1019" spans="1:15" ht="27.5" hidden="1" customHeight="1" x14ac:dyDescent="0.2">
      <c r="A1019">
        <v>2025</v>
      </c>
      <c r="B1019" t="s">
        <v>615</v>
      </c>
      <c r="C1019" t="s">
        <v>609</v>
      </c>
      <c r="D1019" s="19" t="s">
        <v>327</v>
      </c>
      <c r="E1019" s="18" t="s">
        <v>44</v>
      </c>
      <c r="F1019" s="18">
        <v>49</v>
      </c>
      <c r="G1019" s="20">
        <v>230300</v>
      </c>
      <c r="H1019" s="20">
        <v>-9800</v>
      </c>
      <c r="I1019" s="20">
        <v>53655</v>
      </c>
      <c r="J1019" s="8">
        <f t="shared" si="45"/>
        <v>176645</v>
      </c>
      <c r="K1019" s="10">
        <f t="shared" si="46"/>
        <v>0.76702127659574471</v>
      </c>
      <c r="L1019" s="17">
        <f t="shared" si="47"/>
        <v>4.2553191489361701E-2</v>
      </c>
      <c r="M1019" t="str">
        <f>VLOOKUP(D1019,'Jer-Tip-Emp'!B:E,4,0)</f>
        <v>Bebidas</v>
      </c>
      <c r="N1019" t="str">
        <f>VLOOKUP(D1019,'Jer-Tip-Emp'!B:F,5,0)</f>
        <v>Bebidas</v>
      </c>
      <c r="O1019" t="str">
        <f>VLOOKUP(D1019,'Jer-Tip-Emp'!B:G,6,0)</f>
        <v>Bebidas</v>
      </c>
    </row>
    <row r="1020" spans="1:15" ht="27.5" customHeight="1" x14ac:dyDescent="0.2">
      <c r="A1020">
        <v>2025</v>
      </c>
      <c r="B1020" t="s">
        <v>615</v>
      </c>
      <c r="C1020" t="s">
        <v>609</v>
      </c>
      <c r="D1020" s="19" t="s">
        <v>376</v>
      </c>
      <c r="E1020" s="18" t="s">
        <v>543</v>
      </c>
      <c r="F1020" s="18">
        <v>48</v>
      </c>
      <c r="G1020" s="18">
        <v>0</v>
      </c>
      <c r="H1020" s="18">
        <v>0</v>
      </c>
      <c r="I1020" s="20">
        <v>61536</v>
      </c>
      <c r="J1020" s="8">
        <f t="shared" si="45"/>
        <v>-61536</v>
      </c>
      <c r="K1020" s="10">
        <f t="shared" si="46"/>
        <v>0</v>
      </c>
      <c r="L1020" s="17">
        <f t="shared" si="47"/>
        <v>0</v>
      </c>
      <c r="M1020" t="str">
        <f>VLOOKUP(D1020,'Jer-Tip-Emp'!B:E,4,0)</f>
        <v>Arma tu plato</v>
      </c>
      <c r="N1020" t="str">
        <f>VLOOKUP(D1020,'Jer-Tip-Emp'!B:F,5,0)</f>
        <v>Personal</v>
      </c>
      <c r="O1020" t="str">
        <f>VLOOKUP(D1020,'Jer-Tip-Emp'!B:G,6,0)</f>
        <v>Caja</v>
      </c>
    </row>
    <row r="1021" spans="1:15" ht="27.5" hidden="1" customHeight="1" x14ac:dyDescent="0.2">
      <c r="A1021">
        <v>2025</v>
      </c>
      <c r="B1021" t="s">
        <v>615</v>
      </c>
      <c r="C1021" t="s">
        <v>609</v>
      </c>
      <c r="D1021" s="19" t="s">
        <v>500</v>
      </c>
      <c r="E1021" s="18" t="s">
        <v>546</v>
      </c>
      <c r="F1021" s="18">
        <v>47</v>
      </c>
      <c r="G1021" s="18">
        <v>0</v>
      </c>
      <c r="H1021" s="18">
        <v>0</v>
      </c>
      <c r="I1021" s="20">
        <v>40796</v>
      </c>
      <c r="J1021" s="8">
        <f t="shared" si="45"/>
        <v>-40796</v>
      </c>
      <c r="K1021" s="10">
        <f t="shared" si="46"/>
        <v>0</v>
      </c>
      <c r="L1021" s="17">
        <f t="shared" si="47"/>
        <v>0</v>
      </c>
      <c r="M1021" t="str">
        <f>VLOOKUP(D1021,'Jer-Tip-Emp'!B:E,4,0)</f>
        <v>Bebidas</v>
      </c>
      <c r="N1021" t="str">
        <f>VLOOKUP(D1021,'Jer-Tip-Emp'!B:F,5,0)</f>
        <v>Bebidas Cambio de bebida</v>
      </c>
      <c r="O1021" t="str">
        <f>VLOOKUP(D1021,'Jer-Tip-Emp'!B:G,6,0)</f>
        <v>Bebidas</v>
      </c>
    </row>
    <row r="1022" spans="1:15" ht="27.5" hidden="1" customHeight="1" x14ac:dyDescent="0.2">
      <c r="A1022">
        <v>2025</v>
      </c>
      <c r="B1022" t="s">
        <v>615</v>
      </c>
      <c r="C1022" t="s">
        <v>609</v>
      </c>
      <c r="D1022" s="19" t="s">
        <v>176</v>
      </c>
      <c r="E1022" s="18" t="s">
        <v>544</v>
      </c>
      <c r="F1022" s="18">
        <v>40</v>
      </c>
      <c r="G1022" s="20">
        <v>39808</v>
      </c>
      <c r="H1022" s="18">
        <v>-192</v>
      </c>
      <c r="I1022" s="20">
        <v>77800</v>
      </c>
      <c r="J1022" s="8">
        <f t="shared" si="45"/>
        <v>-37992</v>
      </c>
      <c r="K1022" s="10">
        <f t="shared" si="46"/>
        <v>-0.95438102893890675</v>
      </c>
      <c r="L1022" s="17">
        <f t="shared" si="47"/>
        <v>4.8231511254019296E-3</v>
      </c>
      <c r="M1022" t="str">
        <f>VLOOKUP(D1022,'Jer-Tip-Emp'!B:E,4,0)</f>
        <v>Bebidas</v>
      </c>
      <c r="N1022" t="str">
        <f>VLOOKUP(D1022,'Jer-Tip-Emp'!B:F,5,0)</f>
        <v>Bebidas Cambio de bebida</v>
      </c>
      <c r="O1022" t="str">
        <f>VLOOKUP(D1022,'Jer-Tip-Emp'!B:G,6,0)</f>
        <v>Bebidas</v>
      </c>
    </row>
    <row r="1023" spans="1:15" ht="27.5" hidden="1" customHeight="1" x14ac:dyDescent="0.2">
      <c r="A1023">
        <v>2025</v>
      </c>
      <c r="B1023" t="s">
        <v>615</v>
      </c>
      <c r="C1023" t="s">
        <v>609</v>
      </c>
      <c r="D1023" s="19" t="s">
        <v>351</v>
      </c>
      <c r="E1023" s="18" t="s">
        <v>55</v>
      </c>
      <c r="F1023" s="18">
        <v>33</v>
      </c>
      <c r="G1023" s="20">
        <v>187548</v>
      </c>
      <c r="H1023" s="20">
        <v>-7152</v>
      </c>
      <c r="I1023" s="20">
        <v>47784</v>
      </c>
      <c r="J1023" s="8">
        <f t="shared" si="45"/>
        <v>139764</v>
      </c>
      <c r="K1023" s="10">
        <f t="shared" si="46"/>
        <v>0.74521722439055604</v>
      </c>
      <c r="L1023" s="17">
        <f t="shared" si="47"/>
        <v>3.8134237635165401E-2</v>
      </c>
      <c r="M1023" t="str">
        <f>VLOOKUP(D1023,'Jer-Tip-Emp'!B:E,4,0)</f>
        <v>Bebidas</v>
      </c>
      <c r="N1023" t="str">
        <f>VLOOKUP(D1023,'Jer-Tip-Emp'!B:F,5,0)</f>
        <v>Bebidas</v>
      </c>
      <c r="O1023" t="str">
        <f>VLOOKUP(D1023,'Jer-Tip-Emp'!B:G,6,0)</f>
        <v>Bebidas</v>
      </c>
    </row>
    <row r="1024" spans="1:15" ht="27.5" customHeight="1" x14ac:dyDescent="0.2">
      <c r="A1024">
        <v>2025</v>
      </c>
      <c r="B1024" t="s">
        <v>615</v>
      </c>
      <c r="C1024" t="s">
        <v>609</v>
      </c>
      <c r="D1024" s="19" t="s">
        <v>294</v>
      </c>
      <c r="E1024" s="18" t="s">
        <v>108</v>
      </c>
      <c r="F1024" s="18">
        <v>33</v>
      </c>
      <c r="G1024" s="20">
        <v>634800</v>
      </c>
      <c r="H1024" s="20">
        <v>-21900</v>
      </c>
      <c r="I1024" s="20">
        <v>270039</v>
      </c>
      <c r="J1024" s="8">
        <f t="shared" si="45"/>
        <v>364761</v>
      </c>
      <c r="K1024" s="10">
        <f t="shared" si="46"/>
        <v>0.57460775047258983</v>
      </c>
      <c r="L1024" s="17">
        <f t="shared" si="47"/>
        <v>3.4499054820415882E-2</v>
      </c>
      <c r="M1024" t="str">
        <f>VLOOKUP(D1024,'Jer-Tip-Emp'!B:E,4,0)</f>
        <v>Mong Express</v>
      </c>
      <c r="N1024" t="str">
        <f>VLOOKUP(D1024,'Jer-Tip-Emp'!B:F,5,0)</f>
        <v>Personal</v>
      </c>
      <c r="O1024" t="str">
        <f>VLOOKUP(D1024,'Jer-Tip-Emp'!B:G,6,0)</f>
        <v>Caja</v>
      </c>
    </row>
    <row r="1025" spans="1:15" ht="27.5" customHeight="1" x14ac:dyDescent="0.2">
      <c r="A1025">
        <v>2025</v>
      </c>
      <c r="B1025" t="s">
        <v>615</v>
      </c>
      <c r="C1025" t="s">
        <v>609</v>
      </c>
      <c r="D1025" s="19" t="s">
        <v>470</v>
      </c>
      <c r="E1025" s="18" t="s">
        <v>550</v>
      </c>
      <c r="F1025" s="18">
        <v>32</v>
      </c>
      <c r="G1025" s="18">
        <v>0</v>
      </c>
      <c r="H1025" s="18">
        <v>0</v>
      </c>
      <c r="I1025" s="20">
        <v>99104</v>
      </c>
      <c r="J1025" s="8">
        <f t="shared" ref="J1025:J1088" si="48">G1025-I1025</f>
        <v>-99104</v>
      </c>
      <c r="K1025" s="10">
        <f t="shared" ref="K1025:K1088" si="49">IFERROR(J1025/G1025,0)</f>
        <v>0</v>
      </c>
      <c r="L1025" s="17">
        <f t="shared" ref="L1025:L1088" si="50">IFERROR((H1025/G1025)*-1,0)</f>
        <v>0</v>
      </c>
      <c r="M1025" t="str">
        <f>VLOOKUP(D1025,'Jer-Tip-Emp'!B:E,4,0)</f>
        <v>Arma tu plato</v>
      </c>
      <c r="N1025" t="str">
        <f>VLOOKUP(D1025,'Jer-Tip-Emp'!B:F,5,0)</f>
        <v>Personal</v>
      </c>
      <c r="O1025" t="str">
        <f>VLOOKUP(D1025,'Jer-Tip-Emp'!B:G,6,0)</f>
        <v>Caja</v>
      </c>
    </row>
    <row r="1026" spans="1:15" ht="27.5" customHeight="1" x14ac:dyDescent="0.2">
      <c r="A1026">
        <v>2025</v>
      </c>
      <c r="B1026" t="s">
        <v>615</v>
      </c>
      <c r="C1026" t="s">
        <v>609</v>
      </c>
      <c r="D1026" s="19" t="s">
        <v>219</v>
      </c>
      <c r="E1026" s="18" t="s">
        <v>111</v>
      </c>
      <c r="F1026" s="18">
        <v>30</v>
      </c>
      <c r="G1026" s="20">
        <v>807000</v>
      </c>
      <c r="H1026" s="18">
        <v>0</v>
      </c>
      <c r="I1026" s="20">
        <v>407010</v>
      </c>
      <c r="J1026" s="8">
        <f t="shared" si="48"/>
        <v>399990</v>
      </c>
      <c r="K1026" s="10">
        <f t="shared" si="49"/>
        <v>0.49565055762081783</v>
      </c>
      <c r="L1026" s="17">
        <f t="shared" si="50"/>
        <v>0</v>
      </c>
      <c r="M1026" t="str">
        <f>VLOOKUP(D1026,'Jer-Tip-Emp'!B:E,4,0)</f>
        <v>Platos especiales</v>
      </c>
      <c r="N1026" t="str">
        <f>VLOOKUP(D1026,'Jer-Tip-Emp'!B:F,5,0)</f>
        <v>Personal</v>
      </c>
      <c r="O1026" t="str">
        <f>VLOOKUP(D1026,'Jer-Tip-Emp'!B:G,6,0)</f>
        <v>Platos especiales</v>
      </c>
    </row>
    <row r="1027" spans="1:15" ht="27.5" customHeight="1" x14ac:dyDescent="0.2">
      <c r="A1027">
        <v>2025</v>
      </c>
      <c r="B1027" t="s">
        <v>615</v>
      </c>
      <c r="C1027" t="s">
        <v>609</v>
      </c>
      <c r="D1027" s="19" t="s">
        <v>245</v>
      </c>
      <c r="E1027" s="18" t="s">
        <v>167</v>
      </c>
      <c r="F1027" s="18">
        <v>28</v>
      </c>
      <c r="G1027" s="20">
        <v>483577</v>
      </c>
      <c r="H1027" s="20">
        <v>-73623</v>
      </c>
      <c r="I1027" s="18">
        <v>0</v>
      </c>
      <c r="J1027" s="8">
        <f t="shared" si="48"/>
        <v>483577</v>
      </c>
      <c r="K1027" s="10">
        <f t="shared" si="49"/>
        <v>1</v>
      </c>
      <c r="L1027" s="17">
        <f t="shared" si="50"/>
        <v>0.15224669494206713</v>
      </c>
      <c r="M1027" t="str">
        <f>VLOOKUP(D1027,'Jer-Tip-Emp'!B:E,4,0)</f>
        <v>Mong Express</v>
      </c>
      <c r="N1027" t="str">
        <f>VLOOKUP(D1027,'Jer-Tip-Emp'!B:F,5,0)</f>
        <v>Personal</v>
      </c>
      <c r="O1027" t="str">
        <f>VLOOKUP(D1027,'Jer-Tip-Emp'!B:G,6,0)</f>
        <v>Caja</v>
      </c>
    </row>
    <row r="1028" spans="1:15" ht="27.5" customHeight="1" x14ac:dyDescent="0.2">
      <c r="A1028">
        <v>2025</v>
      </c>
      <c r="B1028" t="s">
        <v>615</v>
      </c>
      <c r="C1028" t="s">
        <v>609</v>
      </c>
      <c r="D1028" s="19" t="s">
        <v>448</v>
      </c>
      <c r="E1028" s="18" t="s">
        <v>552</v>
      </c>
      <c r="F1028" s="18">
        <v>27</v>
      </c>
      <c r="G1028" s="18">
        <v>0</v>
      </c>
      <c r="H1028" s="18">
        <v>0</v>
      </c>
      <c r="I1028" s="20">
        <v>142101</v>
      </c>
      <c r="J1028" s="8">
        <f t="shared" si="48"/>
        <v>-142101</v>
      </c>
      <c r="K1028" s="10">
        <f t="shared" si="49"/>
        <v>0</v>
      </c>
      <c r="L1028" s="17">
        <f t="shared" si="50"/>
        <v>0</v>
      </c>
      <c r="M1028" t="str">
        <f>VLOOKUP(D1028,'Jer-Tip-Emp'!B:E,4,0)</f>
        <v>Arma tu plato</v>
      </c>
      <c r="N1028" t="str">
        <f>VLOOKUP(D1028,'Jer-Tip-Emp'!B:F,5,0)</f>
        <v>Personal</v>
      </c>
      <c r="O1028" t="str">
        <f>VLOOKUP(D1028,'Jer-Tip-Emp'!B:G,6,0)</f>
        <v>Caja</v>
      </c>
    </row>
    <row r="1029" spans="1:15" ht="27.5" hidden="1" customHeight="1" x14ac:dyDescent="0.2">
      <c r="A1029">
        <v>2025</v>
      </c>
      <c r="B1029" t="s">
        <v>615</v>
      </c>
      <c r="C1029" t="s">
        <v>609</v>
      </c>
      <c r="D1029" s="19" t="s">
        <v>253</v>
      </c>
      <c r="E1029" s="18" t="s">
        <v>105</v>
      </c>
      <c r="F1029" s="18">
        <v>24</v>
      </c>
      <c r="G1029" s="20">
        <v>120000</v>
      </c>
      <c r="H1029" s="18">
        <v>0</v>
      </c>
      <c r="I1029" s="20">
        <v>37656</v>
      </c>
      <c r="J1029" s="8">
        <f t="shared" si="48"/>
        <v>82344</v>
      </c>
      <c r="K1029" s="10">
        <f t="shared" si="49"/>
        <v>0.68620000000000003</v>
      </c>
      <c r="L1029" s="17">
        <f t="shared" si="50"/>
        <v>0</v>
      </c>
      <c r="M1029" t="str">
        <f>VLOOKUP(D1029,'Jer-Tip-Emp'!B:E,4,0)</f>
        <v>Entradas</v>
      </c>
      <c r="N1029" t="str">
        <f>VLOOKUP(D1029,'Jer-Tip-Emp'!B:F,5,0)</f>
        <v>Otro</v>
      </c>
      <c r="O1029" t="str">
        <f>VLOOKUP(D1029,'Jer-Tip-Emp'!B:G,6,0)</f>
        <v>Otro</v>
      </c>
    </row>
    <row r="1030" spans="1:15" ht="27.5" customHeight="1" x14ac:dyDescent="0.2">
      <c r="A1030">
        <v>2025</v>
      </c>
      <c r="B1030" t="s">
        <v>615</v>
      </c>
      <c r="C1030" t="s">
        <v>609</v>
      </c>
      <c r="D1030" s="19" t="s">
        <v>303</v>
      </c>
      <c r="E1030" s="18" t="s">
        <v>120</v>
      </c>
      <c r="F1030" s="18">
        <v>23</v>
      </c>
      <c r="G1030" s="20">
        <v>526700</v>
      </c>
      <c r="H1030" s="18">
        <v>0</v>
      </c>
      <c r="I1030" s="20">
        <v>172822</v>
      </c>
      <c r="J1030" s="8">
        <f t="shared" si="48"/>
        <v>353878</v>
      </c>
      <c r="K1030" s="10">
        <f t="shared" si="49"/>
        <v>0.67187772925764189</v>
      </c>
      <c r="L1030" s="17">
        <f t="shared" si="50"/>
        <v>0</v>
      </c>
      <c r="M1030" t="str">
        <f>VLOOKUP(D1030,'Jer-Tip-Emp'!B:E,4,0)</f>
        <v>Platos mong</v>
      </c>
      <c r="N1030" t="str">
        <f>VLOOKUP(D1030,'Jer-Tip-Emp'!B:F,5,0)</f>
        <v>Personal</v>
      </c>
      <c r="O1030" t="str">
        <f>VLOOKUP(D1030,'Jer-Tip-Emp'!B:G,6,0)</f>
        <v>Caja</v>
      </c>
    </row>
    <row r="1031" spans="1:15" ht="27.5" hidden="1" customHeight="1" x14ac:dyDescent="0.2">
      <c r="A1031">
        <v>2025</v>
      </c>
      <c r="B1031" t="s">
        <v>615</v>
      </c>
      <c r="C1031" t="s">
        <v>609</v>
      </c>
      <c r="D1031" s="19" t="s">
        <v>309</v>
      </c>
      <c r="E1031" s="18" t="s">
        <v>48</v>
      </c>
      <c r="F1031" s="18">
        <v>23</v>
      </c>
      <c r="G1031" s="20">
        <v>89700</v>
      </c>
      <c r="H1031" s="18">
        <v>0</v>
      </c>
      <c r="I1031" s="20">
        <v>26749</v>
      </c>
      <c r="J1031" s="8">
        <f t="shared" si="48"/>
        <v>62951</v>
      </c>
      <c r="K1031" s="10">
        <f t="shared" si="49"/>
        <v>0.70179487179487177</v>
      </c>
      <c r="L1031" s="17">
        <f t="shared" si="50"/>
        <v>0</v>
      </c>
      <c r="M1031" t="str">
        <f>VLOOKUP(D1031,'Jer-Tip-Emp'!B:E,4,0)</f>
        <v>Bebidas</v>
      </c>
      <c r="N1031" t="str">
        <f>VLOOKUP(D1031,'Jer-Tip-Emp'!B:F,5,0)</f>
        <v>Bebidas</v>
      </c>
      <c r="O1031" t="str">
        <f>VLOOKUP(D1031,'Jer-Tip-Emp'!B:G,6,0)</f>
        <v>Bebidas</v>
      </c>
    </row>
    <row r="1032" spans="1:15" ht="27.5" hidden="1" customHeight="1" x14ac:dyDescent="0.2">
      <c r="A1032">
        <v>2025</v>
      </c>
      <c r="B1032" t="s">
        <v>615</v>
      </c>
      <c r="C1032" t="s">
        <v>609</v>
      </c>
      <c r="D1032" s="19" t="s">
        <v>262</v>
      </c>
      <c r="E1032" s="18" t="s">
        <v>102</v>
      </c>
      <c r="F1032" s="18">
        <v>21</v>
      </c>
      <c r="G1032" s="20">
        <v>354900</v>
      </c>
      <c r="H1032" s="18">
        <v>0</v>
      </c>
      <c r="I1032" s="20">
        <v>130515</v>
      </c>
      <c r="J1032" s="8">
        <f t="shared" si="48"/>
        <v>224385</v>
      </c>
      <c r="K1032" s="10">
        <f t="shared" si="49"/>
        <v>0.63224852071005921</v>
      </c>
      <c r="L1032" s="17">
        <f t="shared" si="50"/>
        <v>0</v>
      </c>
      <c r="M1032" t="str">
        <f>VLOOKUP(D1032,'Jer-Tip-Emp'!B:E,4,0)</f>
        <v>Entradas</v>
      </c>
      <c r="N1032" t="str">
        <f>VLOOKUP(D1032,'Jer-Tip-Emp'!B:F,5,0)</f>
        <v>Otro</v>
      </c>
      <c r="O1032" t="str">
        <f>VLOOKUP(D1032,'Jer-Tip-Emp'!B:G,6,0)</f>
        <v>Otro</v>
      </c>
    </row>
    <row r="1033" spans="1:15" ht="27.5" customHeight="1" x14ac:dyDescent="0.2">
      <c r="A1033">
        <v>2025</v>
      </c>
      <c r="B1033" t="s">
        <v>615</v>
      </c>
      <c r="C1033" t="s">
        <v>609</v>
      </c>
      <c r="D1033" s="19" t="s">
        <v>246</v>
      </c>
      <c r="E1033" s="18" t="s">
        <v>29</v>
      </c>
      <c r="F1033" s="18">
        <v>21</v>
      </c>
      <c r="G1033" s="20">
        <v>165900</v>
      </c>
      <c r="H1033" s="18">
        <v>0</v>
      </c>
      <c r="I1033" s="18">
        <v>0</v>
      </c>
      <c r="J1033" s="8">
        <f t="shared" si="48"/>
        <v>165900</v>
      </c>
      <c r="K1033" s="10">
        <f t="shared" si="49"/>
        <v>1</v>
      </c>
      <c r="L1033" s="17">
        <f t="shared" si="50"/>
        <v>0</v>
      </c>
      <c r="M1033" t="str">
        <f>VLOOKUP(D1033,'Jer-Tip-Emp'!B:E,4,0)</f>
        <v>Armalo en combo</v>
      </c>
      <c r="N1033" t="str">
        <f>VLOOKUP(D1033,'Jer-Tip-Emp'!B:F,5,0)</f>
        <v>Personal</v>
      </c>
      <c r="O1033" t="str">
        <f>VLOOKUP(D1033,'Jer-Tip-Emp'!B:G,6,0)</f>
        <v>Combo</v>
      </c>
    </row>
    <row r="1034" spans="1:15" ht="27.5" customHeight="1" x14ac:dyDescent="0.2">
      <c r="A1034">
        <v>2025</v>
      </c>
      <c r="B1034" t="s">
        <v>615</v>
      </c>
      <c r="C1034" t="s">
        <v>609</v>
      </c>
      <c r="D1034" s="19" t="s">
        <v>224</v>
      </c>
      <c r="E1034" s="18" t="s">
        <v>114</v>
      </c>
      <c r="F1034" s="18">
        <v>21</v>
      </c>
      <c r="G1034" s="20">
        <v>522900</v>
      </c>
      <c r="H1034" s="18">
        <v>0</v>
      </c>
      <c r="I1034" s="20">
        <v>267078</v>
      </c>
      <c r="J1034" s="8">
        <f t="shared" si="48"/>
        <v>255822</v>
      </c>
      <c r="K1034" s="10">
        <f t="shared" si="49"/>
        <v>0.48923694779116467</v>
      </c>
      <c r="L1034" s="17">
        <f t="shared" si="50"/>
        <v>0</v>
      </c>
      <c r="M1034" t="str">
        <f>VLOOKUP(D1034,'Jer-Tip-Emp'!B:E,4,0)</f>
        <v>Platos especiales</v>
      </c>
      <c r="N1034" t="str">
        <f>VLOOKUP(D1034,'Jer-Tip-Emp'!B:F,5,0)</f>
        <v>Personal</v>
      </c>
      <c r="O1034" t="str">
        <f>VLOOKUP(D1034,'Jer-Tip-Emp'!B:G,6,0)</f>
        <v>Platos especiales</v>
      </c>
    </row>
    <row r="1035" spans="1:15" ht="27.5" hidden="1" customHeight="1" x14ac:dyDescent="0.2">
      <c r="A1035">
        <v>2025</v>
      </c>
      <c r="B1035" t="s">
        <v>615</v>
      </c>
      <c r="C1035" t="s">
        <v>609</v>
      </c>
      <c r="D1035" s="19" t="s">
        <v>268</v>
      </c>
      <c r="E1035" s="18" t="s">
        <v>17</v>
      </c>
      <c r="F1035" s="18">
        <v>21</v>
      </c>
      <c r="G1035" s="20">
        <v>116700</v>
      </c>
      <c r="H1035" s="20">
        <v>-7200</v>
      </c>
      <c r="I1035" s="20">
        <v>26922</v>
      </c>
      <c r="J1035" s="8">
        <f t="shared" si="48"/>
        <v>89778</v>
      </c>
      <c r="K1035" s="10">
        <f t="shared" si="49"/>
        <v>0.76930591259640102</v>
      </c>
      <c r="L1035" s="17">
        <f t="shared" si="50"/>
        <v>6.1696658097686374E-2</v>
      </c>
      <c r="M1035" t="str">
        <f>VLOOKUP(D1035,'Jer-Tip-Emp'!B:E,4,0)</f>
        <v>Adición</v>
      </c>
      <c r="N1035" t="str">
        <f>VLOOKUP(D1035,'Jer-Tip-Emp'!B:F,5,0)</f>
        <v>Adición</v>
      </c>
      <c r="O1035" t="str">
        <f>VLOOKUP(D1035,'Jer-Tip-Emp'!B:G,6,0)</f>
        <v>Adición</v>
      </c>
    </row>
    <row r="1036" spans="1:15" ht="27.5" hidden="1" customHeight="1" x14ac:dyDescent="0.2">
      <c r="A1036">
        <v>2025</v>
      </c>
      <c r="B1036" t="s">
        <v>615</v>
      </c>
      <c r="C1036" t="s">
        <v>609</v>
      </c>
      <c r="D1036" s="19" t="s">
        <v>326</v>
      </c>
      <c r="E1036" s="18" t="s">
        <v>69</v>
      </c>
      <c r="F1036" s="18">
        <v>20</v>
      </c>
      <c r="G1036" s="20">
        <v>98000</v>
      </c>
      <c r="H1036" s="18">
        <v>0</v>
      </c>
      <c r="I1036" s="20">
        <v>26600</v>
      </c>
      <c r="J1036" s="8">
        <f t="shared" si="48"/>
        <v>71400</v>
      </c>
      <c r="K1036" s="10">
        <f t="shared" si="49"/>
        <v>0.72857142857142854</v>
      </c>
      <c r="L1036" s="17">
        <f t="shared" si="50"/>
        <v>0</v>
      </c>
      <c r="M1036" t="str">
        <f>VLOOKUP(D1036,'Jer-Tip-Emp'!B:E,4,0)</f>
        <v>Bebidas</v>
      </c>
      <c r="N1036" t="str">
        <f>VLOOKUP(D1036,'Jer-Tip-Emp'!B:F,5,0)</f>
        <v>Bebidas</v>
      </c>
      <c r="O1036" t="str">
        <f>VLOOKUP(D1036,'Jer-Tip-Emp'!B:G,6,0)</f>
        <v>Bebidas</v>
      </c>
    </row>
    <row r="1037" spans="1:15" ht="27.5" customHeight="1" x14ac:dyDescent="0.2">
      <c r="A1037">
        <v>2025</v>
      </c>
      <c r="B1037" t="s">
        <v>615</v>
      </c>
      <c r="C1037" t="s">
        <v>609</v>
      </c>
      <c r="D1037" s="19" t="s">
        <v>206</v>
      </c>
      <c r="E1037" s="18" t="s">
        <v>117</v>
      </c>
      <c r="F1037" s="18">
        <v>19</v>
      </c>
      <c r="G1037" s="20">
        <v>304200</v>
      </c>
      <c r="H1037" s="20">
        <v>-16900</v>
      </c>
      <c r="I1037" s="20">
        <v>135375</v>
      </c>
      <c r="J1037" s="8">
        <f t="shared" si="48"/>
        <v>168825</v>
      </c>
      <c r="K1037" s="10">
        <f t="shared" si="49"/>
        <v>0.55498027613412226</v>
      </c>
      <c r="L1037" s="17">
        <f t="shared" si="50"/>
        <v>5.5555555555555552E-2</v>
      </c>
      <c r="M1037" t="str">
        <f>VLOOKUP(D1037,'Jer-Tip-Emp'!B:E,4,0)</f>
        <v>Platos especiales</v>
      </c>
      <c r="N1037" t="str">
        <f>VLOOKUP(D1037,'Jer-Tip-Emp'!B:F,5,0)</f>
        <v>Personal</v>
      </c>
      <c r="O1037" t="str">
        <f>VLOOKUP(D1037,'Jer-Tip-Emp'!B:G,6,0)</f>
        <v>Platos especiales</v>
      </c>
    </row>
    <row r="1038" spans="1:15" ht="27.5" customHeight="1" x14ac:dyDescent="0.2">
      <c r="A1038">
        <v>2025</v>
      </c>
      <c r="B1038" t="s">
        <v>615</v>
      </c>
      <c r="C1038" t="s">
        <v>609</v>
      </c>
      <c r="D1038" s="19" t="s">
        <v>244</v>
      </c>
      <c r="E1038" s="18" t="s">
        <v>113</v>
      </c>
      <c r="F1038" s="18">
        <v>18</v>
      </c>
      <c r="G1038" s="20">
        <v>491300</v>
      </c>
      <c r="H1038" s="20">
        <v>-28900</v>
      </c>
      <c r="I1038" s="20">
        <v>136890</v>
      </c>
      <c r="J1038" s="8">
        <f t="shared" si="48"/>
        <v>354410</v>
      </c>
      <c r="K1038" s="10">
        <f t="shared" si="49"/>
        <v>0.72137187054752694</v>
      </c>
      <c r="L1038" s="17">
        <f t="shared" si="50"/>
        <v>5.8823529411764705E-2</v>
      </c>
      <c r="M1038" t="str">
        <f>VLOOKUP(D1038,'Jer-Tip-Emp'!B:E,4,0)</f>
        <v>Platos especiales</v>
      </c>
      <c r="N1038" t="str">
        <f>VLOOKUP(D1038,'Jer-Tip-Emp'!B:F,5,0)</f>
        <v>Personal</v>
      </c>
      <c r="O1038" t="str">
        <f>VLOOKUP(D1038,'Jer-Tip-Emp'!B:G,6,0)</f>
        <v>Platos especiales</v>
      </c>
    </row>
    <row r="1039" spans="1:15" ht="27.5" customHeight="1" x14ac:dyDescent="0.2">
      <c r="A1039">
        <v>2025</v>
      </c>
      <c r="B1039" t="s">
        <v>615</v>
      </c>
      <c r="C1039" t="s">
        <v>609</v>
      </c>
      <c r="D1039" s="19" t="s">
        <v>474</v>
      </c>
      <c r="E1039" s="18" t="s">
        <v>553</v>
      </c>
      <c r="F1039" s="18">
        <v>17</v>
      </c>
      <c r="G1039" s="18">
        <v>0</v>
      </c>
      <c r="H1039" s="18">
        <v>0</v>
      </c>
      <c r="I1039" s="20">
        <v>48433</v>
      </c>
      <c r="J1039" s="8">
        <f t="shared" si="48"/>
        <v>-48433</v>
      </c>
      <c r="K1039" s="10">
        <f t="shared" si="49"/>
        <v>0</v>
      </c>
      <c r="L1039" s="17">
        <f t="shared" si="50"/>
        <v>0</v>
      </c>
      <c r="M1039" t="str">
        <f>VLOOKUP(D1039,'Jer-Tip-Emp'!B:E,4,0)</f>
        <v>Arma tu plato</v>
      </c>
      <c r="N1039" t="str">
        <f>VLOOKUP(D1039,'Jer-Tip-Emp'!B:F,5,0)</f>
        <v>Personal</v>
      </c>
      <c r="O1039" t="str">
        <f>VLOOKUP(D1039,'Jer-Tip-Emp'!B:G,6,0)</f>
        <v>Caja</v>
      </c>
    </row>
    <row r="1040" spans="1:15" ht="27.5" customHeight="1" x14ac:dyDescent="0.2">
      <c r="A1040">
        <v>2025</v>
      </c>
      <c r="B1040" t="s">
        <v>615</v>
      </c>
      <c r="C1040" t="s">
        <v>609</v>
      </c>
      <c r="D1040" s="19" t="s">
        <v>214</v>
      </c>
      <c r="E1040" s="18" t="s">
        <v>81</v>
      </c>
      <c r="F1040" s="18">
        <v>17</v>
      </c>
      <c r="G1040" s="20">
        <v>1016365</v>
      </c>
      <c r="H1040" s="20">
        <v>-1935</v>
      </c>
      <c r="I1040" s="20">
        <v>401846</v>
      </c>
      <c r="J1040" s="8">
        <f t="shared" si="48"/>
        <v>614519</v>
      </c>
      <c r="K1040" s="10">
        <f t="shared" si="49"/>
        <v>0.60462432295484403</v>
      </c>
      <c r="L1040" s="17">
        <f t="shared" si="50"/>
        <v>1.9038435994942762E-3</v>
      </c>
      <c r="M1040" t="str">
        <f>VLOOKUP(D1040,'Jer-Tip-Emp'!B:E,4,0)</f>
        <v>Combos para compartir</v>
      </c>
      <c r="N1040" t="str">
        <f>VLOOKUP(D1040,'Jer-Tip-Emp'!B:F,5,0)</f>
        <v>No Personal</v>
      </c>
      <c r="O1040" t="str">
        <f>VLOOKUP(D1040,'Jer-Tip-Emp'!B:G,6,0)</f>
        <v>Combo</v>
      </c>
    </row>
    <row r="1041" spans="1:15" ht="27.5" hidden="1" customHeight="1" x14ac:dyDescent="0.2">
      <c r="A1041">
        <v>2025</v>
      </c>
      <c r="B1041" t="s">
        <v>615</v>
      </c>
      <c r="C1041" t="s">
        <v>609</v>
      </c>
      <c r="D1041" s="19" t="s">
        <v>337</v>
      </c>
      <c r="E1041" s="18" t="s">
        <v>58</v>
      </c>
      <c r="F1041" s="18">
        <v>17</v>
      </c>
      <c r="G1041" s="20">
        <v>83300</v>
      </c>
      <c r="H1041" s="18">
        <v>0</v>
      </c>
      <c r="I1041" s="20">
        <v>26520</v>
      </c>
      <c r="J1041" s="8">
        <f t="shared" si="48"/>
        <v>56780</v>
      </c>
      <c r="K1041" s="10">
        <f t="shared" si="49"/>
        <v>0.68163265306122445</v>
      </c>
      <c r="L1041" s="17">
        <f t="shared" si="50"/>
        <v>0</v>
      </c>
      <c r="M1041" t="str">
        <f>VLOOKUP(D1041,'Jer-Tip-Emp'!B:E,4,0)</f>
        <v>Bebidas</v>
      </c>
      <c r="N1041" t="str">
        <f>VLOOKUP(D1041,'Jer-Tip-Emp'!B:F,5,0)</f>
        <v>Bebidas</v>
      </c>
      <c r="O1041" t="str">
        <f>VLOOKUP(D1041,'Jer-Tip-Emp'!B:G,6,0)</f>
        <v>Bebidas</v>
      </c>
    </row>
    <row r="1042" spans="1:15" ht="27.5" hidden="1" customHeight="1" x14ac:dyDescent="0.2">
      <c r="A1042">
        <v>2025</v>
      </c>
      <c r="B1042" t="s">
        <v>615</v>
      </c>
      <c r="C1042" t="s">
        <v>609</v>
      </c>
      <c r="D1042" s="19" t="s">
        <v>335</v>
      </c>
      <c r="E1042" s="18" t="s">
        <v>40</v>
      </c>
      <c r="F1042" s="18">
        <v>16</v>
      </c>
      <c r="G1042" s="20">
        <v>78400</v>
      </c>
      <c r="H1042" s="18">
        <v>0</v>
      </c>
      <c r="I1042" s="20">
        <v>21968</v>
      </c>
      <c r="J1042" s="8">
        <f t="shared" si="48"/>
        <v>56432</v>
      </c>
      <c r="K1042" s="10">
        <f t="shared" si="49"/>
        <v>0.71979591836734691</v>
      </c>
      <c r="L1042" s="17">
        <f t="shared" si="50"/>
        <v>0</v>
      </c>
      <c r="M1042" t="str">
        <f>VLOOKUP(D1042,'Jer-Tip-Emp'!B:E,4,0)</f>
        <v>Bebidas</v>
      </c>
      <c r="N1042" t="str">
        <f>VLOOKUP(D1042,'Jer-Tip-Emp'!B:F,5,0)</f>
        <v>Bebidas</v>
      </c>
      <c r="O1042" t="str">
        <f>VLOOKUP(D1042,'Jer-Tip-Emp'!B:G,6,0)</f>
        <v>Bebidas</v>
      </c>
    </row>
    <row r="1043" spans="1:15" ht="27.5" customHeight="1" x14ac:dyDescent="0.2">
      <c r="A1043">
        <v>2025</v>
      </c>
      <c r="B1043" t="s">
        <v>615</v>
      </c>
      <c r="C1043" t="s">
        <v>609</v>
      </c>
      <c r="D1043" s="19" t="s">
        <v>295</v>
      </c>
      <c r="E1043" s="18" t="s">
        <v>110</v>
      </c>
      <c r="F1043" s="18">
        <v>16</v>
      </c>
      <c r="G1043" s="20">
        <v>318400</v>
      </c>
      <c r="H1043" s="18">
        <v>0</v>
      </c>
      <c r="I1043" s="20">
        <v>108288</v>
      </c>
      <c r="J1043" s="8">
        <f t="shared" si="48"/>
        <v>210112</v>
      </c>
      <c r="K1043" s="10">
        <f t="shared" si="49"/>
        <v>0.65989949748743715</v>
      </c>
      <c r="L1043" s="17">
        <f t="shared" si="50"/>
        <v>0</v>
      </c>
      <c r="M1043" t="str">
        <f>VLOOKUP(D1043,'Jer-Tip-Emp'!B:E,4,0)</f>
        <v>Platos mong</v>
      </c>
      <c r="N1043" t="str">
        <f>VLOOKUP(D1043,'Jer-Tip-Emp'!B:F,5,0)</f>
        <v>Personal</v>
      </c>
      <c r="O1043" t="str">
        <f>VLOOKUP(D1043,'Jer-Tip-Emp'!B:G,6,0)</f>
        <v>Caja</v>
      </c>
    </row>
    <row r="1044" spans="1:15" ht="27.5" hidden="1" customHeight="1" x14ac:dyDescent="0.2">
      <c r="A1044">
        <v>2025</v>
      </c>
      <c r="B1044" t="s">
        <v>615</v>
      </c>
      <c r="C1044" t="s">
        <v>609</v>
      </c>
      <c r="D1044" s="19" t="s">
        <v>382</v>
      </c>
      <c r="E1044" s="18" t="s">
        <v>42</v>
      </c>
      <c r="F1044" s="18">
        <v>15</v>
      </c>
      <c r="G1044" s="20">
        <v>73500</v>
      </c>
      <c r="H1044" s="18">
        <v>0</v>
      </c>
      <c r="I1044" s="20">
        <v>20595</v>
      </c>
      <c r="J1044" s="8">
        <f t="shared" si="48"/>
        <v>52905</v>
      </c>
      <c r="K1044" s="10">
        <f t="shared" si="49"/>
        <v>0.71979591836734691</v>
      </c>
      <c r="L1044" s="17">
        <f t="shared" si="50"/>
        <v>0</v>
      </c>
      <c r="M1044" t="str">
        <f>VLOOKUP(D1044,'Jer-Tip-Emp'!B:E,4,0)</f>
        <v>Bebidas</v>
      </c>
      <c r="N1044" t="str">
        <f>VLOOKUP(D1044,'Jer-Tip-Emp'!B:F,5,0)</f>
        <v>Bebidas</v>
      </c>
      <c r="O1044" t="str">
        <f>VLOOKUP(D1044,'Jer-Tip-Emp'!B:G,6,0)</f>
        <v>Bebidas</v>
      </c>
    </row>
    <row r="1045" spans="1:15" ht="27.5" hidden="1" customHeight="1" x14ac:dyDescent="0.2">
      <c r="A1045">
        <v>2025</v>
      </c>
      <c r="B1045" t="s">
        <v>615</v>
      </c>
      <c r="C1045" t="s">
        <v>609</v>
      </c>
      <c r="D1045" s="19" t="s">
        <v>330</v>
      </c>
      <c r="E1045" s="18" t="s">
        <v>38</v>
      </c>
      <c r="F1045" s="18">
        <v>13</v>
      </c>
      <c r="G1045" s="20">
        <v>58800</v>
      </c>
      <c r="H1045" s="20">
        <v>-4900</v>
      </c>
      <c r="I1045" s="20">
        <v>16744</v>
      </c>
      <c r="J1045" s="8">
        <f t="shared" si="48"/>
        <v>42056</v>
      </c>
      <c r="K1045" s="10">
        <f t="shared" si="49"/>
        <v>0.71523809523809523</v>
      </c>
      <c r="L1045" s="17">
        <f t="shared" si="50"/>
        <v>8.3333333333333329E-2</v>
      </c>
      <c r="M1045" t="str">
        <f>VLOOKUP(D1045,'Jer-Tip-Emp'!B:E,4,0)</f>
        <v>Bebidas</v>
      </c>
      <c r="N1045" t="str">
        <f>VLOOKUP(D1045,'Jer-Tip-Emp'!B:F,5,0)</f>
        <v>Bebidas</v>
      </c>
      <c r="O1045" t="str">
        <f>VLOOKUP(D1045,'Jer-Tip-Emp'!B:G,6,0)</f>
        <v>Bebidas</v>
      </c>
    </row>
    <row r="1046" spans="1:15" ht="27.5" customHeight="1" x14ac:dyDescent="0.2">
      <c r="A1046">
        <v>2025</v>
      </c>
      <c r="B1046" t="s">
        <v>615</v>
      </c>
      <c r="C1046" t="s">
        <v>609</v>
      </c>
      <c r="D1046" s="19" t="s">
        <v>297</v>
      </c>
      <c r="E1046" s="18" t="s">
        <v>131</v>
      </c>
      <c r="F1046" s="18">
        <v>13</v>
      </c>
      <c r="G1046" s="20">
        <v>245700</v>
      </c>
      <c r="H1046" s="18">
        <v>0</v>
      </c>
      <c r="I1046" s="20">
        <v>70993</v>
      </c>
      <c r="J1046" s="8">
        <f t="shared" si="48"/>
        <v>174707</v>
      </c>
      <c r="K1046" s="10">
        <f t="shared" si="49"/>
        <v>0.71105820105820106</v>
      </c>
      <c r="L1046" s="17">
        <f t="shared" si="50"/>
        <v>0</v>
      </c>
      <c r="M1046" t="str">
        <f>VLOOKUP(D1046,'Jer-Tip-Emp'!B:E,4,0)</f>
        <v>Platos mong</v>
      </c>
      <c r="N1046" t="str">
        <f>VLOOKUP(D1046,'Jer-Tip-Emp'!B:F,5,0)</f>
        <v>Personal</v>
      </c>
      <c r="O1046" t="str">
        <f>VLOOKUP(D1046,'Jer-Tip-Emp'!B:G,6,0)</f>
        <v>Caja</v>
      </c>
    </row>
    <row r="1047" spans="1:15" ht="27.5" customHeight="1" x14ac:dyDescent="0.2">
      <c r="A1047">
        <v>2025</v>
      </c>
      <c r="B1047" t="s">
        <v>615</v>
      </c>
      <c r="C1047" t="s">
        <v>609</v>
      </c>
      <c r="D1047" s="19" t="s">
        <v>185</v>
      </c>
      <c r="E1047" s="18" t="s">
        <v>137</v>
      </c>
      <c r="F1047" s="18">
        <v>13</v>
      </c>
      <c r="G1047" s="20">
        <v>609700</v>
      </c>
      <c r="H1047" s="18">
        <v>0</v>
      </c>
      <c r="I1047" s="20">
        <v>260689</v>
      </c>
      <c r="J1047" s="8">
        <f t="shared" si="48"/>
        <v>349011</v>
      </c>
      <c r="K1047" s="10">
        <f t="shared" si="49"/>
        <v>0.57243070362473347</v>
      </c>
      <c r="L1047" s="17">
        <f t="shared" si="50"/>
        <v>0</v>
      </c>
      <c r="M1047" t="str">
        <f>VLOOKUP(D1047,'Jer-Tip-Emp'!B:E,4,0)</f>
        <v>Platos mong</v>
      </c>
      <c r="N1047" t="str">
        <f>VLOOKUP(D1047,'Jer-Tip-Emp'!B:F,5,0)</f>
        <v>No Personal</v>
      </c>
      <c r="O1047" t="str">
        <f>VLOOKUP(D1047,'Jer-Tip-Emp'!B:G,6,0)</f>
        <v>Platos Especiales</v>
      </c>
    </row>
    <row r="1048" spans="1:15" ht="27.5" hidden="1" customHeight="1" x14ac:dyDescent="0.2">
      <c r="A1048">
        <v>2025</v>
      </c>
      <c r="B1048" t="s">
        <v>615</v>
      </c>
      <c r="C1048" t="s">
        <v>609</v>
      </c>
      <c r="D1048" s="19" t="s">
        <v>282</v>
      </c>
      <c r="E1048" s="18" t="s">
        <v>19</v>
      </c>
      <c r="F1048" s="18">
        <v>13</v>
      </c>
      <c r="G1048" s="20">
        <v>76700</v>
      </c>
      <c r="H1048" s="18">
        <v>0</v>
      </c>
      <c r="I1048" s="20">
        <v>53274</v>
      </c>
      <c r="J1048" s="8">
        <f t="shared" si="48"/>
        <v>23426</v>
      </c>
      <c r="K1048" s="10">
        <f t="shared" si="49"/>
        <v>0.30542372881355934</v>
      </c>
      <c r="L1048" s="17">
        <f t="shared" si="50"/>
        <v>0</v>
      </c>
      <c r="M1048" t="str">
        <f>VLOOKUP(D1048,'Jer-Tip-Emp'!B:E,4,0)</f>
        <v>Adición</v>
      </c>
      <c r="N1048" t="str">
        <f>VLOOKUP(D1048,'Jer-Tip-Emp'!B:F,5,0)</f>
        <v>Adición</v>
      </c>
      <c r="O1048" t="str">
        <f>VLOOKUP(D1048,'Jer-Tip-Emp'!B:G,6,0)</f>
        <v>Adición</v>
      </c>
    </row>
    <row r="1049" spans="1:15" ht="27.5" customHeight="1" x14ac:dyDescent="0.2">
      <c r="A1049">
        <v>2025</v>
      </c>
      <c r="B1049" t="s">
        <v>615</v>
      </c>
      <c r="C1049" t="s">
        <v>609</v>
      </c>
      <c r="D1049" s="19" t="s">
        <v>205</v>
      </c>
      <c r="E1049" s="18" t="s">
        <v>141</v>
      </c>
      <c r="F1049" s="18">
        <v>12</v>
      </c>
      <c r="G1049" s="20">
        <v>190800</v>
      </c>
      <c r="H1049" s="18">
        <v>0</v>
      </c>
      <c r="I1049" s="20">
        <v>72768</v>
      </c>
      <c r="J1049" s="8">
        <f t="shared" si="48"/>
        <v>118032</v>
      </c>
      <c r="K1049" s="10">
        <f t="shared" si="49"/>
        <v>0.61861635220125788</v>
      </c>
      <c r="L1049" s="17">
        <f t="shared" si="50"/>
        <v>0</v>
      </c>
      <c r="M1049" t="str">
        <f>VLOOKUP(D1049,'Jer-Tip-Emp'!B:E,4,0)</f>
        <v>Platos mong</v>
      </c>
      <c r="N1049" t="str">
        <f>VLOOKUP(D1049,'Jer-Tip-Emp'!B:F,5,0)</f>
        <v>Personal</v>
      </c>
      <c r="O1049" t="str">
        <f>VLOOKUP(D1049,'Jer-Tip-Emp'!B:G,6,0)</f>
        <v>Caja</v>
      </c>
    </row>
    <row r="1050" spans="1:15" ht="27.5" customHeight="1" x14ac:dyDescent="0.2">
      <c r="A1050">
        <v>2025</v>
      </c>
      <c r="B1050" t="s">
        <v>615</v>
      </c>
      <c r="C1050" t="s">
        <v>609</v>
      </c>
      <c r="D1050" s="19" t="s">
        <v>228</v>
      </c>
      <c r="E1050" s="18" t="s">
        <v>96</v>
      </c>
      <c r="F1050" s="18">
        <v>12</v>
      </c>
      <c r="G1050" s="20">
        <v>346800</v>
      </c>
      <c r="H1050" s="18">
        <v>0</v>
      </c>
      <c r="I1050" s="20">
        <v>122964</v>
      </c>
      <c r="J1050" s="8">
        <f t="shared" si="48"/>
        <v>223836</v>
      </c>
      <c r="K1050" s="10">
        <f t="shared" si="49"/>
        <v>0.64543252595155709</v>
      </c>
      <c r="L1050" s="17">
        <f t="shared" si="50"/>
        <v>0</v>
      </c>
      <c r="M1050" t="str">
        <f>VLOOKUP(D1050,'Jer-Tip-Emp'!B:E,4,0)</f>
        <v>Combos personales</v>
      </c>
      <c r="N1050" t="str">
        <f>VLOOKUP(D1050,'Jer-Tip-Emp'!B:F,5,0)</f>
        <v>Personal</v>
      </c>
      <c r="O1050" t="str">
        <f>VLOOKUP(D1050,'Jer-Tip-Emp'!B:G,6,0)</f>
        <v>Combo</v>
      </c>
    </row>
    <row r="1051" spans="1:15" ht="27.5" hidden="1" customHeight="1" x14ac:dyDescent="0.2">
      <c r="A1051">
        <v>2025</v>
      </c>
      <c r="B1051" t="s">
        <v>615</v>
      </c>
      <c r="C1051" t="s">
        <v>609</v>
      </c>
      <c r="D1051" s="19" t="s">
        <v>364</v>
      </c>
      <c r="E1051" s="18" t="s">
        <v>51</v>
      </c>
      <c r="F1051" s="18">
        <v>11</v>
      </c>
      <c r="G1051" s="20">
        <v>42287</v>
      </c>
      <c r="H1051" s="18">
        <v>-613</v>
      </c>
      <c r="I1051" s="20">
        <v>14201</v>
      </c>
      <c r="J1051" s="8">
        <f t="shared" si="48"/>
        <v>28086</v>
      </c>
      <c r="K1051" s="10">
        <f t="shared" si="49"/>
        <v>0.66417575141296381</v>
      </c>
      <c r="L1051" s="17">
        <f t="shared" si="50"/>
        <v>1.4496180859365762E-2</v>
      </c>
      <c r="M1051" t="str">
        <f>VLOOKUP(D1051,'Jer-Tip-Emp'!B:E,4,0)</f>
        <v>Bebidas</v>
      </c>
      <c r="N1051" t="str">
        <f>VLOOKUP(D1051,'Jer-Tip-Emp'!B:F,5,0)</f>
        <v>Bebidas</v>
      </c>
      <c r="O1051" t="str">
        <f>VLOOKUP(D1051,'Jer-Tip-Emp'!B:G,6,0)</f>
        <v>Bebidas</v>
      </c>
    </row>
    <row r="1052" spans="1:15" ht="27.5" hidden="1" customHeight="1" x14ac:dyDescent="0.2">
      <c r="A1052">
        <v>2025</v>
      </c>
      <c r="B1052" t="s">
        <v>615</v>
      </c>
      <c r="C1052" t="s">
        <v>609</v>
      </c>
      <c r="D1052" s="19" t="s">
        <v>336</v>
      </c>
      <c r="E1052" s="18" t="s">
        <v>60</v>
      </c>
      <c r="F1052" s="18">
        <v>11</v>
      </c>
      <c r="G1052" s="20">
        <v>53900</v>
      </c>
      <c r="H1052" s="18">
        <v>0</v>
      </c>
      <c r="I1052" s="20">
        <v>17160</v>
      </c>
      <c r="J1052" s="8">
        <f t="shared" si="48"/>
        <v>36740</v>
      </c>
      <c r="K1052" s="10">
        <f t="shared" si="49"/>
        <v>0.68163265306122445</v>
      </c>
      <c r="L1052" s="17">
        <f t="shared" si="50"/>
        <v>0</v>
      </c>
      <c r="M1052" t="str">
        <f>VLOOKUP(D1052,'Jer-Tip-Emp'!B:E,4,0)</f>
        <v>Bebidas</v>
      </c>
      <c r="N1052" t="str">
        <f>VLOOKUP(D1052,'Jer-Tip-Emp'!B:F,5,0)</f>
        <v>Bebidas</v>
      </c>
      <c r="O1052" t="str">
        <f>VLOOKUP(D1052,'Jer-Tip-Emp'!B:G,6,0)</f>
        <v>Bebidas</v>
      </c>
    </row>
    <row r="1053" spans="1:15" ht="27.5" hidden="1" customHeight="1" x14ac:dyDescent="0.2">
      <c r="A1053">
        <v>2025</v>
      </c>
      <c r="B1053" t="s">
        <v>615</v>
      </c>
      <c r="C1053" t="s">
        <v>609</v>
      </c>
      <c r="D1053" s="19" t="s">
        <v>339</v>
      </c>
      <c r="E1053" s="18" t="s">
        <v>65</v>
      </c>
      <c r="F1053" s="18">
        <v>11</v>
      </c>
      <c r="G1053" s="20">
        <v>53900</v>
      </c>
      <c r="H1053" s="18">
        <v>0</v>
      </c>
      <c r="I1053" s="20">
        <v>17160</v>
      </c>
      <c r="J1053" s="8">
        <f t="shared" si="48"/>
        <v>36740</v>
      </c>
      <c r="K1053" s="10">
        <f t="shared" si="49"/>
        <v>0.68163265306122445</v>
      </c>
      <c r="L1053" s="17">
        <f t="shared" si="50"/>
        <v>0</v>
      </c>
      <c r="M1053" t="str">
        <f>VLOOKUP(D1053,'Jer-Tip-Emp'!B:E,4,0)</f>
        <v>Bebidas</v>
      </c>
      <c r="N1053" t="str">
        <f>VLOOKUP(D1053,'Jer-Tip-Emp'!B:F,5,0)</f>
        <v>Bebidas</v>
      </c>
      <c r="O1053" t="str">
        <f>VLOOKUP(D1053,'Jer-Tip-Emp'!B:G,6,0)</f>
        <v>Bebidas</v>
      </c>
    </row>
    <row r="1054" spans="1:15" ht="27.5" customHeight="1" x14ac:dyDescent="0.2">
      <c r="A1054">
        <v>2025</v>
      </c>
      <c r="B1054" t="s">
        <v>615</v>
      </c>
      <c r="C1054" t="s">
        <v>609</v>
      </c>
      <c r="D1054" s="19" t="s">
        <v>285</v>
      </c>
      <c r="E1054" s="18" t="s">
        <v>146</v>
      </c>
      <c r="F1054" s="18">
        <v>11</v>
      </c>
      <c r="G1054" s="20">
        <v>234252</v>
      </c>
      <c r="H1054" s="20">
        <v>-6648</v>
      </c>
      <c r="I1054" s="20">
        <v>93104</v>
      </c>
      <c r="J1054" s="8">
        <f t="shared" si="48"/>
        <v>141148</v>
      </c>
      <c r="K1054" s="10">
        <f t="shared" si="49"/>
        <v>0.6025476836910677</v>
      </c>
      <c r="L1054" s="17">
        <f t="shared" si="50"/>
        <v>2.8379693663234465E-2</v>
      </c>
      <c r="M1054" t="str">
        <f>VLOOKUP(D1054,'Jer-Tip-Emp'!B:E,4,0)</f>
        <v>Platos mong</v>
      </c>
      <c r="N1054" t="str">
        <f>VLOOKUP(D1054,'Jer-Tip-Emp'!B:F,5,0)</f>
        <v>Personal</v>
      </c>
      <c r="O1054" t="str">
        <f>VLOOKUP(D1054,'Jer-Tip-Emp'!B:G,6,0)</f>
        <v>Caja</v>
      </c>
    </row>
    <row r="1055" spans="1:15" ht="27.5" hidden="1" customHeight="1" x14ac:dyDescent="0.2">
      <c r="A1055">
        <v>2025</v>
      </c>
      <c r="B1055" t="s">
        <v>615</v>
      </c>
      <c r="C1055" t="s">
        <v>609</v>
      </c>
      <c r="D1055" s="19" t="s">
        <v>189</v>
      </c>
      <c r="E1055" s="18" t="s">
        <v>21</v>
      </c>
      <c r="F1055" s="18">
        <v>11</v>
      </c>
      <c r="G1055" s="20">
        <v>75900</v>
      </c>
      <c r="H1055" s="18">
        <v>0</v>
      </c>
      <c r="I1055" s="20">
        <v>27104</v>
      </c>
      <c r="J1055" s="8">
        <f t="shared" si="48"/>
        <v>48796</v>
      </c>
      <c r="K1055" s="10">
        <f t="shared" si="49"/>
        <v>0.64289855072463764</v>
      </c>
      <c r="L1055" s="17">
        <f t="shared" si="50"/>
        <v>0</v>
      </c>
      <c r="M1055" t="str">
        <f>VLOOKUP(D1055,'Jer-Tip-Emp'!B:E,4,0)</f>
        <v>Adición</v>
      </c>
      <c r="N1055" t="str">
        <f>VLOOKUP(D1055,'Jer-Tip-Emp'!B:F,5,0)</f>
        <v>Adición</v>
      </c>
      <c r="O1055" t="str">
        <f>VLOOKUP(D1055,'Jer-Tip-Emp'!B:G,6,0)</f>
        <v>Adición</v>
      </c>
    </row>
    <row r="1056" spans="1:15" ht="27.5" customHeight="1" x14ac:dyDescent="0.2">
      <c r="A1056">
        <v>2025</v>
      </c>
      <c r="B1056" t="s">
        <v>615</v>
      </c>
      <c r="C1056" t="s">
        <v>609</v>
      </c>
      <c r="D1056" s="19" t="s">
        <v>235</v>
      </c>
      <c r="E1056" s="18" t="s">
        <v>147</v>
      </c>
      <c r="F1056" s="18">
        <v>9</v>
      </c>
      <c r="G1056" s="20">
        <v>530100</v>
      </c>
      <c r="H1056" s="18">
        <v>0</v>
      </c>
      <c r="I1056" s="20">
        <v>169362</v>
      </c>
      <c r="J1056" s="8">
        <f t="shared" si="48"/>
        <v>360738</v>
      </c>
      <c r="K1056" s="10">
        <f t="shared" si="49"/>
        <v>0.68050933786078094</v>
      </c>
      <c r="L1056" s="17">
        <f t="shared" si="50"/>
        <v>0</v>
      </c>
      <c r="M1056" t="str">
        <f>VLOOKUP(D1056,'Jer-Tip-Emp'!B:E,4,0)</f>
        <v>Platos mong</v>
      </c>
      <c r="N1056" t="str">
        <f>VLOOKUP(D1056,'Jer-Tip-Emp'!B:F,5,0)</f>
        <v>No Personal</v>
      </c>
      <c r="O1056" t="str">
        <f>VLOOKUP(D1056,'Jer-Tip-Emp'!B:G,6,0)</f>
        <v>Caja</v>
      </c>
    </row>
    <row r="1057" spans="1:15" ht="27.5" hidden="1" customHeight="1" x14ac:dyDescent="0.2">
      <c r="A1057">
        <v>2025</v>
      </c>
      <c r="B1057" t="s">
        <v>615</v>
      </c>
      <c r="C1057" t="s">
        <v>609</v>
      </c>
      <c r="D1057" s="19" t="s">
        <v>408</v>
      </c>
      <c r="E1057" s="18" t="s">
        <v>35</v>
      </c>
      <c r="F1057" s="18">
        <v>9</v>
      </c>
      <c r="G1057" s="20">
        <v>31500</v>
      </c>
      <c r="H1057" s="18">
        <v>0</v>
      </c>
      <c r="I1057" s="20">
        <v>7812</v>
      </c>
      <c r="J1057" s="8">
        <f t="shared" si="48"/>
        <v>23688</v>
      </c>
      <c r="K1057" s="10">
        <f t="shared" si="49"/>
        <v>0.752</v>
      </c>
      <c r="L1057" s="17">
        <f t="shared" si="50"/>
        <v>0</v>
      </c>
      <c r="M1057" t="str">
        <f>VLOOKUP(D1057,'Jer-Tip-Emp'!B:E,4,0)</f>
        <v>Bebidas</v>
      </c>
      <c r="N1057" t="str">
        <f>VLOOKUP(D1057,'Jer-Tip-Emp'!B:F,5,0)</f>
        <v>Bebidas</v>
      </c>
      <c r="O1057" t="str">
        <f>VLOOKUP(D1057,'Jer-Tip-Emp'!B:G,6,0)</f>
        <v>Bebidas</v>
      </c>
    </row>
    <row r="1058" spans="1:15" ht="27.5" hidden="1" customHeight="1" x14ac:dyDescent="0.2">
      <c r="A1058">
        <v>2025</v>
      </c>
      <c r="B1058" t="s">
        <v>615</v>
      </c>
      <c r="C1058" t="s">
        <v>609</v>
      </c>
      <c r="D1058" s="19" t="s">
        <v>193</v>
      </c>
      <c r="E1058" s="18" t="s">
        <v>18</v>
      </c>
      <c r="F1058" s="18">
        <v>9</v>
      </c>
      <c r="G1058" s="20">
        <v>62100</v>
      </c>
      <c r="H1058" s="18">
        <v>0</v>
      </c>
      <c r="I1058" s="20">
        <v>27972</v>
      </c>
      <c r="J1058" s="8">
        <f t="shared" si="48"/>
        <v>34128</v>
      </c>
      <c r="K1058" s="10">
        <f t="shared" si="49"/>
        <v>0.54956521739130437</v>
      </c>
      <c r="L1058" s="17">
        <f t="shared" si="50"/>
        <v>0</v>
      </c>
      <c r="M1058" t="str">
        <f>VLOOKUP(D1058,'Jer-Tip-Emp'!B:E,4,0)</f>
        <v>Adición</v>
      </c>
      <c r="N1058" t="str">
        <f>VLOOKUP(D1058,'Jer-Tip-Emp'!B:F,5,0)</f>
        <v>Adición</v>
      </c>
      <c r="O1058" t="str">
        <f>VLOOKUP(D1058,'Jer-Tip-Emp'!B:G,6,0)</f>
        <v>Adición</v>
      </c>
    </row>
    <row r="1059" spans="1:15" ht="27.5" hidden="1" customHeight="1" x14ac:dyDescent="0.2">
      <c r="A1059">
        <v>2025</v>
      </c>
      <c r="B1059" t="s">
        <v>615</v>
      </c>
      <c r="C1059" t="s">
        <v>609</v>
      </c>
      <c r="D1059" s="19" t="s">
        <v>397</v>
      </c>
      <c r="E1059" s="18" t="s">
        <v>61</v>
      </c>
      <c r="F1059" s="18">
        <v>9</v>
      </c>
      <c r="G1059" s="20">
        <v>44100</v>
      </c>
      <c r="H1059" s="18">
        <v>0</v>
      </c>
      <c r="I1059" s="20">
        <v>17064</v>
      </c>
      <c r="J1059" s="8">
        <f t="shared" si="48"/>
        <v>27036</v>
      </c>
      <c r="K1059" s="10">
        <f t="shared" si="49"/>
        <v>0.61306122448979594</v>
      </c>
      <c r="L1059" s="17">
        <f t="shared" si="50"/>
        <v>0</v>
      </c>
      <c r="M1059" t="str">
        <f>VLOOKUP(D1059,'Jer-Tip-Emp'!B:E,4,0)</f>
        <v>Bebidas</v>
      </c>
      <c r="N1059" t="str">
        <f>VLOOKUP(D1059,'Jer-Tip-Emp'!B:F,5,0)</f>
        <v>Bebidas</v>
      </c>
      <c r="O1059" t="str">
        <f>VLOOKUP(D1059,'Jer-Tip-Emp'!B:G,6,0)</f>
        <v>Bebidas</v>
      </c>
    </row>
    <row r="1060" spans="1:15" ht="27.5" customHeight="1" x14ac:dyDescent="0.2">
      <c r="A1060">
        <v>2025</v>
      </c>
      <c r="B1060" t="s">
        <v>615</v>
      </c>
      <c r="C1060" t="s">
        <v>609</v>
      </c>
      <c r="D1060" s="19" t="s">
        <v>180</v>
      </c>
      <c r="E1060" s="18" t="s">
        <v>128</v>
      </c>
      <c r="F1060" s="18">
        <v>9</v>
      </c>
      <c r="G1060" s="20">
        <v>184813</v>
      </c>
      <c r="H1060" s="20">
        <v>-3287</v>
      </c>
      <c r="I1060" s="20">
        <v>61542</v>
      </c>
      <c r="J1060" s="8">
        <f t="shared" si="48"/>
        <v>123271</v>
      </c>
      <c r="K1060" s="10">
        <f t="shared" si="49"/>
        <v>0.66700394452771183</v>
      </c>
      <c r="L1060" s="17">
        <f t="shared" si="50"/>
        <v>1.778554538912306E-2</v>
      </c>
      <c r="M1060" t="str">
        <f>VLOOKUP(D1060,'Jer-Tip-Emp'!B:E,4,0)</f>
        <v>Platos mong</v>
      </c>
      <c r="N1060" t="str">
        <f>VLOOKUP(D1060,'Jer-Tip-Emp'!B:F,5,0)</f>
        <v>Personal</v>
      </c>
      <c r="O1060" t="str">
        <f>VLOOKUP(D1060,'Jer-Tip-Emp'!B:G,6,0)</f>
        <v>Caja</v>
      </c>
    </row>
    <row r="1061" spans="1:15" ht="27.5" hidden="1" customHeight="1" x14ac:dyDescent="0.2">
      <c r="A1061">
        <v>2025</v>
      </c>
      <c r="B1061" t="s">
        <v>615</v>
      </c>
      <c r="C1061" t="s">
        <v>609</v>
      </c>
      <c r="D1061" s="19" t="s">
        <v>369</v>
      </c>
      <c r="E1061" s="18" t="s">
        <v>68</v>
      </c>
      <c r="F1061" s="18">
        <v>9</v>
      </c>
      <c r="G1061" s="20">
        <v>44100</v>
      </c>
      <c r="H1061" s="18">
        <v>0</v>
      </c>
      <c r="I1061" s="20">
        <v>11970</v>
      </c>
      <c r="J1061" s="8">
        <f t="shared" si="48"/>
        <v>32130</v>
      </c>
      <c r="K1061" s="10">
        <f t="shared" si="49"/>
        <v>0.72857142857142854</v>
      </c>
      <c r="L1061" s="17">
        <f t="shared" si="50"/>
        <v>0</v>
      </c>
      <c r="M1061" t="str">
        <f>VLOOKUP(D1061,'Jer-Tip-Emp'!B:E,4,0)</f>
        <v>Bebidas</v>
      </c>
      <c r="N1061" t="str">
        <f>VLOOKUP(D1061,'Jer-Tip-Emp'!B:F,5,0)</f>
        <v>Bebidas</v>
      </c>
      <c r="O1061" t="str">
        <f>VLOOKUP(D1061,'Jer-Tip-Emp'!B:G,6,0)</f>
        <v>Bebidas</v>
      </c>
    </row>
    <row r="1062" spans="1:15" ht="27.5" customHeight="1" x14ac:dyDescent="0.2">
      <c r="A1062">
        <v>2025</v>
      </c>
      <c r="B1062" t="s">
        <v>615</v>
      </c>
      <c r="C1062" t="s">
        <v>609</v>
      </c>
      <c r="D1062" s="19" t="s">
        <v>266</v>
      </c>
      <c r="E1062" s="18" t="s">
        <v>85</v>
      </c>
      <c r="F1062" s="18">
        <v>8</v>
      </c>
      <c r="G1062" s="20">
        <v>663200</v>
      </c>
      <c r="H1062" s="18">
        <v>0</v>
      </c>
      <c r="I1062" s="20">
        <v>313768</v>
      </c>
      <c r="J1062" s="8">
        <f t="shared" si="48"/>
        <v>349432</v>
      </c>
      <c r="K1062" s="10">
        <f t="shared" si="49"/>
        <v>0.52688781664656215</v>
      </c>
      <c r="L1062" s="17">
        <f t="shared" si="50"/>
        <v>0</v>
      </c>
      <c r="M1062" t="str">
        <f>VLOOKUP(D1062,'Jer-Tip-Emp'!B:E,4,0)</f>
        <v>Combos para compartir</v>
      </c>
      <c r="N1062" t="str">
        <f>VLOOKUP(D1062,'Jer-Tip-Emp'!B:F,5,0)</f>
        <v>No Personal</v>
      </c>
      <c r="O1062" t="str">
        <f>VLOOKUP(D1062,'Jer-Tip-Emp'!B:G,6,0)</f>
        <v>Combo</v>
      </c>
    </row>
    <row r="1063" spans="1:15" ht="27.5" customHeight="1" x14ac:dyDescent="0.2">
      <c r="A1063">
        <v>2025</v>
      </c>
      <c r="B1063" t="s">
        <v>615</v>
      </c>
      <c r="C1063" t="s">
        <v>609</v>
      </c>
      <c r="D1063" s="19" t="s">
        <v>182</v>
      </c>
      <c r="E1063" s="18" t="s">
        <v>118</v>
      </c>
      <c r="F1063" s="18">
        <v>8</v>
      </c>
      <c r="G1063" s="20">
        <v>221549</v>
      </c>
      <c r="H1063" s="20">
        <v>-1651</v>
      </c>
      <c r="I1063" s="20">
        <v>75824</v>
      </c>
      <c r="J1063" s="8">
        <f t="shared" si="48"/>
        <v>145725</v>
      </c>
      <c r="K1063" s="10">
        <f t="shared" si="49"/>
        <v>0.65775516928534994</v>
      </c>
      <c r="L1063" s="17">
        <f t="shared" si="50"/>
        <v>7.4520760644372127E-3</v>
      </c>
      <c r="M1063" t="str">
        <f>VLOOKUP(D1063,'Jer-Tip-Emp'!B:E,4,0)</f>
        <v>Platos mong</v>
      </c>
      <c r="N1063" t="str">
        <f>VLOOKUP(D1063,'Jer-Tip-Emp'!B:F,5,0)</f>
        <v>Personal</v>
      </c>
      <c r="O1063" t="str">
        <f>VLOOKUP(D1063,'Jer-Tip-Emp'!B:G,6,0)</f>
        <v>Caja</v>
      </c>
    </row>
    <row r="1064" spans="1:15" ht="27.5" hidden="1" customHeight="1" x14ac:dyDescent="0.2">
      <c r="A1064">
        <v>2025</v>
      </c>
      <c r="B1064" t="s">
        <v>615</v>
      </c>
      <c r="C1064" t="s">
        <v>609</v>
      </c>
      <c r="D1064" s="19" t="s">
        <v>444</v>
      </c>
      <c r="E1064" s="18" t="s">
        <v>562</v>
      </c>
      <c r="F1064" s="18">
        <v>8</v>
      </c>
      <c r="G1064" s="20">
        <v>12800</v>
      </c>
      <c r="H1064" s="18">
        <v>0</v>
      </c>
      <c r="I1064" s="20">
        <v>12880</v>
      </c>
      <c r="J1064" s="8">
        <f t="shared" si="48"/>
        <v>-80</v>
      </c>
      <c r="K1064" s="10">
        <f t="shared" si="49"/>
        <v>-6.2500000000000003E-3</v>
      </c>
      <c r="L1064" s="17">
        <f t="shared" si="50"/>
        <v>0</v>
      </c>
      <c r="M1064" t="str">
        <f>VLOOKUP(D1064,'Jer-Tip-Emp'!B:E,4,0)</f>
        <v>Bebidas</v>
      </c>
      <c r="N1064" t="str">
        <f>VLOOKUP(D1064,'Jer-Tip-Emp'!B:F,5,0)</f>
        <v>Bebidas Cambio de bebida</v>
      </c>
      <c r="O1064" t="str">
        <f>VLOOKUP(D1064,'Jer-Tip-Emp'!B:G,6,0)</f>
        <v>Bebidas</v>
      </c>
    </row>
    <row r="1065" spans="1:15" ht="27.5" hidden="1" customHeight="1" x14ac:dyDescent="0.2">
      <c r="A1065">
        <v>2025</v>
      </c>
      <c r="B1065" t="s">
        <v>615</v>
      </c>
      <c r="C1065" t="s">
        <v>609</v>
      </c>
      <c r="D1065" s="19" t="s">
        <v>218</v>
      </c>
      <c r="E1065" s="18" t="s">
        <v>33</v>
      </c>
      <c r="F1065" s="18">
        <v>8</v>
      </c>
      <c r="G1065" s="20">
        <v>63200</v>
      </c>
      <c r="H1065" s="18">
        <v>0</v>
      </c>
      <c r="I1065" s="18">
        <v>0</v>
      </c>
      <c r="J1065" s="8">
        <f t="shared" si="48"/>
        <v>63200</v>
      </c>
      <c r="K1065" s="10">
        <f t="shared" si="49"/>
        <v>1</v>
      </c>
      <c r="L1065" s="17">
        <f t="shared" si="50"/>
        <v>0</v>
      </c>
      <c r="M1065" t="str">
        <f>VLOOKUP(D1065,'Jer-Tip-Emp'!B:E,4,0)</f>
        <v>Adición</v>
      </c>
      <c r="N1065" t="str">
        <f>VLOOKUP(D1065,'Jer-Tip-Emp'!B:F,5,0)</f>
        <v>Adición</v>
      </c>
      <c r="O1065" t="str">
        <f>VLOOKUP(D1065,'Jer-Tip-Emp'!B:G,6,0)</f>
        <v>Adición</v>
      </c>
    </row>
    <row r="1066" spans="1:15" ht="27.5" hidden="1" customHeight="1" x14ac:dyDescent="0.2">
      <c r="A1066">
        <v>2025</v>
      </c>
      <c r="B1066" t="s">
        <v>615</v>
      </c>
      <c r="C1066" t="s">
        <v>609</v>
      </c>
      <c r="D1066" s="19" t="s">
        <v>410</v>
      </c>
      <c r="E1066" s="18" t="s">
        <v>559</v>
      </c>
      <c r="F1066" s="18">
        <v>8</v>
      </c>
      <c r="G1066" s="20">
        <v>18400</v>
      </c>
      <c r="H1066" s="18">
        <v>0</v>
      </c>
      <c r="I1066" s="20">
        <v>17880</v>
      </c>
      <c r="J1066" s="8">
        <f t="shared" si="48"/>
        <v>520</v>
      </c>
      <c r="K1066" s="10">
        <f t="shared" si="49"/>
        <v>2.8260869565217391E-2</v>
      </c>
      <c r="L1066" s="17">
        <f t="shared" si="50"/>
        <v>0</v>
      </c>
      <c r="M1066" t="str">
        <f>VLOOKUP(D1066,'Jer-Tip-Emp'!B:E,4,0)</f>
        <v>Bebidas</v>
      </c>
      <c r="N1066" t="str">
        <f>VLOOKUP(D1066,'Jer-Tip-Emp'!B:F,5,0)</f>
        <v>Bebidas Cambio de bebida</v>
      </c>
      <c r="O1066" t="str">
        <f>VLOOKUP(D1066,'Jer-Tip-Emp'!B:G,6,0)</f>
        <v>Bebidas</v>
      </c>
    </row>
    <row r="1067" spans="1:15" ht="27.5" customHeight="1" x14ac:dyDescent="0.2">
      <c r="A1067">
        <v>2025</v>
      </c>
      <c r="B1067" t="s">
        <v>615</v>
      </c>
      <c r="C1067" t="s">
        <v>609</v>
      </c>
      <c r="D1067" s="19" t="s">
        <v>202</v>
      </c>
      <c r="E1067" s="18" t="s">
        <v>142</v>
      </c>
      <c r="F1067" s="18">
        <v>7</v>
      </c>
      <c r="G1067" s="20">
        <v>279300</v>
      </c>
      <c r="H1067" s="18">
        <v>0</v>
      </c>
      <c r="I1067" s="20">
        <v>99617</v>
      </c>
      <c r="J1067" s="8">
        <f t="shared" si="48"/>
        <v>179683</v>
      </c>
      <c r="K1067" s="10">
        <f t="shared" si="49"/>
        <v>0.64333333333333331</v>
      </c>
      <c r="L1067" s="17">
        <f t="shared" si="50"/>
        <v>0</v>
      </c>
      <c r="M1067" t="str">
        <f>VLOOKUP(D1067,'Jer-Tip-Emp'!B:E,4,0)</f>
        <v>Platos mong</v>
      </c>
      <c r="N1067" t="str">
        <f>VLOOKUP(D1067,'Jer-Tip-Emp'!B:F,5,0)</f>
        <v>No Personal</v>
      </c>
      <c r="O1067" t="str">
        <f>VLOOKUP(D1067,'Jer-Tip-Emp'!B:G,6,0)</f>
        <v>Caja</v>
      </c>
    </row>
    <row r="1068" spans="1:15" ht="27.5" customHeight="1" x14ac:dyDescent="0.2">
      <c r="A1068">
        <v>2025</v>
      </c>
      <c r="B1068" t="s">
        <v>615</v>
      </c>
      <c r="C1068" t="s">
        <v>609</v>
      </c>
      <c r="D1068" s="19" t="s">
        <v>261</v>
      </c>
      <c r="E1068" s="18" t="s">
        <v>135</v>
      </c>
      <c r="F1068" s="18">
        <v>7</v>
      </c>
      <c r="G1068" s="20">
        <v>125300</v>
      </c>
      <c r="H1068" s="18">
        <v>0</v>
      </c>
      <c r="I1068" s="20">
        <v>38262</v>
      </c>
      <c r="J1068" s="8">
        <f t="shared" si="48"/>
        <v>87038</v>
      </c>
      <c r="K1068" s="10">
        <f t="shared" si="49"/>
        <v>0.69463687150837994</v>
      </c>
      <c r="L1068" s="17">
        <f t="shared" si="50"/>
        <v>0</v>
      </c>
      <c r="M1068" t="str">
        <f>VLOOKUP(D1068,'Jer-Tip-Emp'!B:E,4,0)</f>
        <v>Platos mong</v>
      </c>
      <c r="N1068" t="str">
        <f>VLOOKUP(D1068,'Jer-Tip-Emp'!B:F,5,0)</f>
        <v>Personal</v>
      </c>
      <c r="O1068" t="str">
        <f>VLOOKUP(D1068,'Jer-Tip-Emp'!B:G,6,0)</f>
        <v>Caja</v>
      </c>
    </row>
    <row r="1069" spans="1:15" ht="27.5" customHeight="1" x14ac:dyDescent="0.2">
      <c r="A1069">
        <v>2025</v>
      </c>
      <c r="B1069" t="s">
        <v>615</v>
      </c>
      <c r="C1069" t="s">
        <v>609</v>
      </c>
      <c r="D1069" s="19" t="s">
        <v>197</v>
      </c>
      <c r="E1069" s="18" t="s">
        <v>31</v>
      </c>
      <c r="F1069" s="18">
        <v>7</v>
      </c>
      <c r="G1069" s="20">
        <v>55300</v>
      </c>
      <c r="H1069" s="18">
        <v>0</v>
      </c>
      <c r="I1069" s="20">
        <v>22484</v>
      </c>
      <c r="J1069" s="8">
        <f t="shared" si="48"/>
        <v>32816</v>
      </c>
      <c r="K1069" s="10">
        <f t="shared" si="49"/>
        <v>0.59341772151898731</v>
      </c>
      <c r="L1069" s="17">
        <f t="shared" si="50"/>
        <v>0</v>
      </c>
      <c r="M1069" t="str">
        <f>VLOOKUP(D1069,'Jer-Tip-Emp'!B:E,4,0)</f>
        <v>Armalo en combo</v>
      </c>
      <c r="N1069" t="str">
        <f>VLOOKUP(D1069,'Jer-Tip-Emp'!B:F,5,0)</f>
        <v>Personal</v>
      </c>
      <c r="O1069" t="str">
        <f>VLOOKUP(D1069,'Jer-Tip-Emp'!B:G,6,0)</f>
        <v>Combo</v>
      </c>
    </row>
    <row r="1070" spans="1:15" ht="27.5" hidden="1" customHeight="1" x14ac:dyDescent="0.2">
      <c r="A1070">
        <v>2025</v>
      </c>
      <c r="B1070" t="s">
        <v>615</v>
      </c>
      <c r="C1070" t="s">
        <v>609</v>
      </c>
      <c r="D1070" s="19" t="s">
        <v>314</v>
      </c>
      <c r="E1070" s="18" t="s">
        <v>67</v>
      </c>
      <c r="F1070" s="18">
        <v>7</v>
      </c>
      <c r="G1070" s="20">
        <v>33822</v>
      </c>
      <c r="H1070" s="18">
        <v>-478</v>
      </c>
      <c r="I1070" s="20">
        <v>9310</v>
      </c>
      <c r="J1070" s="8">
        <f t="shared" si="48"/>
        <v>24512</v>
      </c>
      <c r="K1070" s="10">
        <f t="shared" si="49"/>
        <v>0.72473537933889187</v>
      </c>
      <c r="L1070" s="17">
        <f t="shared" si="50"/>
        <v>1.4132812961977411E-2</v>
      </c>
      <c r="M1070" t="str">
        <f>VLOOKUP(D1070,'Jer-Tip-Emp'!B:E,4,0)</f>
        <v>Bebidas</v>
      </c>
      <c r="N1070" t="str">
        <f>VLOOKUP(D1070,'Jer-Tip-Emp'!B:F,5,0)</f>
        <v>Bebidas</v>
      </c>
      <c r="O1070" t="str">
        <f>VLOOKUP(D1070,'Jer-Tip-Emp'!B:G,6,0)</f>
        <v>Bebidas</v>
      </c>
    </row>
    <row r="1071" spans="1:15" ht="27.5" hidden="1" customHeight="1" x14ac:dyDescent="0.2">
      <c r="A1071">
        <v>2025</v>
      </c>
      <c r="B1071" t="s">
        <v>615</v>
      </c>
      <c r="C1071" t="s">
        <v>609</v>
      </c>
      <c r="D1071" s="19" t="s">
        <v>490</v>
      </c>
      <c r="E1071" s="18" t="s">
        <v>554</v>
      </c>
      <c r="F1071" s="18">
        <v>6</v>
      </c>
      <c r="G1071" s="18">
        <v>0</v>
      </c>
      <c r="H1071" s="18">
        <v>0</v>
      </c>
      <c r="I1071" s="20">
        <v>12294</v>
      </c>
      <c r="J1071" s="8">
        <f t="shared" si="48"/>
        <v>-12294</v>
      </c>
      <c r="K1071" s="10">
        <f t="shared" si="49"/>
        <v>0</v>
      </c>
      <c r="L1071" s="17">
        <f t="shared" si="50"/>
        <v>0</v>
      </c>
      <c r="M1071" t="str">
        <f>VLOOKUP(D1071,'Jer-Tip-Emp'!B:E,4,0)</f>
        <v>Adición</v>
      </c>
      <c r="N1071" t="str">
        <f>VLOOKUP(D1071,'Jer-Tip-Emp'!B:F,5,0)</f>
        <v>Otro</v>
      </c>
      <c r="O1071" t="str">
        <f>VLOOKUP(D1071,'Jer-Tip-Emp'!B:G,6,0)</f>
        <v>Otro</v>
      </c>
    </row>
    <row r="1072" spans="1:15" ht="27.5" customHeight="1" x14ac:dyDescent="0.2">
      <c r="A1072">
        <v>2025</v>
      </c>
      <c r="B1072" t="s">
        <v>615</v>
      </c>
      <c r="C1072" t="s">
        <v>609</v>
      </c>
      <c r="D1072" s="19" t="s">
        <v>278</v>
      </c>
      <c r="E1072" s="18" t="s">
        <v>84</v>
      </c>
      <c r="F1072" s="18">
        <v>6</v>
      </c>
      <c r="G1072" s="20">
        <v>125400</v>
      </c>
      <c r="H1072" s="18">
        <v>0</v>
      </c>
      <c r="I1072" s="20">
        <v>47838</v>
      </c>
      <c r="J1072" s="8">
        <f t="shared" si="48"/>
        <v>77562</v>
      </c>
      <c r="K1072" s="10">
        <f t="shared" si="49"/>
        <v>0.61851674641148324</v>
      </c>
      <c r="L1072" s="17">
        <f t="shared" si="50"/>
        <v>0</v>
      </c>
      <c r="M1072" t="str">
        <f>VLOOKUP(D1072,'Jer-Tip-Emp'!B:E,4,0)</f>
        <v>Combos para compartir</v>
      </c>
      <c r="N1072" t="str">
        <f>VLOOKUP(D1072,'Jer-Tip-Emp'!B:F,5,0)</f>
        <v>No Personal</v>
      </c>
      <c r="O1072" t="str">
        <f>VLOOKUP(D1072,'Jer-Tip-Emp'!B:G,6,0)</f>
        <v>Combo</v>
      </c>
    </row>
    <row r="1073" spans="1:15" ht="27.5" hidden="1" customHeight="1" x14ac:dyDescent="0.2">
      <c r="A1073">
        <v>2025</v>
      </c>
      <c r="B1073" t="s">
        <v>615</v>
      </c>
      <c r="C1073" t="s">
        <v>609</v>
      </c>
      <c r="D1073" s="19" t="s">
        <v>403</v>
      </c>
      <c r="E1073" s="18" t="s">
        <v>45</v>
      </c>
      <c r="F1073" s="18">
        <v>6</v>
      </c>
      <c r="G1073" s="20">
        <v>39600</v>
      </c>
      <c r="H1073" s="20">
        <v>-19800</v>
      </c>
      <c r="I1073" s="20">
        <v>27006</v>
      </c>
      <c r="J1073" s="8">
        <f t="shared" si="48"/>
        <v>12594</v>
      </c>
      <c r="K1073" s="10">
        <f t="shared" si="49"/>
        <v>0.31803030303030305</v>
      </c>
      <c r="L1073" s="17">
        <f t="shared" si="50"/>
        <v>0.5</v>
      </c>
      <c r="M1073" t="str">
        <f>VLOOKUP(D1073,'Jer-Tip-Emp'!B:E,4,0)</f>
        <v>Bebidas</v>
      </c>
      <c r="N1073" t="str">
        <f>VLOOKUP(D1073,'Jer-Tip-Emp'!B:F,5,0)</f>
        <v>Bebidas</v>
      </c>
      <c r="O1073" t="str">
        <f>VLOOKUP(D1073,'Jer-Tip-Emp'!B:G,6,0)</f>
        <v>Bebidas</v>
      </c>
    </row>
    <row r="1074" spans="1:15" ht="27.5" hidden="1" customHeight="1" x14ac:dyDescent="0.2">
      <c r="A1074">
        <v>2025</v>
      </c>
      <c r="B1074" t="s">
        <v>615</v>
      </c>
      <c r="C1074" t="s">
        <v>609</v>
      </c>
      <c r="D1074" s="19" t="s">
        <v>365</v>
      </c>
      <c r="E1074" s="18" t="s">
        <v>558</v>
      </c>
      <c r="F1074" s="18">
        <v>6</v>
      </c>
      <c r="G1074" s="20">
        <v>2991</v>
      </c>
      <c r="H1074" s="18">
        <v>-9</v>
      </c>
      <c r="I1074" s="20">
        <v>9414</v>
      </c>
      <c r="J1074" s="8">
        <f t="shared" si="48"/>
        <v>-6423</v>
      </c>
      <c r="K1074" s="10">
        <f t="shared" si="49"/>
        <v>-2.1474423269809426</v>
      </c>
      <c r="L1074" s="17">
        <f t="shared" si="50"/>
        <v>3.009027081243731E-3</v>
      </c>
      <c r="M1074" t="str">
        <f>VLOOKUP(D1074,'Jer-Tip-Emp'!B:E,4,0)</f>
        <v>Adición</v>
      </c>
      <c r="N1074" t="str">
        <f>VLOOKUP(D1074,'Jer-Tip-Emp'!B:F,5,0)</f>
        <v>Otro</v>
      </c>
      <c r="O1074" t="str">
        <f>VLOOKUP(D1074,'Jer-Tip-Emp'!B:G,6,0)</f>
        <v>Otro</v>
      </c>
    </row>
    <row r="1075" spans="1:15" ht="27.5" hidden="1" customHeight="1" x14ac:dyDescent="0.2">
      <c r="A1075">
        <v>2025</v>
      </c>
      <c r="B1075" t="s">
        <v>615</v>
      </c>
      <c r="C1075" t="s">
        <v>609</v>
      </c>
      <c r="D1075" s="19" t="s">
        <v>402</v>
      </c>
      <c r="E1075" s="18" t="s">
        <v>63</v>
      </c>
      <c r="F1075" s="18">
        <v>5</v>
      </c>
      <c r="G1075" s="20">
        <v>24500</v>
      </c>
      <c r="H1075" s="18">
        <v>0</v>
      </c>
      <c r="I1075" s="20">
        <v>7800</v>
      </c>
      <c r="J1075" s="8">
        <f t="shared" si="48"/>
        <v>16700</v>
      </c>
      <c r="K1075" s="10">
        <f t="shared" si="49"/>
        <v>0.68163265306122445</v>
      </c>
      <c r="L1075" s="17">
        <f t="shared" si="50"/>
        <v>0</v>
      </c>
      <c r="M1075" t="str">
        <f>VLOOKUP(D1075,'Jer-Tip-Emp'!B:E,4,0)</f>
        <v>Bebidas</v>
      </c>
      <c r="N1075" t="str">
        <f>VLOOKUP(D1075,'Jer-Tip-Emp'!B:F,5,0)</f>
        <v>Bebidas</v>
      </c>
      <c r="O1075" t="str">
        <f>VLOOKUP(D1075,'Jer-Tip-Emp'!B:G,6,0)</f>
        <v>Bebidas</v>
      </c>
    </row>
    <row r="1076" spans="1:15" ht="27.5" customHeight="1" x14ac:dyDescent="0.2">
      <c r="A1076">
        <v>2025</v>
      </c>
      <c r="B1076" t="s">
        <v>615</v>
      </c>
      <c r="C1076" t="s">
        <v>609</v>
      </c>
      <c r="D1076" s="19" t="s">
        <v>225</v>
      </c>
      <c r="E1076" s="18" t="s">
        <v>157</v>
      </c>
      <c r="F1076" s="18">
        <v>5</v>
      </c>
      <c r="G1076" s="20">
        <v>89500</v>
      </c>
      <c r="H1076" s="18">
        <v>0</v>
      </c>
      <c r="I1076" s="20">
        <v>35705</v>
      </c>
      <c r="J1076" s="8">
        <f t="shared" si="48"/>
        <v>53795</v>
      </c>
      <c r="K1076" s="10">
        <f t="shared" si="49"/>
        <v>0.60106145251396648</v>
      </c>
      <c r="L1076" s="17">
        <f t="shared" si="50"/>
        <v>0</v>
      </c>
      <c r="M1076" t="str">
        <f>VLOOKUP(D1076,'Jer-Tip-Emp'!B:E,4,0)</f>
        <v>Platos mong</v>
      </c>
      <c r="N1076" t="str">
        <f>VLOOKUP(D1076,'Jer-Tip-Emp'!B:F,5,0)</f>
        <v>Personal</v>
      </c>
      <c r="O1076" t="str">
        <f>VLOOKUP(D1076,'Jer-Tip-Emp'!B:G,6,0)</f>
        <v>Caja</v>
      </c>
    </row>
    <row r="1077" spans="1:15" ht="27.5" hidden="1" customHeight="1" x14ac:dyDescent="0.2">
      <c r="A1077">
        <v>2025</v>
      </c>
      <c r="B1077" t="s">
        <v>615</v>
      </c>
      <c r="C1077" t="s">
        <v>609</v>
      </c>
      <c r="D1077" s="19" t="s">
        <v>321</v>
      </c>
      <c r="E1077" s="18" t="s">
        <v>72</v>
      </c>
      <c r="F1077" s="18">
        <v>5</v>
      </c>
      <c r="G1077" s="20">
        <v>24500</v>
      </c>
      <c r="H1077" s="18">
        <v>0</v>
      </c>
      <c r="I1077" s="20">
        <v>6650</v>
      </c>
      <c r="J1077" s="8">
        <f t="shared" si="48"/>
        <v>17850</v>
      </c>
      <c r="K1077" s="10">
        <f t="shared" si="49"/>
        <v>0.72857142857142854</v>
      </c>
      <c r="L1077" s="17">
        <f t="shared" si="50"/>
        <v>0</v>
      </c>
      <c r="M1077" t="str">
        <f>VLOOKUP(D1077,'Jer-Tip-Emp'!B:E,4,0)</f>
        <v>Bebidas</v>
      </c>
      <c r="N1077" t="str">
        <f>VLOOKUP(D1077,'Jer-Tip-Emp'!B:F,5,0)</f>
        <v>Bebidas</v>
      </c>
      <c r="O1077" t="str">
        <f>VLOOKUP(D1077,'Jer-Tip-Emp'!B:G,6,0)</f>
        <v>Bebidas</v>
      </c>
    </row>
    <row r="1078" spans="1:15" ht="27.5" hidden="1" customHeight="1" x14ac:dyDescent="0.2">
      <c r="A1078">
        <v>2025</v>
      </c>
      <c r="B1078" t="s">
        <v>615</v>
      </c>
      <c r="C1078" t="s">
        <v>609</v>
      </c>
      <c r="D1078" s="19" t="s">
        <v>350</v>
      </c>
      <c r="E1078" s="18" t="s">
        <v>66</v>
      </c>
      <c r="F1078" s="18">
        <v>5</v>
      </c>
      <c r="G1078" s="20">
        <v>24500</v>
      </c>
      <c r="H1078" s="18">
        <v>0</v>
      </c>
      <c r="I1078" s="20">
        <v>7800</v>
      </c>
      <c r="J1078" s="8">
        <f t="shared" si="48"/>
        <v>16700</v>
      </c>
      <c r="K1078" s="10">
        <f t="shared" si="49"/>
        <v>0.68163265306122445</v>
      </c>
      <c r="L1078" s="17">
        <f t="shared" si="50"/>
        <v>0</v>
      </c>
      <c r="M1078" t="str">
        <f>VLOOKUP(D1078,'Jer-Tip-Emp'!B:E,4,0)</f>
        <v>Bebidas</v>
      </c>
      <c r="N1078" t="str">
        <f>VLOOKUP(D1078,'Jer-Tip-Emp'!B:F,5,0)</f>
        <v>Bebidas</v>
      </c>
      <c r="O1078" t="str">
        <f>VLOOKUP(D1078,'Jer-Tip-Emp'!B:G,6,0)</f>
        <v>Bebidas</v>
      </c>
    </row>
    <row r="1079" spans="1:15" ht="27.5" hidden="1" customHeight="1" x14ac:dyDescent="0.2">
      <c r="A1079">
        <v>2025</v>
      </c>
      <c r="B1079" t="s">
        <v>615</v>
      </c>
      <c r="C1079" t="s">
        <v>609</v>
      </c>
      <c r="D1079" s="19" t="s">
        <v>254</v>
      </c>
      <c r="E1079" s="18" t="s">
        <v>20</v>
      </c>
      <c r="F1079" s="18">
        <v>5</v>
      </c>
      <c r="G1079" s="20">
        <v>24500</v>
      </c>
      <c r="H1079" s="18">
        <v>0</v>
      </c>
      <c r="I1079" s="20">
        <v>15050</v>
      </c>
      <c r="J1079" s="8">
        <f t="shared" si="48"/>
        <v>9450</v>
      </c>
      <c r="K1079" s="10">
        <f t="shared" si="49"/>
        <v>0.38571428571428573</v>
      </c>
      <c r="L1079" s="17">
        <f t="shared" si="50"/>
        <v>0</v>
      </c>
      <c r="M1079" t="str">
        <f>VLOOKUP(D1079,'Jer-Tip-Emp'!B:E,4,0)</f>
        <v>Adición</v>
      </c>
      <c r="N1079" t="str">
        <f>VLOOKUP(D1079,'Jer-Tip-Emp'!B:F,5,0)</f>
        <v>Adición</v>
      </c>
      <c r="O1079" t="str">
        <f>VLOOKUP(D1079,'Jer-Tip-Emp'!B:G,6,0)</f>
        <v>Adición</v>
      </c>
    </row>
    <row r="1080" spans="1:15" ht="27.5" customHeight="1" x14ac:dyDescent="0.2">
      <c r="A1080">
        <v>2025</v>
      </c>
      <c r="B1080" t="s">
        <v>615</v>
      </c>
      <c r="C1080" t="s">
        <v>609</v>
      </c>
      <c r="D1080" s="19" t="s">
        <v>298</v>
      </c>
      <c r="E1080" s="18" t="s">
        <v>153</v>
      </c>
      <c r="F1080" s="18">
        <v>4</v>
      </c>
      <c r="G1080" s="20">
        <v>83600</v>
      </c>
      <c r="H1080" s="18">
        <v>0</v>
      </c>
      <c r="I1080" s="20">
        <v>34084</v>
      </c>
      <c r="J1080" s="8">
        <f t="shared" si="48"/>
        <v>49516</v>
      </c>
      <c r="K1080" s="10">
        <f t="shared" si="49"/>
        <v>0.59229665071770332</v>
      </c>
      <c r="L1080" s="17">
        <f t="shared" si="50"/>
        <v>0</v>
      </c>
      <c r="M1080" t="str">
        <f>VLOOKUP(D1080,'Jer-Tip-Emp'!B:E,4,0)</f>
        <v>Platos mong</v>
      </c>
      <c r="N1080" t="str">
        <f>VLOOKUP(D1080,'Jer-Tip-Emp'!B:F,5,0)</f>
        <v>Personal</v>
      </c>
      <c r="O1080" t="str">
        <f>VLOOKUP(D1080,'Jer-Tip-Emp'!B:G,6,0)</f>
        <v>Caja</v>
      </c>
    </row>
    <row r="1081" spans="1:15" ht="27.5" customHeight="1" x14ac:dyDescent="0.2">
      <c r="A1081">
        <v>2025</v>
      </c>
      <c r="B1081" t="s">
        <v>615</v>
      </c>
      <c r="C1081" t="s">
        <v>609</v>
      </c>
      <c r="D1081" s="19" t="s">
        <v>232</v>
      </c>
      <c r="E1081" s="18" t="s">
        <v>94</v>
      </c>
      <c r="F1081" s="18">
        <v>4</v>
      </c>
      <c r="G1081" s="20">
        <v>91600</v>
      </c>
      <c r="H1081" s="18">
        <v>0</v>
      </c>
      <c r="I1081" s="20">
        <v>37616</v>
      </c>
      <c r="J1081" s="8">
        <f t="shared" si="48"/>
        <v>53984</v>
      </c>
      <c r="K1081" s="10">
        <f t="shared" si="49"/>
        <v>0.58934497816593889</v>
      </c>
      <c r="L1081" s="17">
        <f t="shared" si="50"/>
        <v>0</v>
      </c>
      <c r="M1081" t="str">
        <f>VLOOKUP(D1081,'Jer-Tip-Emp'!B:E,4,0)</f>
        <v>Platos mong</v>
      </c>
      <c r="N1081" t="str">
        <f>VLOOKUP(D1081,'Jer-Tip-Emp'!B:F,5,0)</f>
        <v>Personal</v>
      </c>
      <c r="O1081" t="str">
        <f>VLOOKUP(D1081,'Jer-Tip-Emp'!B:G,6,0)</f>
        <v>Caja</v>
      </c>
    </row>
    <row r="1082" spans="1:15" ht="27.5" hidden="1" customHeight="1" x14ac:dyDescent="0.2">
      <c r="A1082">
        <v>2025</v>
      </c>
      <c r="B1082" t="s">
        <v>615</v>
      </c>
      <c r="C1082" t="s">
        <v>609</v>
      </c>
      <c r="D1082" s="19" t="s">
        <v>409</v>
      </c>
      <c r="E1082" s="18" t="s">
        <v>64</v>
      </c>
      <c r="F1082" s="18">
        <v>4</v>
      </c>
      <c r="G1082" s="20">
        <v>32000</v>
      </c>
      <c r="H1082" s="18">
        <v>0</v>
      </c>
      <c r="I1082" s="18">
        <v>0</v>
      </c>
      <c r="J1082" s="8">
        <f t="shared" si="48"/>
        <v>32000</v>
      </c>
      <c r="K1082" s="10">
        <f t="shared" si="49"/>
        <v>1</v>
      </c>
      <c r="L1082" s="17">
        <f t="shared" si="50"/>
        <v>0</v>
      </c>
      <c r="M1082" t="str">
        <f>VLOOKUP(D1082,'Jer-Tip-Emp'!B:E,4,0)</f>
        <v>Bebidas</v>
      </c>
      <c r="N1082" t="str">
        <f>VLOOKUP(D1082,'Jer-Tip-Emp'!B:F,5,0)</f>
        <v>Bebidas</v>
      </c>
      <c r="O1082" t="str">
        <f>VLOOKUP(D1082,'Jer-Tip-Emp'!B:G,6,0)</f>
        <v>Bebidas</v>
      </c>
    </row>
    <row r="1083" spans="1:15" ht="27.5" customHeight="1" x14ac:dyDescent="0.2">
      <c r="A1083">
        <v>2025</v>
      </c>
      <c r="B1083" t="s">
        <v>615</v>
      </c>
      <c r="C1083" t="s">
        <v>609</v>
      </c>
      <c r="D1083" s="19" t="s">
        <v>198</v>
      </c>
      <c r="E1083" s="18" t="s">
        <v>124</v>
      </c>
      <c r="F1083" s="18">
        <v>4</v>
      </c>
      <c r="G1083" s="20">
        <v>95600</v>
      </c>
      <c r="H1083" s="18">
        <v>0</v>
      </c>
      <c r="I1083" s="20">
        <v>35028</v>
      </c>
      <c r="J1083" s="8">
        <f t="shared" si="48"/>
        <v>60572</v>
      </c>
      <c r="K1083" s="10">
        <f t="shared" si="49"/>
        <v>0.6335983263598326</v>
      </c>
      <c r="L1083" s="17">
        <f t="shared" si="50"/>
        <v>0</v>
      </c>
      <c r="M1083" t="str">
        <f>VLOOKUP(D1083,'Jer-Tip-Emp'!B:E,4,0)</f>
        <v>Platos mong</v>
      </c>
      <c r="N1083" t="str">
        <f>VLOOKUP(D1083,'Jer-Tip-Emp'!B:F,5,0)</f>
        <v>Personal</v>
      </c>
      <c r="O1083" t="str">
        <f>VLOOKUP(D1083,'Jer-Tip-Emp'!B:G,6,0)</f>
        <v>Caja</v>
      </c>
    </row>
    <row r="1084" spans="1:15" ht="27.5" hidden="1" customHeight="1" x14ac:dyDescent="0.2">
      <c r="A1084">
        <v>2025</v>
      </c>
      <c r="B1084" t="s">
        <v>615</v>
      </c>
      <c r="C1084" t="s">
        <v>609</v>
      </c>
      <c r="D1084" s="19" t="s">
        <v>426</v>
      </c>
      <c r="E1084" s="18" t="s">
        <v>561</v>
      </c>
      <c r="F1084" s="18">
        <v>3</v>
      </c>
      <c r="G1084" s="20">
        <v>4800</v>
      </c>
      <c r="H1084" s="18">
        <v>0</v>
      </c>
      <c r="I1084" s="20">
        <v>4548</v>
      </c>
      <c r="J1084" s="8">
        <f t="shared" si="48"/>
        <v>252</v>
      </c>
      <c r="K1084" s="10">
        <f t="shared" si="49"/>
        <v>5.2499999999999998E-2</v>
      </c>
      <c r="L1084" s="17">
        <f t="shared" si="50"/>
        <v>0</v>
      </c>
      <c r="M1084" t="str">
        <f>VLOOKUP(D1084,'Jer-Tip-Emp'!B:E,4,0)</f>
        <v>Bebidas</v>
      </c>
      <c r="N1084" t="str">
        <f>VLOOKUP(D1084,'Jer-Tip-Emp'!B:F,5,0)</f>
        <v>Bebidas Cambio de bebida</v>
      </c>
      <c r="O1084" t="str">
        <f>VLOOKUP(D1084,'Jer-Tip-Emp'!B:G,6,0)</f>
        <v>Bebidas</v>
      </c>
    </row>
    <row r="1085" spans="1:15" ht="27.5" hidden="1" customHeight="1" x14ac:dyDescent="0.2">
      <c r="A1085">
        <v>2025</v>
      </c>
      <c r="B1085" t="s">
        <v>615</v>
      </c>
      <c r="C1085" t="s">
        <v>609</v>
      </c>
      <c r="D1085" s="19" t="s">
        <v>296</v>
      </c>
      <c r="E1085" s="18" t="s">
        <v>22</v>
      </c>
      <c r="F1085" s="18">
        <v>3</v>
      </c>
      <c r="G1085" s="20">
        <v>20700</v>
      </c>
      <c r="H1085" s="18">
        <v>0</v>
      </c>
      <c r="I1085" s="20">
        <v>2067</v>
      </c>
      <c r="J1085" s="8">
        <f t="shared" si="48"/>
        <v>18633</v>
      </c>
      <c r="K1085" s="10">
        <f t="shared" si="49"/>
        <v>0.90014492753623188</v>
      </c>
      <c r="L1085" s="17">
        <f t="shared" si="50"/>
        <v>0</v>
      </c>
      <c r="M1085" t="str">
        <f>VLOOKUP(D1085,'Jer-Tip-Emp'!B:E,4,0)</f>
        <v>Adición</v>
      </c>
      <c r="N1085" t="str">
        <f>VLOOKUP(D1085,'Jer-Tip-Emp'!B:F,5,0)</f>
        <v>Adición</v>
      </c>
      <c r="O1085" t="str">
        <f>VLOOKUP(D1085,'Jer-Tip-Emp'!B:G,6,0)</f>
        <v>Adición</v>
      </c>
    </row>
    <row r="1086" spans="1:15" ht="27.5" customHeight="1" x14ac:dyDescent="0.2">
      <c r="A1086">
        <v>2025</v>
      </c>
      <c r="B1086" t="s">
        <v>615</v>
      </c>
      <c r="C1086" t="s">
        <v>609</v>
      </c>
      <c r="D1086" s="19" t="s">
        <v>286</v>
      </c>
      <c r="E1086" s="18" t="s">
        <v>144</v>
      </c>
      <c r="F1086" s="18">
        <v>2</v>
      </c>
      <c r="G1086" s="20">
        <v>153800</v>
      </c>
      <c r="H1086" s="18">
        <v>0</v>
      </c>
      <c r="I1086" s="20">
        <v>69310</v>
      </c>
      <c r="J1086" s="8">
        <f t="shared" si="48"/>
        <v>84490</v>
      </c>
      <c r="K1086" s="10">
        <f t="shared" si="49"/>
        <v>0.54934980494148244</v>
      </c>
      <c r="L1086" s="17">
        <f t="shared" si="50"/>
        <v>0</v>
      </c>
      <c r="M1086" t="str">
        <f>VLOOKUP(D1086,'Jer-Tip-Emp'!B:E,4,0)</f>
        <v>Platos mong</v>
      </c>
      <c r="N1086" t="str">
        <f>VLOOKUP(D1086,'Jer-Tip-Emp'!B:F,5,0)</f>
        <v>No Personal</v>
      </c>
      <c r="O1086" t="str">
        <f>VLOOKUP(D1086,'Jer-Tip-Emp'!B:G,6,0)</f>
        <v>Caja</v>
      </c>
    </row>
    <row r="1087" spans="1:15" ht="27.5" hidden="1" customHeight="1" x14ac:dyDescent="0.2">
      <c r="A1087">
        <v>2025</v>
      </c>
      <c r="B1087" t="s">
        <v>615</v>
      </c>
      <c r="C1087" t="s">
        <v>609</v>
      </c>
      <c r="D1087" s="19" t="s">
        <v>231</v>
      </c>
      <c r="E1087" s="18" t="s">
        <v>34</v>
      </c>
      <c r="F1087" s="18">
        <v>2</v>
      </c>
      <c r="G1087" s="20">
        <v>17800</v>
      </c>
      <c r="H1087" s="18">
        <v>0</v>
      </c>
      <c r="I1087" s="18">
        <v>0</v>
      </c>
      <c r="J1087" s="8">
        <f t="shared" si="48"/>
        <v>17800</v>
      </c>
      <c r="K1087" s="10">
        <f t="shared" si="49"/>
        <v>1</v>
      </c>
      <c r="L1087" s="17">
        <f t="shared" si="50"/>
        <v>0</v>
      </c>
      <c r="M1087" t="str">
        <f>VLOOKUP(D1087,'Jer-Tip-Emp'!B:E,4,0)</f>
        <v>Adición</v>
      </c>
      <c r="N1087" t="str">
        <f>VLOOKUP(D1087,'Jer-Tip-Emp'!B:F,5,0)</f>
        <v>Adición</v>
      </c>
      <c r="O1087" t="str">
        <f>VLOOKUP(D1087,'Jer-Tip-Emp'!B:G,6,0)</f>
        <v>Adición</v>
      </c>
    </row>
    <row r="1088" spans="1:15" ht="27.5" customHeight="1" x14ac:dyDescent="0.2">
      <c r="A1088">
        <v>2025</v>
      </c>
      <c r="B1088" t="s">
        <v>615</v>
      </c>
      <c r="C1088" t="s">
        <v>609</v>
      </c>
      <c r="D1088" s="19" t="s">
        <v>299</v>
      </c>
      <c r="E1088" s="18" t="s">
        <v>129</v>
      </c>
      <c r="F1088" s="18">
        <v>2</v>
      </c>
      <c r="G1088" s="20">
        <v>93800</v>
      </c>
      <c r="H1088" s="18">
        <v>0</v>
      </c>
      <c r="I1088" s="20">
        <v>22664</v>
      </c>
      <c r="J1088" s="8">
        <f t="shared" si="48"/>
        <v>71136</v>
      </c>
      <c r="K1088" s="10">
        <f t="shared" si="49"/>
        <v>0.7583795309168444</v>
      </c>
      <c r="L1088" s="17">
        <f t="shared" si="50"/>
        <v>0</v>
      </c>
      <c r="M1088" t="str">
        <f>VLOOKUP(D1088,'Jer-Tip-Emp'!B:E,4,0)</f>
        <v>Platos mong</v>
      </c>
      <c r="N1088" t="str">
        <f>VLOOKUP(D1088,'Jer-Tip-Emp'!B:F,5,0)</f>
        <v>No Personal</v>
      </c>
      <c r="O1088" t="str">
        <f>VLOOKUP(D1088,'Jer-Tip-Emp'!B:G,6,0)</f>
        <v>Caja</v>
      </c>
    </row>
    <row r="1089" spans="1:15" ht="27.5" hidden="1" customHeight="1" x14ac:dyDescent="0.2">
      <c r="A1089">
        <v>2025</v>
      </c>
      <c r="B1089" t="s">
        <v>615</v>
      </c>
      <c r="C1089" t="s">
        <v>609</v>
      </c>
      <c r="D1089" s="19" t="s">
        <v>445</v>
      </c>
      <c r="E1089" s="18" t="s">
        <v>570</v>
      </c>
      <c r="F1089" s="18">
        <v>2</v>
      </c>
      <c r="G1089" s="20">
        <v>3200</v>
      </c>
      <c r="H1089" s="18">
        <v>0</v>
      </c>
      <c r="I1089" s="20">
        <v>3422</v>
      </c>
      <c r="J1089" s="8">
        <f t="shared" ref="J1089:J1152" si="51">G1089-I1089</f>
        <v>-222</v>
      </c>
      <c r="K1089" s="10">
        <f t="shared" ref="K1089:K1152" si="52">IFERROR(J1089/G1089,0)</f>
        <v>-6.9375000000000006E-2</v>
      </c>
      <c r="L1089" s="17">
        <f t="shared" ref="L1089:L1152" si="53">IFERROR((H1089/G1089)*-1,0)</f>
        <v>0</v>
      </c>
      <c r="M1089" t="str">
        <f>VLOOKUP(D1089,'Jer-Tip-Emp'!B:E,4,0)</f>
        <v>Bebidas</v>
      </c>
      <c r="N1089" t="str">
        <f>VLOOKUP(D1089,'Jer-Tip-Emp'!B:F,5,0)</f>
        <v>Bebidas Cambio de bebida</v>
      </c>
      <c r="O1089" t="str">
        <f>VLOOKUP(D1089,'Jer-Tip-Emp'!B:G,6,0)</f>
        <v>Bebidas</v>
      </c>
    </row>
    <row r="1090" spans="1:15" ht="27.5" customHeight="1" x14ac:dyDescent="0.2">
      <c r="A1090">
        <v>2025</v>
      </c>
      <c r="B1090" t="s">
        <v>615</v>
      </c>
      <c r="C1090" t="s">
        <v>609</v>
      </c>
      <c r="D1090" s="19" t="s">
        <v>208</v>
      </c>
      <c r="E1090" s="18" t="s">
        <v>30</v>
      </c>
      <c r="F1090" s="18">
        <v>2</v>
      </c>
      <c r="G1090" s="20">
        <v>15800</v>
      </c>
      <c r="H1090" s="18">
        <v>0</v>
      </c>
      <c r="I1090" s="20">
        <v>5834</v>
      </c>
      <c r="J1090" s="8">
        <f t="shared" si="51"/>
        <v>9966</v>
      </c>
      <c r="K1090" s="10">
        <f t="shared" si="52"/>
        <v>0.63075949367088613</v>
      </c>
      <c r="L1090" s="17">
        <f t="shared" si="53"/>
        <v>0</v>
      </c>
      <c r="M1090" t="str">
        <f>VLOOKUP(D1090,'Jer-Tip-Emp'!B:E,4,0)</f>
        <v>Armalo en combo</v>
      </c>
      <c r="N1090" t="str">
        <f>VLOOKUP(D1090,'Jer-Tip-Emp'!B:F,5,0)</f>
        <v>Personal</v>
      </c>
      <c r="O1090" t="str">
        <f>VLOOKUP(D1090,'Jer-Tip-Emp'!B:G,6,0)</f>
        <v>Combo</v>
      </c>
    </row>
    <row r="1091" spans="1:15" ht="27.5" hidden="1" customHeight="1" x14ac:dyDescent="0.2">
      <c r="A1091">
        <v>2025</v>
      </c>
      <c r="B1091" t="s">
        <v>615</v>
      </c>
      <c r="C1091" t="s">
        <v>609</v>
      </c>
      <c r="D1091" s="19" t="s">
        <v>183</v>
      </c>
      <c r="E1091" s="18" t="s">
        <v>104</v>
      </c>
      <c r="F1091" s="18">
        <v>2</v>
      </c>
      <c r="G1091" s="20">
        <v>31800</v>
      </c>
      <c r="H1091" s="18">
        <v>0</v>
      </c>
      <c r="I1091" s="20">
        <v>20056</v>
      </c>
      <c r="J1091" s="8">
        <f t="shared" si="51"/>
        <v>11744</v>
      </c>
      <c r="K1091" s="10">
        <f t="shared" si="52"/>
        <v>0.36930817610062894</v>
      </c>
      <c r="L1091" s="17">
        <f t="shared" si="53"/>
        <v>0</v>
      </c>
      <c r="M1091" t="str">
        <f>VLOOKUP(D1091,'Jer-Tip-Emp'!B:E,4,0)</f>
        <v>Entradas</v>
      </c>
      <c r="N1091" t="str">
        <f>VLOOKUP(D1091,'Jer-Tip-Emp'!B:F,5,0)</f>
        <v>Otro</v>
      </c>
      <c r="O1091" t="str">
        <f>VLOOKUP(D1091,'Jer-Tip-Emp'!B:G,6,0)</f>
        <v>Otro</v>
      </c>
    </row>
    <row r="1092" spans="1:15" ht="27.5" hidden="1" customHeight="1" x14ac:dyDescent="0.2">
      <c r="A1092">
        <v>2025</v>
      </c>
      <c r="B1092" t="s">
        <v>615</v>
      </c>
      <c r="C1092" t="s">
        <v>609</v>
      </c>
      <c r="D1092" s="19" t="s">
        <v>308</v>
      </c>
      <c r="E1092" s="18" t="s">
        <v>606</v>
      </c>
      <c r="F1092" s="18">
        <v>2</v>
      </c>
      <c r="G1092" s="20">
        <v>3935</v>
      </c>
      <c r="H1092" s="18">
        <v>-65</v>
      </c>
      <c r="I1092" s="18">
        <v>0</v>
      </c>
      <c r="J1092" s="8">
        <f t="shared" si="51"/>
        <v>3935</v>
      </c>
      <c r="K1092" s="10">
        <f t="shared" si="52"/>
        <v>1</v>
      </c>
      <c r="L1092" s="17">
        <f t="shared" si="53"/>
        <v>1.6518424396442185E-2</v>
      </c>
      <c r="M1092" t="str">
        <f>VLOOKUP(D1092,'Jer-Tip-Emp'!B:E,4,0)</f>
        <v>Bebidas</v>
      </c>
      <c r="N1092" t="str">
        <f>VLOOKUP(D1092,'Jer-Tip-Emp'!B:F,5,0)</f>
        <v>Bebidas Cambio de bebida</v>
      </c>
      <c r="O1092" t="str">
        <f>VLOOKUP(D1092,'Jer-Tip-Emp'!B:G,6,0)</f>
        <v>Bebidas</v>
      </c>
    </row>
    <row r="1093" spans="1:15" ht="27.5" hidden="1" customHeight="1" x14ac:dyDescent="0.2">
      <c r="A1093">
        <v>2025</v>
      </c>
      <c r="B1093" t="s">
        <v>615</v>
      </c>
      <c r="C1093" t="s">
        <v>609</v>
      </c>
      <c r="D1093" s="19" t="s">
        <v>496</v>
      </c>
      <c r="E1093" s="18" t="s">
        <v>581</v>
      </c>
      <c r="F1093" s="18">
        <v>2</v>
      </c>
      <c r="G1093" s="20">
        <v>3200</v>
      </c>
      <c r="H1093" s="18">
        <v>0</v>
      </c>
      <c r="I1093" s="20">
        <v>3792</v>
      </c>
      <c r="J1093" s="8">
        <f t="shared" si="51"/>
        <v>-592</v>
      </c>
      <c r="K1093" s="10">
        <f t="shared" si="52"/>
        <v>-0.185</v>
      </c>
      <c r="L1093" s="17">
        <f t="shared" si="53"/>
        <v>0</v>
      </c>
      <c r="M1093" t="str">
        <f>VLOOKUP(D1093,'Jer-Tip-Emp'!B:E,4,0)</f>
        <v>Bebidas</v>
      </c>
      <c r="N1093" t="str">
        <f>VLOOKUP(D1093,'Jer-Tip-Emp'!B:F,5,0)</f>
        <v>Bebidas Cambio de bebida</v>
      </c>
      <c r="O1093" t="str">
        <f>VLOOKUP(D1093,'Jer-Tip-Emp'!B:G,6,0)</f>
        <v>Bebidas</v>
      </c>
    </row>
    <row r="1094" spans="1:15" ht="27.5" hidden="1" customHeight="1" x14ac:dyDescent="0.2">
      <c r="A1094">
        <v>2025</v>
      </c>
      <c r="B1094" t="s">
        <v>615</v>
      </c>
      <c r="C1094" t="s">
        <v>609</v>
      </c>
      <c r="D1094" s="19" t="s">
        <v>465</v>
      </c>
      <c r="E1094" s="18" t="s">
        <v>578</v>
      </c>
      <c r="F1094" s="18">
        <v>2</v>
      </c>
      <c r="G1094" s="20">
        <v>4600</v>
      </c>
      <c r="H1094" s="18">
        <v>0</v>
      </c>
      <c r="I1094" s="20">
        <v>4478</v>
      </c>
      <c r="J1094" s="8">
        <f t="shared" si="51"/>
        <v>122</v>
      </c>
      <c r="K1094" s="10">
        <f t="shared" si="52"/>
        <v>2.6521739130434784E-2</v>
      </c>
      <c r="L1094" s="17">
        <f t="shared" si="53"/>
        <v>0</v>
      </c>
      <c r="M1094" t="str">
        <f>VLOOKUP(D1094,'Jer-Tip-Emp'!B:E,4,0)</f>
        <v>Bebidas</v>
      </c>
      <c r="N1094" t="str">
        <f>VLOOKUP(D1094,'Jer-Tip-Emp'!B:F,5,0)</f>
        <v>Bebidas Cambio de bebida</v>
      </c>
      <c r="O1094" t="str">
        <f>VLOOKUP(D1094,'Jer-Tip-Emp'!B:G,6,0)</f>
        <v>Bebidas</v>
      </c>
    </row>
    <row r="1095" spans="1:15" ht="27.5" hidden="1" customHeight="1" x14ac:dyDescent="0.2">
      <c r="A1095">
        <v>2025</v>
      </c>
      <c r="B1095" t="s">
        <v>615</v>
      </c>
      <c r="C1095" t="s">
        <v>609</v>
      </c>
      <c r="D1095" s="19" t="s">
        <v>452</v>
      </c>
      <c r="E1095" s="18" t="s">
        <v>573</v>
      </c>
      <c r="F1095" s="18">
        <v>2</v>
      </c>
      <c r="G1095" s="20">
        <v>3200</v>
      </c>
      <c r="H1095" s="18">
        <v>0</v>
      </c>
      <c r="I1095" s="20">
        <v>3748</v>
      </c>
      <c r="J1095" s="8">
        <f t="shared" si="51"/>
        <v>-548</v>
      </c>
      <c r="K1095" s="10">
        <f t="shared" si="52"/>
        <v>-0.17125000000000001</v>
      </c>
      <c r="L1095" s="17">
        <f t="shared" si="53"/>
        <v>0</v>
      </c>
      <c r="M1095" t="str">
        <f>VLOOKUP(D1095,'Jer-Tip-Emp'!B:E,4,0)</f>
        <v>Bebidas</v>
      </c>
      <c r="N1095" t="str">
        <f>VLOOKUP(D1095,'Jer-Tip-Emp'!B:F,5,0)</f>
        <v>Bebidas Cambio de bebida</v>
      </c>
      <c r="O1095" t="str">
        <f>VLOOKUP(D1095,'Jer-Tip-Emp'!B:G,6,0)</f>
        <v>Bebidas</v>
      </c>
    </row>
    <row r="1096" spans="1:15" ht="27.5" hidden="1" customHeight="1" x14ac:dyDescent="0.2">
      <c r="A1096">
        <v>2025</v>
      </c>
      <c r="B1096" t="s">
        <v>615</v>
      </c>
      <c r="C1096" t="s">
        <v>609</v>
      </c>
      <c r="D1096" s="19" t="s">
        <v>495</v>
      </c>
      <c r="E1096" s="18" t="s">
        <v>572</v>
      </c>
      <c r="F1096" s="18">
        <v>2</v>
      </c>
      <c r="G1096" s="20">
        <v>3200</v>
      </c>
      <c r="H1096" s="18">
        <v>0</v>
      </c>
      <c r="I1096" s="20">
        <v>3792</v>
      </c>
      <c r="J1096" s="8">
        <f t="shared" si="51"/>
        <v>-592</v>
      </c>
      <c r="K1096" s="10">
        <f t="shared" si="52"/>
        <v>-0.185</v>
      </c>
      <c r="L1096" s="17">
        <f t="shared" si="53"/>
        <v>0</v>
      </c>
      <c r="M1096" t="str">
        <f>VLOOKUP(D1096,'Jer-Tip-Emp'!B:E,4,0)</f>
        <v>Bebidas</v>
      </c>
      <c r="N1096" t="str">
        <f>VLOOKUP(D1096,'Jer-Tip-Emp'!B:F,5,0)</f>
        <v>Bebidas Cambio de bebida</v>
      </c>
      <c r="O1096" t="str">
        <f>VLOOKUP(D1096,'Jer-Tip-Emp'!B:G,6,0)</f>
        <v>Bebidas</v>
      </c>
    </row>
    <row r="1097" spans="1:15" ht="27.5" customHeight="1" x14ac:dyDescent="0.2">
      <c r="A1097">
        <v>2025</v>
      </c>
      <c r="B1097" t="s">
        <v>615</v>
      </c>
      <c r="C1097" t="s">
        <v>609</v>
      </c>
      <c r="D1097" s="19" t="s">
        <v>191</v>
      </c>
      <c r="E1097" s="18" t="s">
        <v>136</v>
      </c>
      <c r="F1097" s="18">
        <v>1</v>
      </c>
      <c r="G1097" s="20">
        <v>32000</v>
      </c>
      <c r="H1097" s="20">
        <v>-5900</v>
      </c>
      <c r="I1097" s="20">
        <v>11810</v>
      </c>
      <c r="J1097" s="8">
        <f t="shared" si="51"/>
        <v>20190</v>
      </c>
      <c r="K1097" s="10">
        <f t="shared" si="52"/>
        <v>0.63093750000000004</v>
      </c>
      <c r="L1097" s="17">
        <f t="shared" si="53"/>
        <v>0.18437500000000001</v>
      </c>
      <c r="M1097" t="str">
        <f>VLOOKUP(D1097,'Jer-Tip-Emp'!B:E,4,0)</f>
        <v>Platos mong</v>
      </c>
      <c r="N1097" t="str">
        <f>VLOOKUP(D1097,'Jer-Tip-Emp'!B:F,5,0)</f>
        <v>No Personal</v>
      </c>
      <c r="O1097" t="str">
        <f>VLOOKUP(D1097,'Jer-Tip-Emp'!B:G,6,0)</f>
        <v>Caja</v>
      </c>
    </row>
    <row r="1098" spans="1:15" ht="27.5" hidden="1" customHeight="1" x14ac:dyDescent="0.2">
      <c r="A1098">
        <v>2025</v>
      </c>
      <c r="B1098" t="s">
        <v>615</v>
      </c>
      <c r="C1098" t="s">
        <v>609</v>
      </c>
      <c r="D1098" s="19" t="s">
        <v>463</v>
      </c>
      <c r="E1098" s="18" t="s">
        <v>575</v>
      </c>
      <c r="F1098" s="18">
        <v>1</v>
      </c>
      <c r="G1098" s="20">
        <v>1600</v>
      </c>
      <c r="H1098" s="18">
        <v>0</v>
      </c>
      <c r="I1098" s="18">
        <v>950</v>
      </c>
      <c r="J1098" s="8">
        <f t="shared" si="51"/>
        <v>650</v>
      </c>
      <c r="K1098" s="10">
        <f t="shared" si="52"/>
        <v>0.40625</v>
      </c>
      <c r="L1098" s="17">
        <f t="shared" si="53"/>
        <v>0</v>
      </c>
      <c r="M1098" t="str">
        <f>VLOOKUP(D1098,'Jer-Tip-Emp'!B:E,4,0)</f>
        <v>Bebidas</v>
      </c>
      <c r="N1098" t="str">
        <f>VLOOKUP(D1098,'Jer-Tip-Emp'!B:F,5,0)</f>
        <v>Bebidas Cambio de bebida</v>
      </c>
      <c r="O1098" t="str">
        <f>VLOOKUP(D1098,'Jer-Tip-Emp'!B:G,6,0)</f>
        <v>Bebidas</v>
      </c>
    </row>
    <row r="1099" spans="1:15" ht="27.5" hidden="1" customHeight="1" x14ac:dyDescent="0.2">
      <c r="A1099">
        <v>2025</v>
      </c>
      <c r="B1099" t="s">
        <v>615</v>
      </c>
      <c r="C1099" t="s">
        <v>609</v>
      </c>
      <c r="D1099" s="19" t="s">
        <v>432</v>
      </c>
      <c r="E1099" s="18" t="s">
        <v>576</v>
      </c>
      <c r="F1099" s="18">
        <v>1</v>
      </c>
      <c r="G1099" s="20">
        <v>1600</v>
      </c>
      <c r="H1099" s="18">
        <v>0</v>
      </c>
      <c r="I1099" s="20">
        <v>1368</v>
      </c>
      <c r="J1099" s="8">
        <f t="shared" si="51"/>
        <v>232</v>
      </c>
      <c r="K1099" s="10">
        <f t="shared" si="52"/>
        <v>0.14499999999999999</v>
      </c>
      <c r="L1099" s="17">
        <f t="shared" si="53"/>
        <v>0</v>
      </c>
      <c r="M1099" t="str">
        <f>VLOOKUP(D1099,'Jer-Tip-Emp'!B:E,4,0)</f>
        <v>Bebidas</v>
      </c>
      <c r="N1099" t="str">
        <f>VLOOKUP(D1099,'Jer-Tip-Emp'!B:F,5,0)</f>
        <v>Bebidas Cambio de bebida</v>
      </c>
      <c r="O1099" t="str">
        <f>VLOOKUP(D1099,'Jer-Tip-Emp'!B:G,6,0)</f>
        <v>Bebidas</v>
      </c>
    </row>
    <row r="1100" spans="1:15" ht="27.5" customHeight="1" x14ac:dyDescent="0.2">
      <c r="A1100">
        <v>2025</v>
      </c>
      <c r="B1100" t="s">
        <v>615</v>
      </c>
      <c r="C1100" t="s">
        <v>609</v>
      </c>
      <c r="D1100" s="19" t="s">
        <v>290</v>
      </c>
      <c r="E1100" s="18" t="s">
        <v>86</v>
      </c>
      <c r="F1100" s="18">
        <v>1</v>
      </c>
      <c r="G1100" s="20">
        <v>96900</v>
      </c>
      <c r="H1100" s="18">
        <v>0</v>
      </c>
      <c r="I1100" s="20">
        <v>46780</v>
      </c>
      <c r="J1100" s="8">
        <f t="shared" si="51"/>
        <v>50120</v>
      </c>
      <c r="K1100" s="10">
        <f t="shared" si="52"/>
        <v>0.51723426212590295</v>
      </c>
      <c r="L1100" s="17">
        <f t="shared" si="53"/>
        <v>0</v>
      </c>
      <c r="M1100" t="str">
        <f>VLOOKUP(D1100,'Jer-Tip-Emp'!B:E,4,0)</f>
        <v>Combos para compartir</v>
      </c>
      <c r="N1100" t="str">
        <f>VLOOKUP(D1100,'Jer-Tip-Emp'!B:F,5,0)</f>
        <v>No Personal</v>
      </c>
      <c r="O1100" t="str">
        <f>VLOOKUP(D1100,'Jer-Tip-Emp'!B:G,6,0)</f>
        <v>Combo</v>
      </c>
    </row>
    <row r="1101" spans="1:15" ht="27.5" hidden="1" customHeight="1" x14ac:dyDescent="0.2">
      <c r="A1101">
        <v>2025</v>
      </c>
      <c r="B1101" t="s">
        <v>615</v>
      </c>
      <c r="C1101" t="s">
        <v>609</v>
      </c>
      <c r="D1101" s="19" t="s">
        <v>300</v>
      </c>
      <c r="E1101" s="18" t="s">
        <v>26</v>
      </c>
      <c r="F1101" s="18">
        <v>1</v>
      </c>
      <c r="G1101" s="20">
        <v>7900</v>
      </c>
      <c r="H1101" s="18">
        <v>0</v>
      </c>
      <c r="I1101" s="18">
        <v>0</v>
      </c>
      <c r="J1101" s="8">
        <f t="shared" si="51"/>
        <v>7900</v>
      </c>
      <c r="K1101" s="10">
        <f t="shared" si="52"/>
        <v>1</v>
      </c>
      <c r="L1101" s="17">
        <f t="shared" si="53"/>
        <v>0</v>
      </c>
      <c r="M1101" t="str">
        <f>VLOOKUP(D1101,'Jer-Tip-Emp'!B:E,4,0)</f>
        <v>Adición</v>
      </c>
      <c r="N1101" t="str">
        <f>VLOOKUP(D1101,'Jer-Tip-Emp'!B:F,5,0)</f>
        <v>Adición</v>
      </c>
      <c r="O1101" t="str">
        <f>VLOOKUP(D1101,'Jer-Tip-Emp'!B:G,6,0)</f>
        <v>Adición</v>
      </c>
    </row>
    <row r="1102" spans="1:15" ht="27.5" hidden="1" customHeight="1" x14ac:dyDescent="0.2">
      <c r="A1102">
        <v>2025</v>
      </c>
      <c r="B1102" t="s">
        <v>615</v>
      </c>
      <c r="C1102" t="s">
        <v>609</v>
      </c>
      <c r="D1102" s="19" t="s">
        <v>461</v>
      </c>
      <c r="E1102" s="18" t="s">
        <v>571</v>
      </c>
      <c r="F1102" s="18">
        <v>1</v>
      </c>
      <c r="G1102" s="20">
        <v>1600</v>
      </c>
      <c r="H1102" s="18">
        <v>0</v>
      </c>
      <c r="I1102" s="18">
        <v>950</v>
      </c>
      <c r="J1102" s="8">
        <f t="shared" si="51"/>
        <v>650</v>
      </c>
      <c r="K1102" s="10">
        <f t="shared" si="52"/>
        <v>0.40625</v>
      </c>
      <c r="L1102" s="17">
        <f t="shared" si="53"/>
        <v>0</v>
      </c>
      <c r="M1102" t="str">
        <f>VLOOKUP(D1102,'Jer-Tip-Emp'!B:E,4,0)</f>
        <v>Bebidas</v>
      </c>
      <c r="N1102" t="str">
        <f>VLOOKUP(D1102,'Jer-Tip-Emp'!B:F,5,0)</f>
        <v>Bebidas Cambio de bebida</v>
      </c>
      <c r="O1102" t="str">
        <f>VLOOKUP(D1102,'Jer-Tip-Emp'!B:G,6,0)</f>
        <v>Bebidas</v>
      </c>
    </row>
    <row r="1103" spans="1:15" ht="27.5" customHeight="1" x14ac:dyDescent="0.2">
      <c r="A1103">
        <v>2025</v>
      </c>
      <c r="B1103" t="s">
        <v>615</v>
      </c>
      <c r="C1103" t="s">
        <v>609</v>
      </c>
      <c r="D1103" s="19" t="s">
        <v>252</v>
      </c>
      <c r="E1103" s="18" t="s">
        <v>100</v>
      </c>
      <c r="F1103" s="18">
        <v>1</v>
      </c>
      <c r="G1103" s="20">
        <v>66900</v>
      </c>
      <c r="H1103" s="18">
        <v>0</v>
      </c>
      <c r="I1103" s="20">
        <v>32351</v>
      </c>
      <c r="J1103" s="8">
        <f t="shared" si="51"/>
        <v>34549</v>
      </c>
      <c r="K1103" s="10">
        <f t="shared" si="52"/>
        <v>0.51642750373692081</v>
      </c>
      <c r="L1103" s="17">
        <f t="shared" si="53"/>
        <v>0</v>
      </c>
      <c r="M1103" t="str">
        <f>VLOOKUP(D1103,'Jer-Tip-Emp'!B:E,4,0)</f>
        <v>Platos mong</v>
      </c>
      <c r="N1103" t="str">
        <f>VLOOKUP(D1103,'Jer-Tip-Emp'!B:F,5,0)</f>
        <v>No Personal</v>
      </c>
      <c r="O1103" t="str">
        <f>VLOOKUP(D1103,'Jer-Tip-Emp'!B:G,6,0)</f>
        <v>Caja</v>
      </c>
    </row>
    <row r="1104" spans="1:15" ht="27.5" customHeight="1" x14ac:dyDescent="0.2">
      <c r="A1104">
        <v>2025</v>
      </c>
      <c r="B1104" t="s">
        <v>615</v>
      </c>
      <c r="C1104" t="s">
        <v>609</v>
      </c>
      <c r="D1104" s="19" t="s">
        <v>195</v>
      </c>
      <c r="E1104" s="18" t="s">
        <v>156</v>
      </c>
      <c r="F1104" s="18">
        <v>1</v>
      </c>
      <c r="G1104" s="20">
        <v>58900</v>
      </c>
      <c r="H1104" s="18">
        <v>0</v>
      </c>
      <c r="I1104" s="20">
        <v>30804</v>
      </c>
      <c r="J1104" s="8">
        <f t="shared" si="51"/>
        <v>28096</v>
      </c>
      <c r="K1104" s="10">
        <f t="shared" si="52"/>
        <v>0.47701188455008486</v>
      </c>
      <c r="L1104" s="17">
        <f t="shared" si="53"/>
        <v>0</v>
      </c>
      <c r="M1104" t="str">
        <f>VLOOKUP(D1104,'Jer-Tip-Emp'!B:E,4,0)</f>
        <v>Platos mong</v>
      </c>
      <c r="N1104" t="str">
        <f>VLOOKUP(D1104,'Jer-Tip-Emp'!B:F,5,0)</f>
        <v>No Personal</v>
      </c>
      <c r="O1104" t="str">
        <f>VLOOKUP(D1104,'Jer-Tip-Emp'!B:G,6,0)</f>
        <v>Caja</v>
      </c>
    </row>
    <row r="1105" spans="1:15" ht="27.5" customHeight="1" x14ac:dyDescent="0.2">
      <c r="A1105">
        <v>2025</v>
      </c>
      <c r="B1105" t="s">
        <v>615</v>
      </c>
      <c r="C1105" t="s">
        <v>609</v>
      </c>
      <c r="D1105" s="19" t="s">
        <v>221</v>
      </c>
      <c r="E1105" s="18" t="s">
        <v>27</v>
      </c>
      <c r="F1105" s="18">
        <v>1</v>
      </c>
      <c r="G1105" s="20">
        <v>7900</v>
      </c>
      <c r="H1105" s="18">
        <v>0</v>
      </c>
      <c r="I1105" s="18">
        <v>0</v>
      </c>
      <c r="J1105" s="8">
        <f t="shared" si="51"/>
        <v>7900</v>
      </c>
      <c r="K1105" s="10">
        <f t="shared" si="52"/>
        <v>1</v>
      </c>
      <c r="L1105" s="17">
        <f t="shared" si="53"/>
        <v>0</v>
      </c>
      <c r="M1105" t="str">
        <f>VLOOKUP(D1105,'Jer-Tip-Emp'!B:E,4,0)</f>
        <v>Armalo en combo</v>
      </c>
      <c r="N1105" t="str">
        <f>VLOOKUP(D1105,'Jer-Tip-Emp'!B:F,5,0)</f>
        <v>Personal</v>
      </c>
      <c r="O1105" t="str">
        <f>VLOOKUP(D1105,'Jer-Tip-Emp'!B:G,6,0)</f>
        <v>Combo</v>
      </c>
    </row>
    <row r="1106" spans="1:15" ht="27.5" customHeight="1" x14ac:dyDescent="0.2">
      <c r="A1106">
        <v>2025</v>
      </c>
      <c r="B1106" t="s">
        <v>615</v>
      </c>
      <c r="C1106" t="s">
        <v>609</v>
      </c>
      <c r="D1106" s="19" t="s">
        <v>181</v>
      </c>
      <c r="E1106" s="18" t="s">
        <v>121</v>
      </c>
      <c r="F1106" s="18">
        <v>1</v>
      </c>
      <c r="G1106" s="20">
        <v>19900</v>
      </c>
      <c r="H1106" s="18">
        <v>0</v>
      </c>
      <c r="I1106" s="20">
        <v>6138</v>
      </c>
      <c r="J1106" s="8">
        <f t="shared" si="51"/>
        <v>13762</v>
      </c>
      <c r="K1106" s="10">
        <f t="shared" si="52"/>
        <v>0.69155778894472364</v>
      </c>
      <c r="L1106" s="17">
        <f t="shared" si="53"/>
        <v>0</v>
      </c>
      <c r="M1106" t="str">
        <f>VLOOKUP(D1106,'Jer-Tip-Emp'!B:E,4,0)</f>
        <v>Platos mong</v>
      </c>
      <c r="N1106" t="str">
        <f>VLOOKUP(D1106,'Jer-Tip-Emp'!B:F,5,0)</f>
        <v>Personal</v>
      </c>
      <c r="O1106" t="str">
        <f>VLOOKUP(D1106,'Jer-Tip-Emp'!B:G,6,0)</f>
        <v>Caja</v>
      </c>
    </row>
    <row r="1107" spans="1:15" ht="27.5" customHeight="1" x14ac:dyDescent="0.2">
      <c r="A1107">
        <v>2025</v>
      </c>
      <c r="B1107" t="s">
        <v>615</v>
      </c>
      <c r="C1107" t="s">
        <v>609</v>
      </c>
      <c r="D1107" s="19" t="s">
        <v>240</v>
      </c>
      <c r="E1107" s="18" t="s">
        <v>139</v>
      </c>
      <c r="F1107" s="18">
        <v>1</v>
      </c>
      <c r="G1107" s="20">
        <v>55900</v>
      </c>
      <c r="H1107" s="18">
        <v>0</v>
      </c>
      <c r="I1107" s="20">
        <v>24255</v>
      </c>
      <c r="J1107" s="8">
        <f t="shared" si="51"/>
        <v>31645</v>
      </c>
      <c r="K1107" s="10">
        <f t="shared" si="52"/>
        <v>0.5661001788908766</v>
      </c>
      <c r="L1107" s="17">
        <f t="shared" si="53"/>
        <v>0</v>
      </c>
      <c r="M1107" t="str">
        <f>VLOOKUP(D1107,'Jer-Tip-Emp'!B:E,4,0)</f>
        <v>Platos mong</v>
      </c>
      <c r="N1107" t="str">
        <f>VLOOKUP(D1107,'Jer-Tip-Emp'!B:F,5,0)</f>
        <v>No Personal</v>
      </c>
      <c r="O1107" t="str">
        <f>VLOOKUP(D1107,'Jer-Tip-Emp'!B:G,6,0)</f>
        <v>Caja</v>
      </c>
    </row>
    <row r="1108" spans="1:15" ht="27.5" customHeight="1" x14ac:dyDescent="0.2">
      <c r="A1108">
        <v>2025</v>
      </c>
      <c r="B1108" t="s">
        <v>615</v>
      </c>
      <c r="C1108" t="s">
        <v>609</v>
      </c>
      <c r="D1108" s="19" t="s">
        <v>204</v>
      </c>
      <c r="E1108" s="18" t="s">
        <v>154</v>
      </c>
      <c r="F1108" s="18">
        <v>1</v>
      </c>
      <c r="G1108" s="20">
        <v>45900</v>
      </c>
      <c r="H1108" s="18">
        <v>0</v>
      </c>
      <c r="I1108" s="20">
        <v>19441</v>
      </c>
      <c r="J1108" s="8">
        <f t="shared" si="51"/>
        <v>26459</v>
      </c>
      <c r="K1108" s="10">
        <f t="shared" si="52"/>
        <v>0.57644880174291935</v>
      </c>
      <c r="L1108" s="17">
        <f t="shared" si="53"/>
        <v>0</v>
      </c>
      <c r="M1108" t="str">
        <f>VLOOKUP(D1108,'Jer-Tip-Emp'!B:E,4,0)</f>
        <v>Platos mong</v>
      </c>
      <c r="N1108" t="str">
        <f>VLOOKUP(D1108,'Jer-Tip-Emp'!B:F,5,0)</f>
        <v>No Personal</v>
      </c>
      <c r="O1108" t="str">
        <f>VLOOKUP(D1108,'Jer-Tip-Emp'!B:G,6,0)</f>
        <v>Caja</v>
      </c>
    </row>
    <row r="1109" spans="1:15" ht="27.5" hidden="1" customHeight="1" x14ac:dyDescent="0.2">
      <c r="A1109">
        <v>2025</v>
      </c>
      <c r="B1109" t="s">
        <v>615</v>
      </c>
      <c r="C1109" t="s">
        <v>609</v>
      </c>
      <c r="D1109" s="19" t="s">
        <v>450</v>
      </c>
      <c r="E1109" s="18" t="s">
        <v>565</v>
      </c>
      <c r="F1109" s="18">
        <v>1</v>
      </c>
      <c r="G1109" s="20">
        <v>1600</v>
      </c>
      <c r="H1109" s="18">
        <v>0</v>
      </c>
      <c r="I1109" s="20">
        <v>1874</v>
      </c>
      <c r="J1109" s="8">
        <f t="shared" si="51"/>
        <v>-274</v>
      </c>
      <c r="K1109" s="10">
        <f t="shared" si="52"/>
        <v>-0.17125000000000001</v>
      </c>
      <c r="L1109" s="17">
        <f t="shared" si="53"/>
        <v>0</v>
      </c>
      <c r="M1109" t="str">
        <f>VLOOKUP(D1109,'Jer-Tip-Emp'!B:E,4,0)</f>
        <v>Bebidas</v>
      </c>
      <c r="N1109" t="str">
        <f>VLOOKUP(D1109,'Jer-Tip-Emp'!B:F,5,0)</f>
        <v>Bebidas Cambio de bebida</v>
      </c>
      <c r="O1109" t="str">
        <f>VLOOKUP(D1109,'Jer-Tip-Emp'!B:G,6,0)</f>
        <v>Bebidas</v>
      </c>
    </row>
    <row r="1110" spans="1:15" ht="27.5" customHeight="1" x14ac:dyDescent="0.2">
      <c r="A1110">
        <v>2025</v>
      </c>
      <c r="B1110" t="s">
        <v>615</v>
      </c>
      <c r="C1110" t="s">
        <v>609</v>
      </c>
      <c r="D1110" s="19" t="s">
        <v>274</v>
      </c>
      <c r="E1110" s="18" t="s">
        <v>91</v>
      </c>
      <c r="F1110" s="18">
        <v>1</v>
      </c>
      <c r="G1110" s="20">
        <v>69900</v>
      </c>
      <c r="H1110" s="18">
        <v>0</v>
      </c>
      <c r="I1110" s="20">
        <v>28815</v>
      </c>
      <c r="J1110" s="8">
        <f t="shared" si="51"/>
        <v>41085</v>
      </c>
      <c r="K1110" s="10">
        <f t="shared" si="52"/>
        <v>0.58776824034334763</v>
      </c>
      <c r="L1110" s="17">
        <f t="shared" si="53"/>
        <v>0</v>
      </c>
      <c r="M1110" t="str">
        <f>VLOOKUP(D1110,'Jer-Tip-Emp'!B:E,4,0)</f>
        <v>Platos mong</v>
      </c>
      <c r="N1110" t="str">
        <f>VLOOKUP(D1110,'Jer-Tip-Emp'!B:F,5,0)</f>
        <v>No Personal</v>
      </c>
      <c r="O1110" t="str">
        <f>VLOOKUP(D1110,'Jer-Tip-Emp'!B:G,6,0)</f>
        <v>Caja</v>
      </c>
    </row>
    <row r="1111" spans="1:15" ht="27.5" hidden="1" customHeight="1" x14ac:dyDescent="0.2">
      <c r="A1111">
        <v>2025</v>
      </c>
      <c r="B1111" t="s">
        <v>615</v>
      </c>
      <c r="C1111" t="s">
        <v>594</v>
      </c>
      <c r="D1111" s="19" t="s">
        <v>173</v>
      </c>
      <c r="E1111" s="18" t="s">
        <v>542</v>
      </c>
      <c r="F1111" s="18">
        <v>46</v>
      </c>
      <c r="G1111" s="18">
        <v>0</v>
      </c>
      <c r="H1111" s="18">
        <v>0</v>
      </c>
      <c r="I1111" s="18">
        <v>0</v>
      </c>
      <c r="J1111" s="8">
        <f t="shared" si="51"/>
        <v>0</v>
      </c>
      <c r="K1111" s="10">
        <f t="shared" si="52"/>
        <v>0</v>
      </c>
      <c r="L1111" s="17">
        <f t="shared" si="53"/>
        <v>0</v>
      </c>
      <c r="M1111" t="str">
        <f>VLOOKUP(D1111,'Jer-Tip-Emp'!B:E,4,0)</f>
        <v>Bebidas</v>
      </c>
      <c r="N1111" t="str">
        <f>VLOOKUP(D1111,'Jer-Tip-Emp'!B:F,5,0)</f>
        <v>Bebidas Cambio de bebida</v>
      </c>
      <c r="O1111" t="str">
        <f>VLOOKUP(D1111,'Jer-Tip-Emp'!B:G,6,0)</f>
        <v>Bebidas</v>
      </c>
    </row>
    <row r="1112" spans="1:15" ht="27.5" customHeight="1" x14ac:dyDescent="0.2">
      <c r="A1112">
        <v>2025</v>
      </c>
      <c r="B1112" t="s">
        <v>615</v>
      </c>
      <c r="C1112" t="s">
        <v>594</v>
      </c>
      <c r="D1112" s="19" t="s">
        <v>207</v>
      </c>
      <c r="E1112" s="18" t="s">
        <v>92</v>
      </c>
      <c r="F1112" s="18">
        <v>38</v>
      </c>
      <c r="G1112" s="20">
        <v>937100</v>
      </c>
      <c r="H1112" s="20">
        <v>-275100</v>
      </c>
      <c r="I1112" s="20">
        <v>365826</v>
      </c>
      <c r="J1112" s="8">
        <f t="shared" si="51"/>
        <v>571274</v>
      </c>
      <c r="K1112" s="10">
        <f t="shared" si="52"/>
        <v>0.60961903745598123</v>
      </c>
      <c r="L1112" s="17">
        <f t="shared" si="53"/>
        <v>0.29356525450859033</v>
      </c>
      <c r="M1112" t="str">
        <f>VLOOKUP(D1112,'Jer-Tip-Emp'!B:E,4,0)</f>
        <v>Combos personales</v>
      </c>
      <c r="N1112" t="str">
        <f>VLOOKUP(D1112,'Jer-Tip-Emp'!B:F,5,0)</f>
        <v>Personal</v>
      </c>
      <c r="O1112" t="str">
        <f>VLOOKUP(D1112,'Jer-Tip-Emp'!B:G,6,0)</f>
        <v>Combo</v>
      </c>
    </row>
    <row r="1113" spans="1:15" ht="27.5" customHeight="1" x14ac:dyDescent="0.2">
      <c r="A1113">
        <v>2025</v>
      </c>
      <c r="B1113" t="s">
        <v>615</v>
      </c>
      <c r="C1113" t="s">
        <v>594</v>
      </c>
      <c r="D1113" s="19" t="s">
        <v>184</v>
      </c>
      <c r="E1113" s="18" t="s">
        <v>162</v>
      </c>
      <c r="F1113" s="18">
        <v>24</v>
      </c>
      <c r="G1113" s="20">
        <v>516000</v>
      </c>
      <c r="H1113" s="20">
        <v>-129600</v>
      </c>
      <c r="I1113" s="18">
        <v>0</v>
      </c>
      <c r="J1113" s="8">
        <f t="shared" si="51"/>
        <v>516000</v>
      </c>
      <c r="K1113" s="10">
        <f t="shared" si="52"/>
        <v>1</v>
      </c>
      <c r="L1113" s="17">
        <f t="shared" si="53"/>
        <v>0.25116279069767444</v>
      </c>
      <c r="M1113" t="str">
        <f>VLOOKUP(D1113,'Jer-Tip-Emp'!B:E,4,0)</f>
        <v>Combos personales</v>
      </c>
      <c r="N1113" t="str">
        <f>VLOOKUP(D1113,'Jer-Tip-Emp'!B:F,5,0)</f>
        <v>Personal</v>
      </c>
      <c r="O1113" t="str">
        <f>VLOOKUP(D1113,'Jer-Tip-Emp'!B:G,6,0)</f>
        <v>Caja</v>
      </c>
    </row>
    <row r="1114" spans="1:15" ht="27.5" hidden="1" customHeight="1" x14ac:dyDescent="0.2">
      <c r="A1114">
        <v>2025</v>
      </c>
      <c r="B1114" t="s">
        <v>615</v>
      </c>
      <c r="C1114" t="s">
        <v>594</v>
      </c>
      <c r="D1114" s="19" t="s">
        <v>346</v>
      </c>
      <c r="E1114" s="18" t="s">
        <v>551</v>
      </c>
      <c r="F1114" s="18">
        <v>16</v>
      </c>
      <c r="G1114" s="18">
        <v>0</v>
      </c>
      <c r="H1114" s="18">
        <v>0</v>
      </c>
      <c r="I1114" s="18">
        <v>0</v>
      </c>
      <c r="J1114" s="8">
        <f t="shared" si="51"/>
        <v>0</v>
      </c>
      <c r="K1114" s="10">
        <f t="shared" si="52"/>
        <v>0</v>
      </c>
      <c r="L1114" s="17">
        <f t="shared" si="53"/>
        <v>0</v>
      </c>
      <c r="M1114" t="str">
        <f>VLOOKUP(D1114,'Jer-Tip-Emp'!B:E,4,0)</f>
        <v>Adición</v>
      </c>
      <c r="N1114" t="str">
        <f>VLOOKUP(D1114,'Jer-Tip-Emp'!B:F,5,0)</f>
        <v>Adición</v>
      </c>
      <c r="O1114" t="str">
        <f>VLOOKUP(D1114,'Jer-Tip-Emp'!B:G,6,0)</f>
        <v>Adición</v>
      </c>
    </row>
    <row r="1115" spans="1:15" ht="27.5" hidden="1" customHeight="1" x14ac:dyDescent="0.2">
      <c r="A1115">
        <v>2025</v>
      </c>
      <c r="B1115" t="s">
        <v>615</v>
      </c>
      <c r="C1115" t="s">
        <v>594</v>
      </c>
      <c r="D1115" s="19" t="s">
        <v>176</v>
      </c>
      <c r="E1115" s="18" t="s">
        <v>544</v>
      </c>
      <c r="F1115" s="18">
        <v>11</v>
      </c>
      <c r="G1115" s="20">
        <v>11000</v>
      </c>
      <c r="H1115" s="18">
        <v>0</v>
      </c>
      <c r="I1115" s="20">
        <v>21395</v>
      </c>
      <c r="J1115" s="8">
        <f t="shared" si="51"/>
        <v>-10395</v>
      </c>
      <c r="K1115" s="10">
        <f t="shared" si="52"/>
        <v>-0.94499999999999995</v>
      </c>
      <c r="L1115" s="17">
        <f t="shared" si="53"/>
        <v>0</v>
      </c>
      <c r="M1115" t="str">
        <f>VLOOKUP(D1115,'Jer-Tip-Emp'!B:E,4,0)</f>
        <v>Bebidas</v>
      </c>
      <c r="N1115" t="str">
        <f>VLOOKUP(D1115,'Jer-Tip-Emp'!B:F,5,0)</f>
        <v>Bebidas Cambio de bebida</v>
      </c>
      <c r="O1115" t="str">
        <f>VLOOKUP(D1115,'Jer-Tip-Emp'!B:G,6,0)</f>
        <v>Bebidas</v>
      </c>
    </row>
    <row r="1116" spans="1:15" ht="27.5" customHeight="1" x14ac:dyDescent="0.2">
      <c r="A1116">
        <v>2025</v>
      </c>
      <c r="B1116" t="s">
        <v>615</v>
      </c>
      <c r="C1116" t="s">
        <v>594</v>
      </c>
      <c r="D1116" s="19" t="s">
        <v>196</v>
      </c>
      <c r="E1116" s="18" t="s">
        <v>159</v>
      </c>
      <c r="F1116" s="18">
        <v>11</v>
      </c>
      <c r="G1116" s="20">
        <v>288900</v>
      </c>
      <c r="H1116" s="20">
        <v>-95000</v>
      </c>
      <c r="I1116" s="20">
        <v>104511</v>
      </c>
      <c r="J1116" s="8">
        <f t="shared" si="51"/>
        <v>184389</v>
      </c>
      <c r="K1116" s="10">
        <f t="shared" si="52"/>
        <v>0.63824506749740395</v>
      </c>
      <c r="L1116" s="17">
        <f t="shared" si="53"/>
        <v>0.32883350640359987</v>
      </c>
      <c r="M1116" t="str">
        <f>VLOOKUP(D1116,'Jer-Tip-Emp'!B:E,4,0)</f>
        <v>Combos personales</v>
      </c>
      <c r="N1116" t="str">
        <f>VLOOKUP(D1116,'Jer-Tip-Emp'!B:F,5,0)</f>
        <v>Personal</v>
      </c>
      <c r="O1116" t="str">
        <f>VLOOKUP(D1116,'Jer-Tip-Emp'!B:G,6,0)</f>
        <v>Combo</v>
      </c>
    </row>
    <row r="1117" spans="1:15" ht="27.5" customHeight="1" x14ac:dyDescent="0.2">
      <c r="A1117">
        <v>2025</v>
      </c>
      <c r="B1117" t="s">
        <v>615</v>
      </c>
      <c r="C1117" t="s">
        <v>594</v>
      </c>
      <c r="D1117" s="19" t="s">
        <v>212</v>
      </c>
      <c r="E1117" s="18" t="s">
        <v>160</v>
      </c>
      <c r="F1117" s="18">
        <v>8</v>
      </c>
      <c r="G1117" s="20">
        <v>235150</v>
      </c>
      <c r="H1117" s="20">
        <v>-76050</v>
      </c>
      <c r="I1117" s="20">
        <v>90024</v>
      </c>
      <c r="J1117" s="8">
        <f t="shared" si="51"/>
        <v>145126</v>
      </c>
      <c r="K1117" s="10">
        <f t="shared" si="52"/>
        <v>0.61716351265149905</v>
      </c>
      <c r="L1117" s="17">
        <f t="shared" si="53"/>
        <v>0.32341058898575376</v>
      </c>
      <c r="M1117" t="str">
        <f>VLOOKUP(D1117,'Jer-Tip-Emp'!B:E,4,0)</f>
        <v>Combos personales</v>
      </c>
      <c r="N1117" t="str">
        <f>VLOOKUP(D1117,'Jer-Tip-Emp'!B:F,5,0)</f>
        <v>Personal</v>
      </c>
      <c r="O1117" t="str">
        <f>VLOOKUP(D1117,'Jer-Tip-Emp'!B:G,6,0)</f>
        <v>Combo</v>
      </c>
    </row>
    <row r="1118" spans="1:15" ht="27.5" hidden="1" customHeight="1" x14ac:dyDescent="0.2">
      <c r="A1118">
        <v>2025</v>
      </c>
      <c r="B1118" t="s">
        <v>615</v>
      </c>
      <c r="C1118" t="s">
        <v>594</v>
      </c>
      <c r="D1118" s="19" t="s">
        <v>490</v>
      </c>
      <c r="E1118" s="18" t="s">
        <v>554</v>
      </c>
      <c r="F1118" s="18">
        <v>7</v>
      </c>
      <c r="G1118" s="18">
        <v>0</v>
      </c>
      <c r="H1118" s="18">
        <v>0</v>
      </c>
      <c r="I1118" s="20">
        <v>14343</v>
      </c>
      <c r="J1118" s="8">
        <f t="shared" si="51"/>
        <v>-14343</v>
      </c>
      <c r="K1118" s="10">
        <f t="shared" si="52"/>
        <v>0</v>
      </c>
      <c r="L1118" s="17">
        <f t="shared" si="53"/>
        <v>0</v>
      </c>
      <c r="M1118" t="str">
        <f>VLOOKUP(D1118,'Jer-Tip-Emp'!B:E,4,0)</f>
        <v>Adición</v>
      </c>
      <c r="N1118" t="str">
        <f>VLOOKUP(D1118,'Jer-Tip-Emp'!B:F,5,0)</f>
        <v>Otro</v>
      </c>
      <c r="O1118" t="str">
        <f>VLOOKUP(D1118,'Jer-Tip-Emp'!B:G,6,0)</f>
        <v>Otro</v>
      </c>
    </row>
    <row r="1119" spans="1:15" ht="27.5" customHeight="1" x14ac:dyDescent="0.2">
      <c r="A1119">
        <v>2025</v>
      </c>
      <c r="B1119" t="s">
        <v>615</v>
      </c>
      <c r="C1119" t="s">
        <v>594</v>
      </c>
      <c r="D1119" s="19" t="s">
        <v>186</v>
      </c>
      <c r="E1119" s="18" t="s">
        <v>95</v>
      </c>
      <c r="F1119" s="18">
        <v>7</v>
      </c>
      <c r="G1119" s="20">
        <v>217700</v>
      </c>
      <c r="H1119" s="20">
        <v>-54600</v>
      </c>
      <c r="I1119" s="20">
        <v>66990</v>
      </c>
      <c r="J1119" s="8">
        <f t="shared" si="51"/>
        <v>150710</v>
      </c>
      <c r="K1119" s="10">
        <f t="shared" si="52"/>
        <v>0.69228295819935692</v>
      </c>
      <c r="L1119" s="17">
        <f t="shared" si="53"/>
        <v>0.25080385852090031</v>
      </c>
      <c r="M1119" t="str">
        <f>VLOOKUP(D1119,'Jer-Tip-Emp'!B:E,4,0)</f>
        <v>Combos personales</v>
      </c>
      <c r="N1119" t="str">
        <f>VLOOKUP(D1119,'Jer-Tip-Emp'!B:F,5,0)</f>
        <v>Personal</v>
      </c>
      <c r="O1119" t="str">
        <f>VLOOKUP(D1119,'Jer-Tip-Emp'!B:G,6,0)</f>
        <v>Combo</v>
      </c>
    </row>
    <row r="1120" spans="1:15" ht="27.5" hidden="1" customHeight="1" x14ac:dyDescent="0.2">
      <c r="A1120">
        <v>2025</v>
      </c>
      <c r="B1120" t="s">
        <v>615</v>
      </c>
      <c r="C1120" t="s">
        <v>594</v>
      </c>
      <c r="D1120" s="19" t="s">
        <v>500</v>
      </c>
      <c r="E1120" s="18" t="s">
        <v>546</v>
      </c>
      <c r="F1120" s="18">
        <v>6</v>
      </c>
      <c r="G1120" s="18">
        <v>0</v>
      </c>
      <c r="H1120" s="18">
        <v>0</v>
      </c>
      <c r="I1120" s="20">
        <v>5208</v>
      </c>
      <c r="J1120" s="8">
        <f t="shared" si="51"/>
        <v>-5208</v>
      </c>
      <c r="K1120" s="10">
        <f t="shared" si="52"/>
        <v>0</v>
      </c>
      <c r="L1120" s="17">
        <f t="shared" si="53"/>
        <v>0</v>
      </c>
      <c r="M1120" t="str">
        <f>VLOOKUP(D1120,'Jer-Tip-Emp'!B:E,4,0)</f>
        <v>Bebidas</v>
      </c>
      <c r="N1120" t="str">
        <f>VLOOKUP(D1120,'Jer-Tip-Emp'!B:F,5,0)</f>
        <v>Bebidas Cambio de bebida</v>
      </c>
      <c r="O1120" t="str">
        <f>VLOOKUP(D1120,'Jer-Tip-Emp'!B:G,6,0)</f>
        <v>Bebidas</v>
      </c>
    </row>
    <row r="1121" spans="1:15" ht="27.5" customHeight="1" x14ac:dyDescent="0.2">
      <c r="A1121">
        <v>2025</v>
      </c>
      <c r="B1121" t="s">
        <v>615</v>
      </c>
      <c r="C1121" t="s">
        <v>594</v>
      </c>
      <c r="D1121" s="19" t="s">
        <v>228</v>
      </c>
      <c r="E1121" s="18" t="s">
        <v>96</v>
      </c>
      <c r="F1121" s="18">
        <v>6</v>
      </c>
      <c r="G1121" s="20">
        <v>184700</v>
      </c>
      <c r="H1121" s="20">
        <v>-48700</v>
      </c>
      <c r="I1121" s="20">
        <v>61482</v>
      </c>
      <c r="J1121" s="8">
        <f t="shared" si="51"/>
        <v>123218</v>
      </c>
      <c r="K1121" s="10">
        <f t="shared" si="52"/>
        <v>0.66712506767731461</v>
      </c>
      <c r="L1121" s="17">
        <f t="shared" si="53"/>
        <v>0.26367081754195992</v>
      </c>
      <c r="M1121" t="str">
        <f>VLOOKUP(D1121,'Jer-Tip-Emp'!B:E,4,0)</f>
        <v>Combos personales</v>
      </c>
      <c r="N1121" t="str">
        <f>VLOOKUP(D1121,'Jer-Tip-Emp'!B:F,5,0)</f>
        <v>Personal</v>
      </c>
      <c r="O1121" t="str">
        <f>VLOOKUP(D1121,'Jer-Tip-Emp'!B:G,6,0)</f>
        <v>Combo</v>
      </c>
    </row>
    <row r="1122" spans="1:15" ht="27.5" hidden="1" customHeight="1" x14ac:dyDescent="0.2">
      <c r="A1122">
        <v>2025</v>
      </c>
      <c r="B1122" t="s">
        <v>615</v>
      </c>
      <c r="C1122" t="s">
        <v>594</v>
      </c>
      <c r="D1122" s="19" t="s">
        <v>365</v>
      </c>
      <c r="E1122" s="18" t="s">
        <v>558</v>
      </c>
      <c r="F1122" s="18">
        <v>6</v>
      </c>
      <c r="G1122" s="20">
        <v>5400</v>
      </c>
      <c r="H1122" s="18">
        <v>0</v>
      </c>
      <c r="I1122" s="20">
        <v>9414</v>
      </c>
      <c r="J1122" s="8">
        <f t="shared" si="51"/>
        <v>-4014</v>
      </c>
      <c r="K1122" s="10">
        <f t="shared" si="52"/>
        <v>-0.74333333333333329</v>
      </c>
      <c r="L1122" s="17">
        <f t="shared" si="53"/>
        <v>0</v>
      </c>
      <c r="M1122" t="str">
        <f>VLOOKUP(D1122,'Jer-Tip-Emp'!B:E,4,0)</f>
        <v>Adición</v>
      </c>
      <c r="N1122" t="str">
        <f>VLOOKUP(D1122,'Jer-Tip-Emp'!B:F,5,0)</f>
        <v>Otro</v>
      </c>
      <c r="O1122" t="str">
        <f>VLOOKUP(D1122,'Jer-Tip-Emp'!B:G,6,0)</f>
        <v>Otro</v>
      </c>
    </row>
    <row r="1123" spans="1:15" ht="27.5" hidden="1" customHeight="1" x14ac:dyDescent="0.2">
      <c r="A1123">
        <v>2025</v>
      </c>
      <c r="B1123" t="s">
        <v>615</v>
      </c>
      <c r="C1123" t="s">
        <v>594</v>
      </c>
      <c r="D1123" s="19" t="s">
        <v>342</v>
      </c>
      <c r="E1123" s="18" t="s">
        <v>556</v>
      </c>
      <c r="F1123" s="18">
        <v>5</v>
      </c>
      <c r="G1123" s="20">
        <v>38000</v>
      </c>
      <c r="H1123" s="18">
        <v>0</v>
      </c>
      <c r="I1123" s="20">
        <v>15540</v>
      </c>
      <c r="J1123" s="8">
        <f t="shared" si="51"/>
        <v>22460</v>
      </c>
      <c r="K1123" s="10">
        <f t="shared" si="52"/>
        <v>0.59105263157894739</v>
      </c>
      <c r="L1123" s="17">
        <f t="shared" si="53"/>
        <v>0</v>
      </c>
      <c r="M1123" t="str">
        <f>VLOOKUP(D1123,'Jer-Tip-Emp'!B:E,4,0)</f>
        <v>Adición</v>
      </c>
      <c r="N1123" t="str">
        <f>VLOOKUP(D1123,'Jer-Tip-Emp'!B:F,5,0)</f>
        <v>Adición</v>
      </c>
      <c r="O1123" t="str">
        <f>VLOOKUP(D1123,'Jer-Tip-Emp'!B:G,6,0)</f>
        <v>Adición</v>
      </c>
    </row>
    <row r="1124" spans="1:15" ht="27.5" hidden="1" customHeight="1" x14ac:dyDescent="0.2">
      <c r="A1124">
        <v>2025</v>
      </c>
      <c r="B1124" t="s">
        <v>615</v>
      </c>
      <c r="C1124" t="s">
        <v>594</v>
      </c>
      <c r="D1124" s="19" t="s">
        <v>438</v>
      </c>
      <c r="E1124" s="18" t="s">
        <v>563</v>
      </c>
      <c r="F1124" s="18">
        <v>5</v>
      </c>
      <c r="G1124" s="20">
        <v>38000</v>
      </c>
      <c r="H1124" s="18">
        <v>0</v>
      </c>
      <c r="I1124" s="20">
        <v>14245</v>
      </c>
      <c r="J1124" s="8">
        <f t="shared" si="51"/>
        <v>23755</v>
      </c>
      <c r="K1124" s="10">
        <f t="shared" si="52"/>
        <v>0.62513157894736837</v>
      </c>
      <c r="L1124" s="17">
        <f t="shared" si="53"/>
        <v>0</v>
      </c>
      <c r="M1124" t="str">
        <f>VLOOKUP(D1124,'Jer-Tip-Emp'!B:E,4,0)</f>
        <v>Adición</v>
      </c>
      <c r="N1124" t="str">
        <f>VLOOKUP(D1124,'Jer-Tip-Emp'!B:F,5,0)</f>
        <v>Adición</v>
      </c>
      <c r="O1124" t="str">
        <f>VLOOKUP(D1124,'Jer-Tip-Emp'!B:G,6,0)</f>
        <v>Adición</v>
      </c>
    </row>
    <row r="1125" spans="1:15" ht="27.5" customHeight="1" x14ac:dyDescent="0.2">
      <c r="A1125">
        <v>2025</v>
      </c>
      <c r="B1125" t="s">
        <v>615</v>
      </c>
      <c r="C1125" t="s">
        <v>594</v>
      </c>
      <c r="D1125" s="19" t="s">
        <v>214</v>
      </c>
      <c r="E1125" s="18" t="s">
        <v>81</v>
      </c>
      <c r="F1125" s="18">
        <v>5</v>
      </c>
      <c r="G1125" s="20">
        <v>298500</v>
      </c>
      <c r="H1125" s="20">
        <v>-106000</v>
      </c>
      <c r="I1125" s="20">
        <v>118190</v>
      </c>
      <c r="J1125" s="8">
        <f t="shared" si="51"/>
        <v>180310</v>
      </c>
      <c r="K1125" s="10">
        <f t="shared" si="52"/>
        <v>0.6040536013400335</v>
      </c>
      <c r="L1125" s="17">
        <f t="shared" si="53"/>
        <v>0.35510887772194305</v>
      </c>
      <c r="M1125" t="str">
        <f>VLOOKUP(D1125,'Jer-Tip-Emp'!B:E,4,0)</f>
        <v>Combos para compartir</v>
      </c>
      <c r="N1125" t="str">
        <f>VLOOKUP(D1125,'Jer-Tip-Emp'!B:F,5,0)</f>
        <v>No Personal</v>
      </c>
      <c r="O1125" t="str">
        <f>VLOOKUP(D1125,'Jer-Tip-Emp'!B:G,6,0)</f>
        <v>Combo</v>
      </c>
    </row>
    <row r="1126" spans="1:15" ht="27.5" hidden="1" customHeight="1" x14ac:dyDescent="0.2">
      <c r="A1126">
        <v>2025</v>
      </c>
      <c r="B1126" t="s">
        <v>615</v>
      </c>
      <c r="C1126" t="s">
        <v>594</v>
      </c>
      <c r="D1126" s="19" t="s">
        <v>328</v>
      </c>
      <c r="E1126" s="18" t="s">
        <v>555</v>
      </c>
      <c r="F1126" s="18">
        <v>5</v>
      </c>
      <c r="G1126" s="20">
        <v>5000</v>
      </c>
      <c r="H1126" s="18">
        <v>0</v>
      </c>
      <c r="I1126" s="18">
        <v>295</v>
      </c>
      <c r="J1126" s="8">
        <f t="shared" si="51"/>
        <v>4705</v>
      </c>
      <c r="K1126" s="10">
        <f t="shared" si="52"/>
        <v>0.94099999999999995</v>
      </c>
      <c r="L1126" s="17">
        <f t="shared" si="53"/>
        <v>0</v>
      </c>
      <c r="M1126" t="str">
        <f>VLOOKUP(D1126,'Jer-Tip-Emp'!B:E,4,0)</f>
        <v>Adición</v>
      </c>
      <c r="N1126" t="str">
        <f>VLOOKUP(D1126,'Jer-Tip-Emp'!B:F,5,0)</f>
        <v>Adición</v>
      </c>
      <c r="O1126" t="str">
        <f>VLOOKUP(D1126,'Jer-Tip-Emp'!B:G,6,0)</f>
        <v>Adición</v>
      </c>
    </row>
    <row r="1127" spans="1:15" ht="27.5" hidden="1" customHeight="1" x14ac:dyDescent="0.2">
      <c r="A1127">
        <v>2025</v>
      </c>
      <c r="B1127" t="s">
        <v>615</v>
      </c>
      <c r="C1127" t="s">
        <v>594</v>
      </c>
      <c r="D1127" s="19" t="s">
        <v>348</v>
      </c>
      <c r="E1127" s="18" t="s">
        <v>567</v>
      </c>
      <c r="F1127" s="18">
        <v>3</v>
      </c>
      <c r="G1127" s="20">
        <v>24000</v>
      </c>
      <c r="H1127" s="18">
        <v>0</v>
      </c>
      <c r="I1127" s="20">
        <v>5241</v>
      </c>
      <c r="J1127" s="8">
        <f t="shared" si="51"/>
        <v>18759</v>
      </c>
      <c r="K1127" s="10">
        <f t="shared" si="52"/>
        <v>0.78162500000000001</v>
      </c>
      <c r="L1127" s="17">
        <f t="shared" si="53"/>
        <v>0</v>
      </c>
      <c r="M1127" t="str">
        <f>VLOOKUP(D1127,'Jer-Tip-Emp'!B:E,4,0)</f>
        <v>Adición</v>
      </c>
      <c r="N1127" t="str">
        <f>VLOOKUP(D1127,'Jer-Tip-Emp'!B:F,5,0)</f>
        <v>Adición</v>
      </c>
      <c r="O1127" t="str">
        <f>VLOOKUP(D1127,'Jer-Tip-Emp'!B:G,6,0)</f>
        <v>Adición</v>
      </c>
    </row>
    <row r="1128" spans="1:15" ht="27.5" customHeight="1" x14ac:dyDescent="0.2">
      <c r="A1128">
        <v>2025</v>
      </c>
      <c r="B1128" t="s">
        <v>615</v>
      </c>
      <c r="C1128" t="s">
        <v>594</v>
      </c>
      <c r="D1128" s="19" t="s">
        <v>213</v>
      </c>
      <c r="E1128" s="18" t="s">
        <v>101</v>
      </c>
      <c r="F1128" s="18">
        <v>2</v>
      </c>
      <c r="G1128" s="20">
        <v>59800</v>
      </c>
      <c r="H1128" s="20">
        <v>-20000</v>
      </c>
      <c r="I1128" s="20">
        <v>65602</v>
      </c>
      <c r="J1128" s="8">
        <f t="shared" si="51"/>
        <v>-5802</v>
      </c>
      <c r="K1128" s="10">
        <f t="shared" si="52"/>
        <v>-9.7023411371237461E-2</v>
      </c>
      <c r="L1128" s="17">
        <f t="shared" si="53"/>
        <v>0.33444816053511706</v>
      </c>
      <c r="M1128" t="str">
        <f>VLOOKUP(D1128,'Jer-Tip-Emp'!B:E,4,0)</f>
        <v>Combos personales</v>
      </c>
      <c r="N1128" t="str">
        <f>VLOOKUP(D1128,'Jer-Tip-Emp'!B:F,5,0)</f>
        <v>Personal</v>
      </c>
      <c r="O1128" t="str">
        <f>VLOOKUP(D1128,'Jer-Tip-Emp'!B:G,6,0)</f>
        <v>Combo</v>
      </c>
    </row>
    <row r="1129" spans="1:15" ht="27.5" hidden="1" customHeight="1" x14ac:dyDescent="0.2">
      <c r="A1129">
        <v>2025</v>
      </c>
      <c r="B1129" t="s">
        <v>615</v>
      </c>
      <c r="C1129" t="s">
        <v>594</v>
      </c>
      <c r="D1129" s="19" t="s">
        <v>284</v>
      </c>
      <c r="E1129" s="18" t="s">
        <v>106</v>
      </c>
      <c r="F1129" s="18">
        <v>2</v>
      </c>
      <c r="G1129" s="20">
        <v>25800</v>
      </c>
      <c r="H1129" s="18">
        <v>0</v>
      </c>
      <c r="I1129" s="20">
        <v>6278</v>
      </c>
      <c r="J1129" s="8">
        <f t="shared" si="51"/>
        <v>19522</v>
      </c>
      <c r="K1129" s="10">
        <f t="shared" si="52"/>
        <v>0.75666666666666671</v>
      </c>
      <c r="L1129" s="17">
        <f t="shared" si="53"/>
        <v>0</v>
      </c>
      <c r="M1129" t="str">
        <f>VLOOKUP(D1129,'Jer-Tip-Emp'!B:E,4,0)</f>
        <v>Entradas</v>
      </c>
      <c r="N1129" t="str">
        <f>VLOOKUP(D1129,'Jer-Tip-Emp'!B:F,5,0)</f>
        <v>Otro</v>
      </c>
      <c r="O1129" t="str">
        <f>VLOOKUP(D1129,'Jer-Tip-Emp'!B:G,6,0)</f>
        <v>Otro</v>
      </c>
    </row>
    <row r="1130" spans="1:15" ht="27.5" hidden="1" customHeight="1" x14ac:dyDescent="0.2">
      <c r="A1130">
        <v>2025</v>
      </c>
      <c r="B1130" t="s">
        <v>615</v>
      </c>
      <c r="C1130" t="s">
        <v>594</v>
      </c>
      <c r="D1130" s="19" t="s">
        <v>432</v>
      </c>
      <c r="E1130" s="18" t="s">
        <v>576</v>
      </c>
      <c r="F1130" s="18">
        <v>2</v>
      </c>
      <c r="G1130" s="20">
        <v>4000</v>
      </c>
      <c r="H1130" s="18">
        <v>0</v>
      </c>
      <c r="I1130" s="20">
        <v>2736</v>
      </c>
      <c r="J1130" s="8">
        <f t="shared" si="51"/>
        <v>1264</v>
      </c>
      <c r="K1130" s="10">
        <f t="shared" si="52"/>
        <v>0.316</v>
      </c>
      <c r="L1130" s="17">
        <f t="shared" si="53"/>
        <v>0</v>
      </c>
      <c r="M1130" t="str">
        <f>VLOOKUP(D1130,'Jer-Tip-Emp'!B:E,4,0)</f>
        <v>Bebidas</v>
      </c>
      <c r="N1130" t="str">
        <f>VLOOKUP(D1130,'Jer-Tip-Emp'!B:F,5,0)</f>
        <v>Bebidas Cambio de bebida</v>
      </c>
      <c r="O1130" t="str">
        <f>VLOOKUP(D1130,'Jer-Tip-Emp'!B:G,6,0)</f>
        <v>Bebidas</v>
      </c>
    </row>
    <row r="1131" spans="1:15" ht="27.5" hidden="1" customHeight="1" x14ac:dyDescent="0.2">
      <c r="A1131">
        <v>2025</v>
      </c>
      <c r="B1131" t="s">
        <v>615</v>
      </c>
      <c r="C1131" t="s">
        <v>594</v>
      </c>
      <c r="D1131" s="19" t="s">
        <v>418</v>
      </c>
      <c r="E1131" s="18" t="s">
        <v>557</v>
      </c>
      <c r="F1131" s="18">
        <v>2</v>
      </c>
      <c r="G1131" s="20">
        <v>2000</v>
      </c>
      <c r="H1131" s="18">
        <v>0</v>
      </c>
      <c r="I1131" s="18">
        <v>0</v>
      </c>
      <c r="J1131" s="8">
        <f t="shared" si="51"/>
        <v>2000</v>
      </c>
      <c r="K1131" s="10">
        <f t="shared" si="52"/>
        <v>1</v>
      </c>
      <c r="L1131" s="17">
        <f t="shared" si="53"/>
        <v>0</v>
      </c>
      <c r="M1131" t="str">
        <f>VLOOKUP(D1131,'Jer-Tip-Emp'!B:E,4,0)</f>
        <v>Adición</v>
      </c>
      <c r="N1131" t="str">
        <f>VLOOKUP(D1131,'Jer-Tip-Emp'!B:F,5,0)</f>
        <v>Adición</v>
      </c>
      <c r="O1131" t="str">
        <f>VLOOKUP(D1131,'Jer-Tip-Emp'!B:G,6,0)</f>
        <v>Adición</v>
      </c>
    </row>
    <row r="1132" spans="1:15" ht="27.5" hidden="1" customHeight="1" x14ac:dyDescent="0.2">
      <c r="A1132">
        <v>2025</v>
      </c>
      <c r="B1132" t="s">
        <v>615</v>
      </c>
      <c r="C1132" t="s">
        <v>594</v>
      </c>
      <c r="D1132" s="19" t="s">
        <v>457</v>
      </c>
      <c r="E1132" s="18" t="s">
        <v>602</v>
      </c>
      <c r="F1132" s="18">
        <v>2</v>
      </c>
      <c r="G1132" s="20">
        <v>13400</v>
      </c>
      <c r="H1132" s="18">
        <v>0</v>
      </c>
      <c r="I1132" s="18">
        <v>14</v>
      </c>
      <c r="J1132" s="8">
        <f t="shared" si="51"/>
        <v>13386</v>
      </c>
      <c r="K1132" s="10">
        <f t="shared" si="52"/>
        <v>0.99895522388059699</v>
      </c>
      <c r="L1132" s="17">
        <f t="shared" si="53"/>
        <v>0</v>
      </c>
      <c r="M1132" t="str">
        <f>VLOOKUP(D1132,'Jer-Tip-Emp'!B:E,4,0)</f>
        <v>Adición</v>
      </c>
      <c r="N1132" t="str">
        <f>VLOOKUP(D1132,'Jer-Tip-Emp'!B:F,5,0)</f>
        <v>Adición</v>
      </c>
      <c r="O1132" t="str">
        <f>VLOOKUP(D1132,'Jer-Tip-Emp'!B:G,6,0)</f>
        <v>Adición</v>
      </c>
    </row>
    <row r="1133" spans="1:15" ht="27.5" hidden="1" customHeight="1" x14ac:dyDescent="0.2">
      <c r="A1133">
        <v>2025</v>
      </c>
      <c r="B1133" t="s">
        <v>615</v>
      </c>
      <c r="C1133" t="s">
        <v>594</v>
      </c>
      <c r="D1133" s="19" t="s">
        <v>410</v>
      </c>
      <c r="E1133" s="18" t="s">
        <v>559</v>
      </c>
      <c r="F1133" s="18">
        <v>2</v>
      </c>
      <c r="G1133" s="20">
        <v>5200</v>
      </c>
      <c r="H1133" s="18">
        <v>0</v>
      </c>
      <c r="I1133" s="20">
        <v>4470</v>
      </c>
      <c r="J1133" s="8">
        <f t="shared" si="51"/>
        <v>730</v>
      </c>
      <c r="K1133" s="10">
        <f t="shared" si="52"/>
        <v>0.14038461538461539</v>
      </c>
      <c r="L1133" s="17">
        <f t="shared" si="53"/>
        <v>0</v>
      </c>
      <c r="M1133" t="str">
        <f>VLOOKUP(D1133,'Jer-Tip-Emp'!B:E,4,0)</f>
        <v>Bebidas</v>
      </c>
      <c r="N1133" t="str">
        <f>VLOOKUP(D1133,'Jer-Tip-Emp'!B:F,5,0)</f>
        <v>Bebidas Cambio de bebida</v>
      </c>
      <c r="O1133" t="str">
        <f>VLOOKUP(D1133,'Jer-Tip-Emp'!B:G,6,0)</f>
        <v>Bebidas</v>
      </c>
    </row>
    <row r="1134" spans="1:15" ht="27.5" hidden="1" customHeight="1" x14ac:dyDescent="0.2">
      <c r="A1134">
        <v>2025</v>
      </c>
      <c r="B1134" t="s">
        <v>615</v>
      </c>
      <c r="C1134" t="s">
        <v>594</v>
      </c>
      <c r="D1134" s="19" t="s">
        <v>310</v>
      </c>
      <c r="E1134" s="18" t="s">
        <v>53</v>
      </c>
      <c r="F1134" s="18">
        <v>1</v>
      </c>
      <c r="G1134" s="20">
        <v>6500</v>
      </c>
      <c r="H1134" s="18">
        <v>0</v>
      </c>
      <c r="I1134" s="20">
        <v>1695</v>
      </c>
      <c r="J1134" s="8">
        <f t="shared" si="51"/>
        <v>4805</v>
      </c>
      <c r="K1134" s="10">
        <f t="shared" si="52"/>
        <v>0.73923076923076925</v>
      </c>
      <c r="L1134" s="17">
        <f t="shared" si="53"/>
        <v>0</v>
      </c>
      <c r="M1134" t="str">
        <f>VLOOKUP(D1134,'Jer-Tip-Emp'!B:E,4,0)</f>
        <v>Bebidas</v>
      </c>
      <c r="N1134" t="str">
        <f>VLOOKUP(D1134,'Jer-Tip-Emp'!B:F,5,0)</f>
        <v>Bebidas</v>
      </c>
      <c r="O1134" t="str">
        <f>VLOOKUP(D1134,'Jer-Tip-Emp'!B:G,6,0)</f>
        <v>Bebidas</v>
      </c>
    </row>
    <row r="1135" spans="1:15" ht="27.5" customHeight="1" x14ac:dyDescent="0.2">
      <c r="A1135">
        <v>2025</v>
      </c>
      <c r="B1135" t="s">
        <v>615</v>
      </c>
      <c r="C1135" t="s">
        <v>594</v>
      </c>
      <c r="D1135" s="19" t="s">
        <v>266</v>
      </c>
      <c r="E1135" s="18" t="s">
        <v>85</v>
      </c>
      <c r="F1135" s="18">
        <v>1</v>
      </c>
      <c r="G1135" s="20">
        <v>83900</v>
      </c>
      <c r="H1135" s="20">
        <v>-28000</v>
      </c>
      <c r="I1135" s="20">
        <v>39221</v>
      </c>
      <c r="J1135" s="8">
        <f t="shared" si="51"/>
        <v>44679</v>
      </c>
      <c r="K1135" s="10">
        <f t="shared" si="52"/>
        <v>0.53252681764004772</v>
      </c>
      <c r="L1135" s="17">
        <f t="shared" si="53"/>
        <v>0.33373063170441003</v>
      </c>
      <c r="M1135" t="str">
        <f>VLOOKUP(D1135,'Jer-Tip-Emp'!B:E,4,0)</f>
        <v>Combos para compartir</v>
      </c>
      <c r="N1135" t="str">
        <f>VLOOKUP(D1135,'Jer-Tip-Emp'!B:F,5,0)</f>
        <v>No Personal</v>
      </c>
      <c r="O1135" t="str">
        <f>VLOOKUP(D1135,'Jer-Tip-Emp'!B:G,6,0)</f>
        <v>Combo</v>
      </c>
    </row>
    <row r="1136" spans="1:15" ht="27.5" hidden="1" customHeight="1" x14ac:dyDescent="0.2">
      <c r="A1136">
        <v>2025</v>
      </c>
      <c r="B1136" t="s">
        <v>615</v>
      </c>
      <c r="C1136" t="s">
        <v>594</v>
      </c>
      <c r="D1136" s="19" t="s">
        <v>450</v>
      </c>
      <c r="E1136" s="18" t="s">
        <v>565</v>
      </c>
      <c r="F1136" s="18">
        <v>1</v>
      </c>
      <c r="G1136" s="20">
        <v>2000</v>
      </c>
      <c r="H1136" s="18">
        <v>0</v>
      </c>
      <c r="I1136" s="20">
        <v>1874</v>
      </c>
      <c r="J1136" s="8">
        <f t="shared" si="51"/>
        <v>126</v>
      </c>
      <c r="K1136" s="10">
        <f t="shared" si="52"/>
        <v>6.3E-2</v>
      </c>
      <c r="L1136" s="17">
        <f t="shared" si="53"/>
        <v>0</v>
      </c>
      <c r="M1136" t="str">
        <f>VLOOKUP(D1136,'Jer-Tip-Emp'!B:E,4,0)</f>
        <v>Bebidas</v>
      </c>
      <c r="N1136" t="str">
        <f>VLOOKUP(D1136,'Jer-Tip-Emp'!B:F,5,0)</f>
        <v>Bebidas Cambio de bebida</v>
      </c>
      <c r="O1136" t="str">
        <f>VLOOKUP(D1136,'Jer-Tip-Emp'!B:G,6,0)</f>
        <v>Bebidas</v>
      </c>
    </row>
    <row r="1137" spans="1:15" ht="27.5" hidden="1" customHeight="1" x14ac:dyDescent="0.2">
      <c r="A1137">
        <v>2025</v>
      </c>
      <c r="B1137" t="s">
        <v>615</v>
      </c>
      <c r="C1137" t="s">
        <v>594</v>
      </c>
      <c r="D1137" s="19" t="s">
        <v>218</v>
      </c>
      <c r="E1137" s="18" t="s">
        <v>33</v>
      </c>
      <c r="F1137" s="18">
        <v>1</v>
      </c>
      <c r="G1137" s="20">
        <v>9900</v>
      </c>
      <c r="H1137" s="18">
        <v>0</v>
      </c>
      <c r="I1137" s="18">
        <v>0</v>
      </c>
      <c r="J1137" s="8">
        <f t="shared" si="51"/>
        <v>9900</v>
      </c>
      <c r="K1137" s="10">
        <f t="shared" si="52"/>
        <v>1</v>
      </c>
      <c r="L1137" s="17">
        <f t="shared" si="53"/>
        <v>0</v>
      </c>
      <c r="M1137" t="str">
        <f>VLOOKUP(D1137,'Jer-Tip-Emp'!B:E,4,0)</f>
        <v>Adición</v>
      </c>
      <c r="N1137" t="str">
        <f>VLOOKUP(D1137,'Jer-Tip-Emp'!B:F,5,0)</f>
        <v>Adición</v>
      </c>
      <c r="O1137" t="str">
        <f>VLOOKUP(D1137,'Jer-Tip-Emp'!B:G,6,0)</f>
        <v>Adición</v>
      </c>
    </row>
    <row r="1138" spans="1:15" ht="27.5" hidden="1" customHeight="1" x14ac:dyDescent="0.2">
      <c r="A1138">
        <v>2025</v>
      </c>
      <c r="B1138" t="s">
        <v>615</v>
      </c>
      <c r="C1138" t="s">
        <v>594</v>
      </c>
      <c r="D1138" s="19" t="s">
        <v>268</v>
      </c>
      <c r="E1138" s="18" t="s">
        <v>17</v>
      </c>
      <c r="F1138" s="18">
        <v>1</v>
      </c>
      <c r="G1138" s="20">
        <v>7900</v>
      </c>
      <c r="H1138" s="18">
        <v>0</v>
      </c>
      <c r="I1138" s="20">
        <v>1282</v>
      </c>
      <c r="J1138" s="8">
        <f t="shared" si="51"/>
        <v>6618</v>
      </c>
      <c r="K1138" s="10">
        <f t="shared" si="52"/>
        <v>0.83772151898734182</v>
      </c>
      <c r="L1138" s="17">
        <f t="shared" si="53"/>
        <v>0</v>
      </c>
      <c r="M1138" t="str">
        <f>VLOOKUP(D1138,'Jer-Tip-Emp'!B:E,4,0)</f>
        <v>Adición</v>
      </c>
      <c r="N1138" t="str">
        <f>VLOOKUP(D1138,'Jer-Tip-Emp'!B:F,5,0)</f>
        <v>Adición</v>
      </c>
      <c r="O1138" t="str">
        <f>VLOOKUP(D1138,'Jer-Tip-Emp'!B:G,6,0)</f>
        <v>Adición</v>
      </c>
    </row>
    <row r="1139" spans="1:15" ht="27.5" hidden="1" customHeight="1" x14ac:dyDescent="0.2">
      <c r="A1139">
        <v>2025</v>
      </c>
      <c r="B1139" t="s">
        <v>615</v>
      </c>
      <c r="C1139" t="s">
        <v>594</v>
      </c>
      <c r="D1139" s="19" t="s">
        <v>397</v>
      </c>
      <c r="E1139" s="18" t="s">
        <v>61</v>
      </c>
      <c r="F1139" s="18">
        <v>1</v>
      </c>
      <c r="G1139" s="20">
        <v>5900</v>
      </c>
      <c r="H1139" s="18">
        <v>0</v>
      </c>
      <c r="I1139" s="20">
        <v>1896</v>
      </c>
      <c r="J1139" s="8">
        <f t="shared" si="51"/>
        <v>4004</v>
      </c>
      <c r="K1139" s="10">
        <f t="shared" si="52"/>
        <v>0.67864406779661013</v>
      </c>
      <c r="L1139" s="17">
        <f t="shared" si="53"/>
        <v>0</v>
      </c>
      <c r="M1139" t="str">
        <f>VLOOKUP(D1139,'Jer-Tip-Emp'!B:E,4,0)</f>
        <v>Bebidas</v>
      </c>
      <c r="N1139" t="str">
        <f>VLOOKUP(D1139,'Jer-Tip-Emp'!B:F,5,0)</f>
        <v>Bebidas</v>
      </c>
      <c r="O1139" t="str">
        <f>VLOOKUP(D1139,'Jer-Tip-Emp'!B:G,6,0)</f>
        <v>Bebidas</v>
      </c>
    </row>
    <row r="1140" spans="1:15" ht="27.5" customHeight="1" x14ac:dyDescent="0.2">
      <c r="A1140">
        <v>2025</v>
      </c>
      <c r="B1140" t="s">
        <v>615</v>
      </c>
      <c r="C1140" t="s">
        <v>594</v>
      </c>
      <c r="D1140" s="19" t="s">
        <v>206</v>
      </c>
      <c r="E1140" s="18" t="s">
        <v>117</v>
      </c>
      <c r="F1140" s="18">
        <v>1</v>
      </c>
      <c r="G1140" s="20">
        <v>19900</v>
      </c>
      <c r="H1140" s="18">
        <v>0</v>
      </c>
      <c r="I1140" s="20">
        <v>7125</v>
      </c>
      <c r="J1140" s="8">
        <f t="shared" si="51"/>
        <v>12775</v>
      </c>
      <c r="K1140" s="10">
        <f t="shared" si="52"/>
        <v>0.64195979899497491</v>
      </c>
      <c r="L1140" s="17">
        <f t="shared" si="53"/>
        <v>0</v>
      </c>
      <c r="M1140" t="str">
        <f>VLOOKUP(D1140,'Jer-Tip-Emp'!B:E,4,0)</f>
        <v>Platos especiales</v>
      </c>
      <c r="N1140" t="str">
        <f>VLOOKUP(D1140,'Jer-Tip-Emp'!B:F,5,0)</f>
        <v>Personal</v>
      </c>
      <c r="O1140" t="str">
        <f>VLOOKUP(D1140,'Jer-Tip-Emp'!B:G,6,0)</f>
        <v>Platos especiales</v>
      </c>
    </row>
    <row r="1141" spans="1:15" ht="27.5" hidden="1" customHeight="1" x14ac:dyDescent="0.2">
      <c r="A1141">
        <v>2025</v>
      </c>
      <c r="B1141" t="s">
        <v>615</v>
      </c>
      <c r="C1141" t="s">
        <v>594</v>
      </c>
      <c r="D1141" s="19" t="s">
        <v>367</v>
      </c>
      <c r="E1141" s="18" t="s">
        <v>566</v>
      </c>
      <c r="F1141" s="18">
        <v>1</v>
      </c>
      <c r="G1141" s="20">
        <v>1000</v>
      </c>
      <c r="H1141" s="18">
        <v>0</v>
      </c>
      <c r="I1141" s="18">
        <v>0</v>
      </c>
      <c r="J1141" s="8">
        <f t="shared" si="51"/>
        <v>1000</v>
      </c>
      <c r="K1141" s="10">
        <f t="shared" si="52"/>
        <v>1</v>
      </c>
      <c r="L1141" s="17">
        <f t="shared" si="53"/>
        <v>0</v>
      </c>
      <c r="M1141" t="str">
        <f>VLOOKUP(D1141,'Jer-Tip-Emp'!B:E,4,0)</f>
        <v>Adición</v>
      </c>
      <c r="N1141" t="str">
        <f>VLOOKUP(D1141,'Jer-Tip-Emp'!B:F,5,0)</f>
        <v>Adición</v>
      </c>
      <c r="O1141" t="str">
        <f>VLOOKUP(D1141,'Jer-Tip-Emp'!B:G,6,0)</f>
        <v>Adición</v>
      </c>
    </row>
    <row r="1142" spans="1:15" ht="27.5" hidden="1" customHeight="1" x14ac:dyDescent="0.2">
      <c r="A1142">
        <v>2025</v>
      </c>
      <c r="B1142" t="s">
        <v>615</v>
      </c>
      <c r="C1142" t="s">
        <v>594</v>
      </c>
      <c r="D1142" s="19" t="s">
        <v>400</v>
      </c>
      <c r="E1142" s="18" t="s">
        <v>564</v>
      </c>
      <c r="F1142" s="18">
        <v>1</v>
      </c>
      <c r="G1142" s="20">
        <v>4800</v>
      </c>
      <c r="H1142" s="18">
        <v>0</v>
      </c>
      <c r="I1142" s="20">
        <v>1282</v>
      </c>
      <c r="J1142" s="8">
        <f t="shared" si="51"/>
        <v>3518</v>
      </c>
      <c r="K1142" s="10">
        <f t="shared" si="52"/>
        <v>0.73291666666666666</v>
      </c>
      <c r="L1142" s="17">
        <f t="shared" si="53"/>
        <v>0</v>
      </c>
      <c r="M1142" t="str">
        <f>VLOOKUP(D1142,'Jer-Tip-Emp'!B:E,4,0)</f>
        <v>Adición</v>
      </c>
      <c r="N1142" t="str">
        <f>VLOOKUP(D1142,'Jer-Tip-Emp'!B:F,5,0)</f>
        <v>Adición</v>
      </c>
      <c r="O1142" t="str">
        <f>VLOOKUP(D1142,'Jer-Tip-Emp'!B:G,6,0)</f>
        <v>Adición</v>
      </c>
    </row>
    <row r="1143" spans="1:15" ht="27.5" hidden="1" customHeight="1" x14ac:dyDescent="0.2">
      <c r="A1143">
        <v>2025</v>
      </c>
      <c r="B1143" t="s">
        <v>615</v>
      </c>
      <c r="C1143" t="s">
        <v>594</v>
      </c>
      <c r="D1143" s="19" t="s">
        <v>189</v>
      </c>
      <c r="E1143" s="18" t="s">
        <v>21</v>
      </c>
      <c r="F1143" s="18">
        <v>1</v>
      </c>
      <c r="G1143" s="20">
        <v>8900</v>
      </c>
      <c r="H1143" s="18">
        <v>0</v>
      </c>
      <c r="I1143" s="20">
        <v>2464</v>
      </c>
      <c r="J1143" s="8">
        <f t="shared" si="51"/>
        <v>6436</v>
      </c>
      <c r="K1143" s="10">
        <f t="shared" si="52"/>
        <v>0.72314606741573029</v>
      </c>
      <c r="L1143" s="17">
        <f t="shared" si="53"/>
        <v>0</v>
      </c>
      <c r="M1143" t="str">
        <f>VLOOKUP(D1143,'Jer-Tip-Emp'!B:E,4,0)</f>
        <v>Adición</v>
      </c>
      <c r="N1143" t="str">
        <f>VLOOKUP(D1143,'Jer-Tip-Emp'!B:F,5,0)</f>
        <v>Adición</v>
      </c>
      <c r="O1143" t="str">
        <f>VLOOKUP(D1143,'Jer-Tip-Emp'!B:G,6,0)</f>
        <v>Adición</v>
      </c>
    </row>
    <row r="1144" spans="1:15" ht="27.5" hidden="1" customHeight="1" x14ac:dyDescent="0.2">
      <c r="A1144">
        <v>2025</v>
      </c>
      <c r="B1144" t="s">
        <v>615</v>
      </c>
      <c r="C1144" t="s">
        <v>594</v>
      </c>
      <c r="D1144" s="19" t="s">
        <v>275</v>
      </c>
      <c r="E1144" s="18" t="s">
        <v>16</v>
      </c>
      <c r="F1144" s="18">
        <v>1</v>
      </c>
      <c r="G1144" s="20">
        <v>8899</v>
      </c>
      <c r="H1144" s="18">
        <v>0</v>
      </c>
      <c r="I1144" s="20">
        <v>2245</v>
      </c>
      <c r="J1144" s="8">
        <f t="shared" si="51"/>
        <v>6654</v>
      </c>
      <c r="K1144" s="10">
        <f t="shared" si="52"/>
        <v>0.74772446342285648</v>
      </c>
      <c r="L1144" s="17">
        <f t="shared" si="53"/>
        <v>0</v>
      </c>
      <c r="M1144" t="str">
        <f>VLOOKUP(D1144,'Jer-Tip-Emp'!B:E,4,0)</f>
        <v>Adición</v>
      </c>
      <c r="N1144" t="str">
        <f>VLOOKUP(D1144,'Jer-Tip-Emp'!B:F,5,0)</f>
        <v>Adición</v>
      </c>
      <c r="O1144" t="str">
        <f>VLOOKUP(D1144,'Jer-Tip-Emp'!B:G,6,0)</f>
        <v>Adición</v>
      </c>
    </row>
    <row r="1145" spans="1:15" ht="27.5" hidden="1" customHeight="1" x14ac:dyDescent="0.2">
      <c r="A1145">
        <v>2025</v>
      </c>
      <c r="B1145" t="s">
        <v>615</v>
      </c>
      <c r="C1145" t="s">
        <v>594</v>
      </c>
      <c r="D1145" s="19" t="s">
        <v>465</v>
      </c>
      <c r="E1145" s="18" t="s">
        <v>578</v>
      </c>
      <c r="F1145" s="18">
        <v>1</v>
      </c>
      <c r="G1145" s="20">
        <v>2600</v>
      </c>
      <c r="H1145" s="18">
        <v>0</v>
      </c>
      <c r="I1145" s="20">
        <v>2239</v>
      </c>
      <c r="J1145" s="8">
        <f t="shared" si="51"/>
        <v>361</v>
      </c>
      <c r="K1145" s="10">
        <f t="shared" si="52"/>
        <v>0.13884615384615384</v>
      </c>
      <c r="L1145" s="17">
        <f t="shared" si="53"/>
        <v>0</v>
      </c>
      <c r="M1145" t="str">
        <f>VLOOKUP(D1145,'Jer-Tip-Emp'!B:E,4,0)</f>
        <v>Bebidas</v>
      </c>
      <c r="N1145" t="str">
        <f>VLOOKUP(D1145,'Jer-Tip-Emp'!B:F,5,0)</f>
        <v>Bebidas Cambio de bebida</v>
      </c>
      <c r="O1145" t="str">
        <f>VLOOKUP(D1145,'Jer-Tip-Emp'!B:G,6,0)</f>
        <v>Bebidas</v>
      </c>
    </row>
    <row r="1146" spans="1:15" ht="27.5" customHeight="1" x14ac:dyDescent="0.2">
      <c r="A1146">
        <v>2025</v>
      </c>
      <c r="B1146" t="s">
        <v>615</v>
      </c>
      <c r="C1146" t="s">
        <v>594</v>
      </c>
      <c r="D1146" s="19" t="s">
        <v>177</v>
      </c>
      <c r="E1146" s="18" t="s">
        <v>99</v>
      </c>
      <c r="F1146" s="18">
        <v>1</v>
      </c>
      <c r="G1146" s="20">
        <v>29150</v>
      </c>
      <c r="H1146" s="20">
        <v>-9750</v>
      </c>
      <c r="I1146" s="18">
        <v>0</v>
      </c>
      <c r="J1146" s="8">
        <f t="shared" si="51"/>
        <v>29150</v>
      </c>
      <c r="K1146" s="10">
        <f t="shared" si="52"/>
        <v>1</v>
      </c>
      <c r="L1146" s="17">
        <f t="shared" si="53"/>
        <v>0.33447684391080618</v>
      </c>
      <c r="M1146" t="str">
        <f>VLOOKUP(D1146,'Jer-Tip-Emp'!B:E,4,0)</f>
        <v>Combos personales</v>
      </c>
      <c r="N1146" t="str">
        <f>VLOOKUP(D1146,'Jer-Tip-Emp'!B:F,5,0)</f>
        <v>Personal</v>
      </c>
      <c r="O1146" t="str">
        <f>VLOOKUP(D1146,'Jer-Tip-Emp'!B:G,6,0)</f>
        <v>Combo</v>
      </c>
    </row>
    <row r="1147" spans="1:15" ht="27.5" customHeight="1" x14ac:dyDescent="0.2">
      <c r="A1147">
        <v>2025</v>
      </c>
      <c r="B1147" t="s">
        <v>615</v>
      </c>
      <c r="C1147" t="s">
        <v>594</v>
      </c>
      <c r="D1147" s="19" t="s">
        <v>354</v>
      </c>
      <c r="E1147" s="18" t="s">
        <v>548</v>
      </c>
      <c r="F1147" s="18">
        <v>1</v>
      </c>
      <c r="G1147" s="18">
        <v>0</v>
      </c>
      <c r="H1147" s="18">
        <v>0</v>
      </c>
      <c r="I1147" s="20">
        <v>2634</v>
      </c>
      <c r="J1147" s="8">
        <f t="shared" si="51"/>
        <v>-2634</v>
      </c>
      <c r="K1147" s="10">
        <f t="shared" si="52"/>
        <v>0</v>
      </c>
      <c r="L1147" s="17">
        <f t="shared" si="53"/>
        <v>0</v>
      </c>
      <c r="M1147" t="str">
        <f>VLOOKUP(D1147,'Jer-Tip-Emp'!B:E,4,0)</f>
        <v>Arma tu plato</v>
      </c>
      <c r="N1147" t="str">
        <f>VLOOKUP(D1147,'Jer-Tip-Emp'!B:F,5,0)</f>
        <v>Personal</v>
      </c>
      <c r="O1147" t="str">
        <f>VLOOKUP(D1147,'Jer-Tip-Emp'!B:G,6,0)</f>
        <v>Caja</v>
      </c>
    </row>
    <row r="1148" spans="1:15" ht="27.5" customHeight="1" x14ac:dyDescent="0.2">
      <c r="A1148">
        <v>2025</v>
      </c>
      <c r="B1148" t="s">
        <v>615</v>
      </c>
      <c r="C1148" t="s">
        <v>594</v>
      </c>
      <c r="D1148" s="19" t="s">
        <v>313</v>
      </c>
      <c r="E1148" s="18" t="s">
        <v>540</v>
      </c>
      <c r="F1148" s="18">
        <v>1</v>
      </c>
      <c r="G1148" s="18">
        <v>0</v>
      </c>
      <c r="H1148" s="18">
        <v>0</v>
      </c>
      <c r="I1148" s="20">
        <v>5491</v>
      </c>
      <c r="J1148" s="8">
        <f t="shared" si="51"/>
        <v>-5491</v>
      </c>
      <c r="K1148" s="10">
        <f t="shared" si="52"/>
        <v>0</v>
      </c>
      <c r="L1148" s="17">
        <f t="shared" si="53"/>
        <v>0</v>
      </c>
      <c r="M1148" t="str">
        <f>VLOOKUP(D1148,'Jer-Tip-Emp'!B:E,4,0)</f>
        <v>Arma tu plato</v>
      </c>
      <c r="N1148" t="str">
        <f>VLOOKUP(D1148,'Jer-Tip-Emp'!B:F,5,0)</f>
        <v>Personal</v>
      </c>
      <c r="O1148" t="str">
        <f>VLOOKUP(D1148,'Jer-Tip-Emp'!B:G,6,0)</f>
        <v>Caja</v>
      </c>
    </row>
    <row r="1149" spans="1:15" ht="27.5" customHeight="1" x14ac:dyDescent="0.2">
      <c r="A1149">
        <v>2025</v>
      </c>
      <c r="B1149" t="s">
        <v>615</v>
      </c>
      <c r="C1149" t="s">
        <v>594</v>
      </c>
      <c r="D1149" s="19" t="s">
        <v>322</v>
      </c>
      <c r="E1149" s="18" t="s">
        <v>545</v>
      </c>
      <c r="F1149" s="18">
        <v>1</v>
      </c>
      <c r="G1149" s="20">
        <v>2000</v>
      </c>
      <c r="H1149" s="18">
        <v>0</v>
      </c>
      <c r="I1149" s="20">
        <v>3108</v>
      </c>
      <c r="J1149" s="8">
        <f t="shared" si="51"/>
        <v>-1108</v>
      </c>
      <c r="K1149" s="10">
        <f t="shared" si="52"/>
        <v>-0.55400000000000005</v>
      </c>
      <c r="L1149" s="17">
        <f t="shared" si="53"/>
        <v>0</v>
      </c>
      <c r="M1149" t="str">
        <f>VLOOKUP(D1149,'Jer-Tip-Emp'!B:E,4,0)</f>
        <v>Arma tu plato</v>
      </c>
      <c r="N1149" t="str">
        <f>VLOOKUP(D1149,'Jer-Tip-Emp'!B:F,5,0)</f>
        <v>Personal</v>
      </c>
      <c r="O1149" t="str">
        <f>VLOOKUP(D1149,'Jer-Tip-Emp'!B:G,6,0)</f>
        <v>Caja</v>
      </c>
    </row>
    <row r="1150" spans="1:15" ht="27.5" hidden="1" customHeight="1" x14ac:dyDescent="0.2">
      <c r="A1150">
        <v>2025</v>
      </c>
      <c r="B1150" t="s">
        <v>615</v>
      </c>
      <c r="C1150" t="s">
        <v>595</v>
      </c>
      <c r="D1150" s="19" t="s">
        <v>284</v>
      </c>
      <c r="E1150" s="18" t="s">
        <v>106</v>
      </c>
      <c r="F1150" s="18">
        <v>66</v>
      </c>
      <c r="G1150" s="20">
        <v>554967</v>
      </c>
      <c r="H1150" s="20">
        <v>-32433</v>
      </c>
      <c r="I1150" s="20">
        <v>207174</v>
      </c>
      <c r="J1150" s="8">
        <f t="shared" si="51"/>
        <v>347793</v>
      </c>
      <c r="K1150" s="10">
        <f t="shared" si="52"/>
        <v>0.62669131678099776</v>
      </c>
      <c r="L1150" s="17">
        <f t="shared" si="53"/>
        <v>5.8441312726702666E-2</v>
      </c>
      <c r="M1150" t="str">
        <f>VLOOKUP(D1150,'Jer-Tip-Emp'!B:E,4,0)</f>
        <v>Entradas</v>
      </c>
      <c r="N1150" t="str">
        <f>VLOOKUP(D1150,'Jer-Tip-Emp'!B:F,5,0)</f>
        <v>Otro</v>
      </c>
      <c r="O1150" t="str">
        <f>VLOOKUP(D1150,'Jer-Tip-Emp'!B:G,6,0)</f>
        <v>Otro</v>
      </c>
    </row>
    <row r="1151" spans="1:15" ht="27.5" customHeight="1" x14ac:dyDescent="0.2">
      <c r="A1151">
        <v>2025</v>
      </c>
      <c r="B1151" t="s">
        <v>615</v>
      </c>
      <c r="C1151" t="s">
        <v>595</v>
      </c>
      <c r="D1151" s="19" t="s">
        <v>207</v>
      </c>
      <c r="E1151" s="18" t="s">
        <v>92</v>
      </c>
      <c r="F1151" s="18">
        <v>40</v>
      </c>
      <c r="G1151" s="20">
        <v>942468</v>
      </c>
      <c r="H1151" s="20">
        <v>-13532</v>
      </c>
      <c r="I1151" s="20">
        <v>385080</v>
      </c>
      <c r="J1151" s="8">
        <f t="shared" si="51"/>
        <v>557388</v>
      </c>
      <c r="K1151" s="10">
        <f t="shared" si="52"/>
        <v>0.5914131832592725</v>
      </c>
      <c r="L1151" s="17">
        <f t="shared" si="53"/>
        <v>1.4358047169771281E-2</v>
      </c>
      <c r="M1151" t="str">
        <f>VLOOKUP(D1151,'Jer-Tip-Emp'!B:E,4,0)</f>
        <v>Combos personales</v>
      </c>
      <c r="N1151" t="str">
        <f>VLOOKUP(D1151,'Jer-Tip-Emp'!B:F,5,0)</f>
        <v>Personal</v>
      </c>
      <c r="O1151" t="str">
        <f>VLOOKUP(D1151,'Jer-Tip-Emp'!B:G,6,0)</f>
        <v>Combo</v>
      </c>
    </row>
    <row r="1152" spans="1:15" ht="27.5" customHeight="1" x14ac:dyDescent="0.2">
      <c r="A1152">
        <v>2025</v>
      </c>
      <c r="B1152" t="s">
        <v>615</v>
      </c>
      <c r="C1152" t="s">
        <v>595</v>
      </c>
      <c r="D1152" s="19" t="s">
        <v>185</v>
      </c>
      <c r="E1152" s="18" t="s">
        <v>137</v>
      </c>
      <c r="F1152" s="18">
        <v>39</v>
      </c>
      <c r="G1152" s="20">
        <v>1544697</v>
      </c>
      <c r="H1152" s="20">
        <v>-11403</v>
      </c>
      <c r="I1152" s="20">
        <v>782067</v>
      </c>
      <c r="J1152" s="8">
        <f t="shared" si="51"/>
        <v>762630</v>
      </c>
      <c r="K1152" s="10">
        <f t="shared" si="52"/>
        <v>0.4937084748659446</v>
      </c>
      <c r="L1152" s="17">
        <f t="shared" si="53"/>
        <v>7.3820302622456058E-3</v>
      </c>
      <c r="M1152" t="str">
        <f>VLOOKUP(D1152,'Jer-Tip-Emp'!B:E,4,0)</f>
        <v>Platos mong</v>
      </c>
      <c r="N1152" t="str">
        <f>VLOOKUP(D1152,'Jer-Tip-Emp'!B:F,5,0)</f>
        <v>No Personal</v>
      </c>
      <c r="O1152" t="str">
        <f>VLOOKUP(D1152,'Jer-Tip-Emp'!B:G,6,0)</f>
        <v>Platos Especiales</v>
      </c>
    </row>
    <row r="1153" spans="1:15" ht="27.5" customHeight="1" x14ac:dyDescent="0.2">
      <c r="A1153">
        <v>2025</v>
      </c>
      <c r="B1153" t="s">
        <v>615</v>
      </c>
      <c r="C1153" t="s">
        <v>595</v>
      </c>
      <c r="D1153" s="19" t="s">
        <v>299</v>
      </c>
      <c r="E1153" s="18" t="s">
        <v>129</v>
      </c>
      <c r="F1153" s="18">
        <v>38</v>
      </c>
      <c r="G1153" s="20">
        <v>1481849</v>
      </c>
      <c r="H1153" s="20">
        <v>-148351</v>
      </c>
      <c r="I1153" s="20">
        <v>430616</v>
      </c>
      <c r="J1153" s="8">
        <f t="shared" ref="J1153:J1216" si="54">G1153-I1153</f>
        <v>1051233</v>
      </c>
      <c r="K1153" s="10">
        <f t="shared" ref="K1153:K1216" si="55">IFERROR(J1153/G1153,0)</f>
        <v>0.7094062890348477</v>
      </c>
      <c r="L1153" s="17">
        <f t="shared" ref="L1153:L1216" si="56">IFERROR((H1153/G1153)*-1,0)</f>
        <v>0.10011208969334932</v>
      </c>
      <c r="M1153" t="str">
        <f>VLOOKUP(D1153,'Jer-Tip-Emp'!B:E,4,0)</f>
        <v>Platos mong</v>
      </c>
      <c r="N1153" t="str">
        <f>VLOOKUP(D1153,'Jer-Tip-Emp'!B:F,5,0)</f>
        <v>No Personal</v>
      </c>
      <c r="O1153" t="str">
        <f>VLOOKUP(D1153,'Jer-Tip-Emp'!B:G,6,0)</f>
        <v>Caja</v>
      </c>
    </row>
    <row r="1154" spans="1:15" ht="27.5" customHeight="1" x14ac:dyDescent="0.2">
      <c r="A1154">
        <v>2025</v>
      </c>
      <c r="B1154" t="s">
        <v>615</v>
      </c>
      <c r="C1154" t="s">
        <v>595</v>
      </c>
      <c r="D1154" s="19" t="s">
        <v>294</v>
      </c>
      <c r="E1154" s="18" t="s">
        <v>108</v>
      </c>
      <c r="F1154" s="18">
        <v>29</v>
      </c>
      <c r="G1154" s="20">
        <v>566104</v>
      </c>
      <c r="H1154" s="20">
        <v>-10996</v>
      </c>
      <c r="I1154" s="20">
        <v>237307</v>
      </c>
      <c r="J1154" s="8">
        <f t="shared" si="54"/>
        <v>328797</v>
      </c>
      <c r="K1154" s="10">
        <f t="shared" si="55"/>
        <v>0.58080670689484615</v>
      </c>
      <c r="L1154" s="17">
        <f t="shared" si="56"/>
        <v>1.9423992764580358E-2</v>
      </c>
      <c r="M1154" t="str">
        <f>VLOOKUP(D1154,'Jer-Tip-Emp'!B:E,4,0)</f>
        <v>Mong Express</v>
      </c>
      <c r="N1154" t="str">
        <f>VLOOKUP(D1154,'Jer-Tip-Emp'!B:F,5,0)</f>
        <v>Personal</v>
      </c>
      <c r="O1154" t="str">
        <f>VLOOKUP(D1154,'Jer-Tip-Emp'!B:G,6,0)</f>
        <v>Caja</v>
      </c>
    </row>
    <row r="1155" spans="1:15" ht="27.5" hidden="1" customHeight="1" x14ac:dyDescent="0.2">
      <c r="A1155">
        <v>2025</v>
      </c>
      <c r="B1155" t="s">
        <v>615</v>
      </c>
      <c r="C1155" t="s">
        <v>595</v>
      </c>
      <c r="D1155" s="19" t="s">
        <v>253</v>
      </c>
      <c r="E1155" s="18" t="s">
        <v>105</v>
      </c>
      <c r="F1155" s="18">
        <v>28</v>
      </c>
      <c r="G1155" s="20">
        <v>122878</v>
      </c>
      <c r="H1155" s="20">
        <v>-17122</v>
      </c>
      <c r="I1155" s="20">
        <v>43932</v>
      </c>
      <c r="J1155" s="8">
        <f t="shared" si="54"/>
        <v>78946</v>
      </c>
      <c r="K1155" s="10">
        <f t="shared" si="55"/>
        <v>0.6424746496525009</v>
      </c>
      <c r="L1155" s="17">
        <f t="shared" si="56"/>
        <v>0.13934146063575253</v>
      </c>
      <c r="M1155" t="str">
        <f>VLOOKUP(D1155,'Jer-Tip-Emp'!B:E,4,0)</f>
        <v>Entradas</v>
      </c>
      <c r="N1155" t="str">
        <f>VLOOKUP(D1155,'Jer-Tip-Emp'!B:F,5,0)</f>
        <v>Otro</v>
      </c>
      <c r="O1155" t="str">
        <f>VLOOKUP(D1155,'Jer-Tip-Emp'!B:G,6,0)</f>
        <v>Otro</v>
      </c>
    </row>
    <row r="1156" spans="1:15" ht="27.5" customHeight="1" x14ac:dyDescent="0.2">
      <c r="A1156">
        <v>2025</v>
      </c>
      <c r="B1156" t="s">
        <v>615</v>
      </c>
      <c r="C1156" t="s">
        <v>595</v>
      </c>
      <c r="D1156" s="19" t="s">
        <v>286</v>
      </c>
      <c r="E1156" s="18" t="s">
        <v>144</v>
      </c>
      <c r="F1156" s="18">
        <v>25</v>
      </c>
      <c r="G1156" s="20">
        <v>1542370</v>
      </c>
      <c r="H1156" s="20">
        <v>-130130</v>
      </c>
      <c r="I1156" s="20">
        <v>866375</v>
      </c>
      <c r="J1156" s="8">
        <f t="shared" si="54"/>
        <v>675995</v>
      </c>
      <c r="K1156" s="10">
        <f t="shared" si="55"/>
        <v>0.43828329129845628</v>
      </c>
      <c r="L1156" s="17">
        <f t="shared" si="56"/>
        <v>8.4370157614580166E-2</v>
      </c>
      <c r="M1156" t="str">
        <f>VLOOKUP(D1156,'Jer-Tip-Emp'!B:E,4,0)</f>
        <v>Platos mong</v>
      </c>
      <c r="N1156" t="str">
        <f>VLOOKUP(D1156,'Jer-Tip-Emp'!B:F,5,0)</f>
        <v>No Personal</v>
      </c>
      <c r="O1156" t="str">
        <f>VLOOKUP(D1156,'Jer-Tip-Emp'!B:G,6,0)</f>
        <v>Caja</v>
      </c>
    </row>
    <row r="1157" spans="1:15" ht="27.5" customHeight="1" x14ac:dyDescent="0.2">
      <c r="A1157">
        <v>2025</v>
      </c>
      <c r="B1157" t="s">
        <v>615</v>
      </c>
      <c r="C1157" t="s">
        <v>595</v>
      </c>
      <c r="D1157" s="19" t="s">
        <v>245</v>
      </c>
      <c r="E1157" s="18" t="s">
        <v>167</v>
      </c>
      <c r="F1157" s="18">
        <v>23</v>
      </c>
      <c r="G1157" s="20">
        <v>440093</v>
      </c>
      <c r="H1157" s="20">
        <v>-17607</v>
      </c>
      <c r="I1157" s="18">
        <v>0</v>
      </c>
      <c r="J1157" s="8">
        <f t="shared" si="54"/>
        <v>440093</v>
      </c>
      <c r="K1157" s="10">
        <f t="shared" si="55"/>
        <v>1</v>
      </c>
      <c r="L1157" s="17">
        <f t="shared" si="56"/>
        <v>4.0007452970167667E-2</v>
      </c>
      <c r="M1157" t="str">
        <f>VLOOKUP(D1157,'Jer-Tip-Emp'!B:E,4,0)</f>
        <v>Mong Express</v>
      </c>
      <c r="N1157" t="str">
        <f>VLOOKUP(D1157,'Jer-Tip-Emp'!B:F,5,0)</f>
        <v>Personal</v>
      </c>
      <c r="O1157" t="str">
        <f>VLOOKUP(D1157,'Jer-Tip-Emp'!B:G,6,0)</f>
        <v>Caja</v>
      </c>
    </row>
    <row r="1158" spans="1:15" ht="27.5" customHeight="1" x14ac:dyDescent="0.2">
      <c r="A1158">
        <v>2025</v>
      </c>
      <c r="B1158" t="s">
        <v>615</v>
      </c>
      <c r="C1158" t="s">
        <v>595</v>
      </c>
      <c r="D1158" s="19" t="s">
        <v>214</v>
      </c>
      <c r="E1158" s="18" t="s">
        <v>81</v>
      </c>
      <c r="F1158" s="18">
        <v>18</v>
      </c>
      <c r="G1158" s="20">
        <v>963372</v>
      </c>
      <c r="H1158" s="20">
        <v>-6828</v>
      </c>
      <c r="I1158" s="20">
        <v>425484</v>
      </c>
      <c r="J1158" s="8">
        <f t="shared" si="54"/>
        <v>537888</v>
      </c>
      <c r="K1158" s="10">
        <f t="shared" si="55"/>
        <v>0.55833883484261526</v>
      </c>
      <c r="L1158" s="17">
        <f t="shared" si="56"/>
        <v>7.0876047881815122E-3</v>
      </c>
      <c r="M1158" t="str">
        <f>VLOOKUP(D1158,'Jer-Tip-Emp'!B:E,4,0)</f>
        <v>Combos para compartir</v>
      </c>
      <c r="N1158" t="str">
        <f>VLOOKUP(D1158,'Jer-Tip-Emp'!B:F,5,0)</f>
        <v>No Personal</v>
      </c>
      <c r="O1158" t="str">
        <f>VLOOKUP(D1158,'Jer-Tip-Emp'!B:G,6,0)</f>
        <v>Combo</v>
      </c>
    </row>
    <row r="1159" spans="1:15" ht="27.5" customHeight="1" x14ac:dyDescent="0.2">
      <c r="A1159">
        <v>2025</v>
      </c>
      <c r="B1159" t="s">
        <v>615</v>
      </c>
      <c r="C1159" t="s">
        <v>595</v>
      </c>
      <c r="D1159" s="19" t="s">
        <v>273</v>
      </c>
      <c r="E1159" s="18" t="s">
        <v>23</v>
      </c>
      <c r="F1159" s="18">
        <v>17</v>
      </c>
      <c r="G1159" s="20">
        <v>408548</v>
      </c>
      <c r="H1159" s="20">
        <v>-14752</v>
      </c>
      <c r="I1159" s="18">
        <v>0</v>
      </c>
      <c r="J1159" s="8">
        <f t="shared" si="54"/>
        <v>408548</v>
      </c>
      <c r="K1159" s="10">
        <f t="shared" si="55"/>
        <v>1</v>
      </c>
      <c r="L1159" s="17">
        <f t="shared" si="56"/>
        <v>3.6108364255852433E-2</v>
      </c>
      <c r="M1159" t="str">
        <f>VLOOKUP(D1159,'Jer-Tip-Emp'!B:E,4,0)</f>
        <v>Arma tu plato</v>
      </c>
      <c r="N1159" t="str">
        <f>VLOOKUP(D1159,'Jer-Tip-Emp'!B:F,5,0)</f>
        <v>Personal</v>
      </c>
      <c r="O1159" t="str">
        <f>VLOOKUP(D1159,'Jer-Tip-Emp'!B:G,6,0)</f>
        <v>Caja</v>
      </c>
    </row>
    <row r="1160" spans="1:15" ht="27.5" customHeight="1" x14ac:dyDescent="0.2">
      <c r="A1160">
        <v>2025</v>
      </c>
      <c r="B1160" t="s">
        <v>615</v>
      </c>
      <c r="C1160" t="s">
        <v>595</v>
      </c>
      <c r="D1160" s="19" t="s">
        <v>252</v>
      </c>
      <c r="E1160" s="18" t="s">
        <v>100</v>
      </c>
      <c r="F1160" s="18">
        <v>17</v>
      </c>
      <c r="G1160" s="20">
        <v>836219</v>
      </c>
      <c r="H1160" s="20">
        <v>-12081</v>
      </c>
      <c r="I1160" s="20">
        <v>549967</v>
      </c>
      <c r="J1160" s="8">
        <f t="shared" si="54"/>
        <v>286252</v>
      </c>
      <c r="K1160" s="10">
        <f t="shared" si="55"/>
        <v>0.34231702460719021</v>
      </c>
      <c r="L1160" s="17">
        <f t="shared" si="56"/>
        <v>1.4447172331649962E-2</v>
      </c>
      <c r="M1160" t="str">
        <f>VLOOKUP(D1160,'Jer-Tip-Emp'!B:E,4,0)</f>
        <v>Platos mong</v>
      </c>
      <c r="N1160" t="str">
        <f>VLOOKUP(D1160,'Jer-Tip-Emp'!B:F,5,0)</f>
        <v>No Personal</v>
      </c>
      <c r="O1160" t="str">
        <f>VLOOKUP(D1160,'Jer-Tip-Emp'!B:G,6,0)</f>
        <v>Caja</v>
      </c>
    </row>
    <row r="1161" spans="1:15" ht="27.5" customHeight="1" x14ac:dyDescent="0.2">
      <c r="A1161">
        <v>2025</v>
      </c>
      <c r="B1161" t="s">
        <v>615</v>
      </c>
      <c r="C1161" t="s">
        <v>595</v>
      </c>
      <c r="D1161" s="19" t="s">
        <v>235</v>
      </c>
      <c r="E1161" s="18" t="s">
        <v>147</v>
      </c>
      <c r="F1161" s="18">
        <v>17</v>
      </c>
      <c r="G1161" s="20">
        <v>834650</v>
      </c>
      <c r="H1161" s="20">
        <v>-13650</v>
      </c>
      <c r="I1161" s="20">
        <v>319906</v>
      </c>
      <c r="J1161" s="8">
        <f t="shared" si="54"/>
        <v>514744</v>
      </c>
      <c r="K1161" s="10">
        <f t="shared" si="55"/>
        <v>0.61671838495177622</v>
      </c>
      <c r="L1161" s="17">
        <f t="shared" si="56"/>
        <v>1.6354160426526088E-2</v>
      </c>
      <c r="M1161" t="str">
        <f>VLOOKUP(D1161,'Jer-Tip-Emp'!B:E,4,0)</f>
        <v>Platos mong</v>
      </c>
      <c r="N1161" t="str">
        <f>VLOOKUP(D1161,'Jer-Tip-Emp'!B:F,5,0)</f>
        <v>No Personal</v>
      </c>
      <c r="O1161" t="str">
        <f>VLOOKUP(D1161,'Jer-Tip-Emp'!B:G,6,0)</f>
        <v>Caja</v>
      </c>
    </row>
    <row r="1162" spans="1:15" ht="27.5" customHeight="1" x14ac:dyDescent="0.2">
      <c r="A1162">
        <v>2025</v>
      </c>
      <c r="B1162" t="s">
        <v>615</v>
      </c>
      <c r="C1162" t="s">
        <v>595</v>
      </c>
      <c r="D1162" s="19" t="s">
        <v>196</v>
      </c>
      <c r="E1162" s="18" t="s">
        <v>159</v>
      </c>
      <c r="F1162" s="18">
        <v>15</v>
      </c>
      <c r="G1162" s="20">
        <v>366242</v>
      </c>
      <c r="H1162" s="20">
        <v>-22258</v>
      </c>
      <c r="I1162" s="20">
        <v>142515</v>
      </c>
      <c r="J1162" s="8">
        <f t="shared" si="54"/>
        <v>223727</v>
      </c>
      <c r="K1162" s="10">
        <f t="shared" si="55"/>
        <v>0.61087204635186576</v>
      </c>
      <c r="L1162" s="17">
        <f t="shared" si="56"/>
        <v>6.0774023732941607E-2</v>
      </c>
      <c r="M1162" t="str">
        <f>VLOOKUP(D1162,'Jer-Tip-Emp'!B:E,4,0)</f>
        <v>Combos personales</v>
      </c>
      <c r="N1162" t="str">
        <f>VLOOKUP(D1162,'Jer-Tip-Emp'!B:F,5,0)</f>
        <v>Personal</v>
      </c>
      <c r="O1162" t="str">
        <f>VLOOKUP(D1162,'Jer-Tip-Emp'!B:G,6,0)</f>
        <v>Combo</v>
      </c>
    </row>
    <row r="1163" spans="1:15" ht="27.5" customHeight="1" x14ac:dyDescent="0.2">
      <c r="A1163">
        <v>2025</v>
      </c>
      <c r="B1163" t="s">
        <v>615</v>
      </c>
      <c r="C1163" t="s">
        <v>595</v>
      </c>
      <c r="D1163" s="19" t="s">
        <v>313</v>
      </c>
      <c r="E1163" s="18" t="s">
        <v>540</v>
      </c>
      <c r="F1163" s="18">
        <v>14</v>
      </c>
      <c r="G1163" s="18">
        <v>0</v>
      </c>
      <c r="H1163" s="18">
        <v>0</v>
      </c>
      <c r="I1163" s="20">
        <v>76874</v>
      </c>
      <c r="J1163" s="8">
        <f t="shared" si="54"/>
        <v>-76874</v>
      </c>
      <c r="K1163" s="10">
        <f t="shared" si="55"/>
        <v>0</v>
      </c>
      <c r="L1163" s="17">
        <f t="shared" si="56"/>
        <v>0</v>
      </c>
      <c r="M1163" t="str">
        <f>VLOOKUP(D1163,'Jer-Tip-Emp'!B:E,4,0)</f>
        <v>Arma tu plato</v>
      </c>
      <c r="N1163" t="str">
        <f>VLOOKUP(D1163,'Jer-Tip-Emp'!B:F,5,0)</f>
        <v>Personal</v>
      </c>
      <c r="O1163" t="str">
        <f>VLOOKUP(D1163,'Jer-Tip-Emp'!B:G,6,0)</f>
        <v>Caja</v>
      </c>
    </row>
    <row r="1164" spans="1:15" ht="27.5" customHeight="1" x14ac:dyDescent="0.2">
      <c r="A1164">
        <v>2025</v>
      </c>
      <c r="B1164" t="s">
        <v>615</v>
      </c>
      <c r="C1164" t="s">
        <v>595</v>
      </c>
      <c r="D1164" s="19" t="s">
        <v>180</v>
      </c>
      <c r="E1164" s="18" t="s">
        <v>128</v>
      </c>
      <c r="F1164" s="18">
        <v>13</v>
      </c>
      <c r="G1164" s="20">
        <v>270105</v>
      </c>
      <c r="H1164" s="20">
        <v>-1595</v>
      </c>
      <c r="I1164" s="20">
        <v>88894</v>
      </c>
      <c r="J1164" s="8">
        <f t="shared" si="54"/>
        <v>181211</v>
      </c>
      <c r="K1164" s="10">
        <f t="shared" si="55"/>
        <v>0.67089094981581232</v>
      </c>
      <c r="L1164" s="17">
        <f t="shared" si="56"/>
        <v>5.9051109753614339E-3</v>
      </c>
      <c r="M1164" t="str">
        <f>VLOOKUP(D1164,'Jer-Tip-Emp'!B:E,4,0)</f>
        <v>Platos mong</v>
      </c>
      <c r="N1164" t="str">
        <f>VLOOKUP(D1164,'Jer-Tip-Emp'!B:F,5,0)</f>
        <v>Personal</v>
      </c>
      <c r="O1164" t="str">
        <f>VLOOKUP(D1164,'Jer-Tip-Emp'!B:G,6,0)</f>
        <v>Caja</v>
      </c>
    </row>
    <row r="1165" spans="1:15" ht="27.5" customHeight="1" x14ac:dyDescent="0.2">
      <c r="A1165">
        <v>2025</v>
      </c>
      <c r="B1165" t="s">
        <v>615</v>
      </c>
      <c r="C1165" t="s">
        <v>595</v>
      </c>
      <c r="D1165" s="19" t="s">
        <v>297</v>
      </c>
      <c r="E1165" s="18" t="s">
        <v>131</v>
      </c>
      <c r="F1165" s="18">
        <v>12</v>
      </c>
      <c r="G1165" s="20">
        <v>204159</v>
      </c>
      <c r="H1165" s="20">
        <v>-22641</v>
      </c>
      <c r="I1165" s="20">
        <v>65532</v>
      </c>
      <c r="J1165" s="8">
        <f t="shared" si="54"/>
        <v>138627</v>
      </c>
      <c r="K1165" s="10">
        <f t="shared" si="55"/>
        <v>0.67901488545692323</v>
      </c>
      <c r="L1165" s="17">
        <f t="shared" si="56"/>
        <v>0.11089885824284014</v>
      </c>
      <c r="M1165" t="str">
        <f>VLOOKUP(D1165,'Jer-Tip-Emp'!B:E,4,0)</f>
        <v>Platos mong</v>
      </c>
      <c r="N1165" t="str">
        <f>VLOOKUP(D1165,'Jer-Tip-Emp'!B:F,5,0)</f>
        <v>Personal</v>
      </c>
      <c r="O1165" t="str">
        <f>VLOOKUP(D1165,'Jer-Tip-Emp'!B:G,6,0)</f>
        <v>Caja</v>
      </c>
    </row>
    <row r="1166" spans="1:15" ht="27.5" hidden="1" customHeight="1" x14ac:dyDescent="0.2">
      <c r="A1166">
        <v>2025</v>
      </c>
      <c r="B1166" t="s">
        <v>615</v>
      </c>
      <c r="C1166" t="s">
        <v>595</v>
      </c>
      <c r="D1166" s="19" t="s">
        <v>189</v>
      </c>
      <c r="E1166" s="18" t="s">
        <v>21</v>
      </c>
      <c r="F1166" s="18">
        <v>12</v>
      </c>
      <c r="G1166" s="20">
        <v>81564</v>
      </c>
      <c r="H1166" s="20">
        <v>-1236</v>
      </c>
      <c r="I1166" s="20">
        <v>29568</v>
      </c>
      <c r="J1166" s="8">
        <f t="shared" si="54"/>
        <v>51996</v>
      </c>
      <c r="K1166" s="10">
        <f t="shared" si="55"/>
        <v>0.63748712667353247</v>
      </c>
      <c r="L1166" s="17">
        <f t="shared" si="56"/>
        <v>1.5153744298955421E-2</v>
      </c>
      <c r="M1166" t="str">
        <f>VLOOKUP(D1166,'Jer-Tip-Emp'!B:E,4,0)</f>
        <v>Adición</v>
      </c>
      <c r="N1166" t="str">
        <f>VLOOKUP(D1166,'Jer-Tip-Emp'!B:F,5,0)</f>
        <v>Adición</v>
      </c>
      <c r="O1166" t="str">
        <f>VLOOKUP(D1166,'Jer-Tip-Emp'!B:G,6,0)</f>
        <v>Adición</v>
      </c>
    </row>
    <row r="1167" spans="1:15" ht="27.5" customHeight="1" x14ac:dyDescent="0.2">
      <c r="A1167">
        <v>2025</v>
      </c>
      <c r="B1167" t="s">
        <v>615</v>
      </c>
      <c r="C1167" t="s">
        <v>595</v>
      </c>
      <c r="D1167" s="19" t="s">
        <v>295</v>
      </c>
      <c r="E1167" s="18" t="s">
        <v>110</v>
      </c>
      <c r="F1167" s="18">
        <v>11</v>
      </c>
      <c r="G1167" s="20">
        <v>209742</v>
      </c>
      <c r="H1167" s="20">
        <v>-9158</v>
      </c>
      <c r="I1167" s="20">
        <v>74448</v>
      </c>
      <c r="J1167" s="8">
        <f t="shared" si="54"/>
        <v>135294</v>
      </c>
      <c r="K1167" s="10">
        <f t="shared" si="55"/>
        <v>0.64504963240552682</v>
      </c>
      <c r="L1167" s="17">
        <f t="shared" si="56"/>
        <v>4.3663167129139611E-2</v>
      </c>
      <c r="M1167" t="str">
        <f>VLOOKUP(D1167,'Jer-Tip-Emp'!B:E,4,0)</f>
        <v>Platos mong</v>
      </c>
      <c r="N1167" t="str">
        <f>VLOOKUP(D1167,'Jer-Tip-Emp'!B:F,5,0)</f>
        <v>Personal</v>
      </c>
      <c r="O1167" t="str">
        <f>VLOOKUP(D1167,'Jer-Tip-Emp'!B:G,6,0)</f>
        <v>Caja</v>
      </c>
    </row>
    <row r="1168" spans="1:15" ht="27.5" hidden="1" customHeight="1" x14ac:dyDescent="0.2">
      <c r="A1168">
        <v>2025</v>
      </c>
      <c r="B1168" t="s">
        <v>615</v>
      </c>
      <c r="C1168" t="s">
        <v>595</v>
      </c>
      <c r="D1168" s="19" t="s">
        <v>403</v>
      </c>
      <c r="E1168" s="18" t="s">
        <v>45</v>
      </c>
      <c r="F1168" s="18">
        <v>11</v>
      </c>
      <c r="G1168" s="20">
        <v>107135</v>
      </c>
      <c r="H1168" s="20">
        <v>-1765</v>
      </c>
      <c r="I1168" s="20">
        <v>49511</v>
      </c>
      <c r="J1168" s="8">
        <f t="shared" si="54"/>
        <v>57624</v>
      </c>
      <c r="K1168" s="10">
        <f t="shared" si="55"/>
        <v>0.53786344331917679</v>
      </c>
      <c r="L1168" s="17">
        <f t="shared" si="56"/>
        <v>1.6474541466374202E-2</v>
      </c>
      <c r="M1168" t="str">
        <f>VLOOKUP(D1168,'Jer-Tip-Emp'!B:E,4,0)</f>
        <v>Bebidas</v>
      </c>
      <c r="N1168" t="str">
        <f>VLOOKUP(D1168,'Jer-Tip-Emp'!B:F,5,0)</f>
        <v>Bebidas</v>
      </c>
      <c r="O1168" t="str">
        <f>VLOOKUP(D1168,'Jer-Tip-Emp'!B:G,6,0)</f>
        <v>Bebidas</v>
      </c>
    </row>
    <row r="1169" spans="1:15" ht="27.5" customHeight="1" x14ac:dyDescent="0.2">
      <c r="A1169">
        <v>2025</v>
      </c>
      <c r="B1169" t="s">
        <v>615</v>
      </c>
      <c r="C1169" t="s">
        <v>595</v>
      </c>
      <c r="D1169" s="19" t="s">
        <v>186</v>
      </c>
      <c r="E1169" s="18" t="s">
        <v>95</v>
      </c>
      <c r="F1169" s="18">
        <v>10</v>
      </c>
      <c r="G1169" s="20">
        <v>284737</v>
      </c>
      <c r="H1169" s="20">
        <v>-4263</v>
      </c>
      <c r="I1169" s="20">
        <v>95700</v>
      </c>
      <c r="J1169" s="8">
        <f t="shared" si="54"/>
        <v>189037</v>
      </c>
      <c r="K1169" s="10">
        <f t="shared" si="55"/>
        <v>0.6639003712197572</v>
      </c>
      <c r="L1169" s="17">
        <f t="shared" si="56"/>
        <v>1.4971710736574453E-2</v>
      </c>
      <c r="M1169" t="str">
        <f>VLOOKUP(D1169,'Jer-Tip-Emp'!B:E,4,0)</f>
        <v>Combos personales</v>
      </c>
      <c r="N1169" t="str">
        <f>VLOOKUP(D1169,'Jer-Tip-Emp'!B:F,5,0)</f>
        <v>Personal</v>
      </c>
      <c r="O1169" t="str">
        <f>VLOOKUP(D1169,'Jer-Tip-Emp'!B:G,6,0)</f>
        <v>Combo</v>
      </c>
    </row>
    <row r="1170" spans="1:15" ht="27.5" hidden="1" customHeight="1" x14ac:dyDescent="0.2">
      <c r="A1170">
        <v>2025</v>
      </c>
      <c r="B1170" t="s">
        <v>615</v>
      </c>
      <c r="C1170" t="s">
        <v>595</v>
      </c>
      <c r="D1170" s="19" t="s">
        <v>409</v>
      </c>
      <c r="E1170" s="18" t="s">
        <v>64</v>
      </c>
      <c r="F1170" s="18">
        <v>10</v>
      </c>
      <c r="G1170" s="20">
        <v>76295</v>
      </c>
      <c r="H1170" s="20">
        <v>-3705</v>
      </c>
      <c r="I1170" s="18">
        <v>0</v>
      </c>
      <c r="J1170" s="8">
        <f t="shared" si="54"/>
        <v>76295</v>
      </c>
      <c r="K1170" s="10">
        <f t="shared" si="55"/>
        <v>1</v>
      </c>
      <c r="L1170" s="17">
        <f t="shared" si="56"/>
        <v>4.8561504685759226E-2</v>
      </c>
      <c r="M1170" t="str">
        <f>VLOOKUP(D1170,'Jer-Tip-Emp'!B:E,4,0)</f>
        <v>Bebidas</v>
      </c>
      <c r="N1170" t="str">
        <f>VLOOKUP(D1170,'Jer-Tip-Emp'!B:F,5,0)</f>
        <v>Bebidas</v>
      </c>
      <c r="O1170" t="str">
        <f>VLOOKUP(D1170,'Jer-Tip-Emp'!B:G,6,0)</f>
        <v>Bebidas</v>
      </c>
    </row>
    <row r="1171" spans="1:15" ht="27.5" customHeight="1" x14ac:dyDescent="0.2">
      <c r="A1171">
        <v>2025</v>
      </c>
      <c r="B1171" t="s">
        <v>615</v>
      </c>
      <c r="C1171" t="s">
        <v>595</v>
      </c>
      <c r="D1171" s="19" t="s">
        <v>298</v>
      </c>
      <c r="E1171" s="18" t="s">
        <v>153</v>
      </c>
      <c r="F1171" s="18">
        <v>9</v>
      </c>
      <c r="G1171" s="20">
        <v>162279</v>
      </c>
      <c r="H1171" s="20">
        <v>-25821</v>
      </c>
      <c r="I1171" s="20">
        <v>76689</v>
      </c>
      <c r="J1171" s="8">
        <f t="shared" si="54"/>
        <v>85590</v>
      </c>
      <c r="K1171" s="10">
        <f t="shared" si="55"/>
        <v>0.52742499029449286</v>
      </c>
      <c r="L1171" s="17">
        <f t="shared" si="56"/>
        <v>0.15911485774499473</v>
      </c>
      <c r="M1171" t="str">
        <f>VLOOKUP(D1171,'Jer-Tip-Emp'!B:E,4,0)</f>
        <v>Platos mong</v>
      </c>
      <c r="N1171" t="str">
        <f>VLOOKUP(D1171,'Jer-Tip-Emp'!B:F,5,0)</f>
        <v>Personal</v>
      </c>
      <c r="O1171" t="str">
        <f>VLOOKUP(D1171,'Jer-Tip-Emp'!B:G,6,0)</f>
        <v>Caja</v>
      </c>
    </row>
    <row r="1172" spans="1:15" ht="27.5" customHeight="1" x14ac:dyDescent="0.2">
      <c r="A1172">
        <v>2025</v>
      </c>
      <c r="B1172" t="s">
        <v>615</v>
      </c>
      <c r="C1172" t="s">
        <v>595</v>
      </c>
      <c r="D1172" s="19" t="s">
        <v>212</v>
      </c>
      <c r="E1172" s="18" t="s">
        <v>160</v>
      </c>
      <c r="F1172" s="18">
        <v>8</v>
      </c>
      <c r="G1172" s="20">
        <v>225278</v>
      </c>
      <c r="H1172" s="20">
        <v>-5922</v>
      </c>
      <c r="I1172" s="20">
        <v>90024</v>
      </c>
      <c r="J1172" s="8">
        <f t="shared" si="54"/>
        <v>135254</v>
      </c>
      <c r="K1172" s="10">
        <f t="shared" si="55"/>
        <v>0.60038707730004703</v>
      </c>
      <c r="L1172" s="17">
        <f t="shared" si="56"/>
        <v>2.6287520308241372E-2</v>
      </c>
      <c r="M1172" t="str">
        <f>VLOOKUP(D1172,'Jer-Tip-Emp'!B:E,4,0)</f>
        <v>Combos personales</v>
      </c>
      <c r="N1172" t="str">
        <f>VLOOKUP(D1172,'Jer-Tip-Emp'!B:F,5,0)</f>
        <v>Personal</v>
      </c>
      <c r="O1172" t="str">
        <f>VLOOKUP(D1172,'Jer-Tip-Emp'!B:G,6,0)</f>
        <v>Combo</v>
      </c>
    </row>
    <row r="1173" spans="1:15" ht="27.5" customHeight="1" x14ac:dyDescent="0.2">
      <c r="A1173">
        <v>2025</v>
      </c>
      <c r="B1173" t="s">
        <v>615</v>
      </c>
      <c r="C1173" t="s">
        <v>595</v>
      </c>
      <c r="D1173" s="19" t="s">
        <v>266</v>
      </c>
      <c r="E1173" s="18" t="s">
        <v>85</v>
      </c>
      <c r="F1173" s="18">
        <v>8</v>
      </c>
      <c r="G1173" s="20">
        <v>545200</v>
      </c>
      <c r="H1173" s="20">
        <v>-14000</v>
      </c>
      <c r="I1173" s="20">
        <v>313768</v>
      </c>
      <c r="J1173" s="8">
        <f t="shared" si="54"/>
        <v>231432</v>
      </c>
      <c r="K1173" s="10">
        <f t="shared" si="55"/>
        <v>0.42449009537784299</v>
      </c>
      <c r="L1173" s="17">
        <f t="shared" si="56"/>
        <v>2.5678650036683785E-2</v>
      </c>
      <c r="M1173" t="str">
        <f>VLOOKUP(D1173,'Jer-Tip-Emp'!B:E,4,0)</f>
        <v>Combos para compartir</v>
      </c>
      <c r="N1173" t="str">
        <f>VLOOKUP(D1173,'Jer-Tip-Emp'!B:F,5,0)</f>
        <v>No Personal</v>
      </c>
      <c r="O1173" t="str">
        <f>VLOOKUP(D1173,'Jer-Tip-Emp'!B:G,6,0)</f>
        <v>Combo</v>
      </c>
    </row>
    <row r="1174" spans="1:15" ht="27.5" customHeight="1" x14ac:dyDescent="0.2">
      <c r="A1174">
        <v>2025</v>
      </c>
      <c r="B1174" t="s">
        <v>615</v>
      </c>
      <c r="C1174" t="s">
        <v>595</v>
      </c>
      <c r="D1174" s="19" t="s">
        <v>393</v>
      </c>
      <c r="E1174" s="18" t="s">
        <v>549</v>
      </c>
      <c r="F1174" s="18">
        <v>7</v>
      </c>
      <c r="G1174" s="20">
        <v>13975</v>
      </c>
      <c r="H1174" s="18">
        <v>-25</v>
      </c>
      <c r="I1174" s="20">
        <v>14245</v>
      </c>
      <c r="J1174" s="8">
        <f t="shared" si="54"/>
        <v>-270</v>
      </c>
      <c r="K1174" s="10">
        <f t="shared" si="55"/>
        <v>-1.9320214669051879E-2</v>
      </c>
      <c r="L1174" s="17">
        <f t="shared" si="56"/>
        <v>1.7889087656529517E-3</v>
      </c>
      <c r="M1174" t="str">
        <f>VLOOKUP(D1174,'Jer-Tip-Emp'!B:E,4,0)</f>
        <v>Arma tu plato</v>
      </c>
      <c r="N1174" t="str">
        <f>VLOOKUP(D1174,'Jer-Tip-Emp'!B:F,5,0)</f>
        <v>Personal</v>
      </c>
      <c r="O1174" t="str">
        <f>VLOOKUP(D1174,'Jer-Tip-Emp'!B:G,6,0)</f>
        <v>Caja</v>
      </c>
    </row>
    <row r="1175" spans="1:15" ht="27.5" customHeight="1" x14ac:dyDescent="0.2">
      <c r="A1175">
        <v>2025</v>
      </c>
      <c r="B1175" t="s">
        <v>615</v>
      </c>
      <c r="C1175" t="s">
        <v>595</v>
      </c>
      <c r="D1175" s="19" t="s">
        <v>389</v>
      </c>
      <c r="E1175" s="18" t="s">
        <v>541</v>
      </c>
      <c r="F1175" s="18">
        <v>7</v>
      </c>
      <c r="G1175" s="18">
        <v>0</v>
      </c>
      <c r="H1175" s="18">
        <v>0</v>
      </c>
      <c r="I1175" s="20">
        <v>38269</v>
      </c>
      <c r="J1175" s="8">
        <f t="shared" si="54"/>
        <v>-38269</v>
      </c>
      <c r="K1175" s="10">
        <f t="shared" si="55"/>
        <v>0</v>
      </c>
      <c r="L1175" s="17">
        <f t="shared" si="56"/>
        <v>0</v>
      </c>
      <c r="M1175" t="str">
        <f>VLOOKUP(D1175,'Jer-Tip-Emp'!B:E,4,0)</f>
        <v>Arma tu plato</v>
      </c>
      <c r="N1175" t="str">
        <f>VLOOKUP(D1175,'Jer-Tip-Emp'!B:F,5,0)</f>
        <v>Personal</v>
      </c>
      <c r="O1175" t="str">
        <f>VLOOKUP(D1175,'Jer-Tip-Emp'!B:G,6,0)</f>
        <v>Caja</v>
      </c>
    </row>
    <row r="1176" spans="1:15" ht="27.5" customHeight="1" x14ac:dyDescent="0.2">
      <c r="A1176">
        <v>2025</v>
      </c>
      <c r="B1176" t="s">
        <v>615</v>
      </c>
      <c r="C1176" t="s">
        <v>595</v>
      </c>
      <c r="D1176" s="19" t="s">
        <v>240</v>
      </c>
      <c r="E1176" s="18" t="s">
        <v>139</v>
      </c>
      <c r="F1176" s="18">
        <v>7</v>
      </c>
      <c r="G1176" s="20">
        <v>293300</v>
      </c>
      <c r="H1176" s="18">
        <v>0</v>
      </c>
      <c r="I1176" s="20">
        <v>169785</v>
      </c>
      <c r="J1176" s="8">
        <f t="shared" si="54"/>
        <v>123515</v>
      </c>
      <c r="K1176" s="10">
        <f t="shared" si="55"/>
        <v>0.42112171837708828</v>
      </c>
      <c r="L1176" s="17">
        <f t="shared" si="56"/>
        <v>0</v>
      </c>
      <c r="M1176" t="str">
        <f>VLOOKUP(D1176,'Jer-Tip-Emp'!B:E,4,0)</f>
        <v>Platos mong</v>
      </c>
      <c r="N1176" t="str">
        <f>VLOOKUP(D1176,'Jer-Tip-Emp'!B:F,5,0)</f>
        <v>No Personal</v>
      </c>
      <c r="O1176" t="str">
        <f>VLOOKUP(D1176,'Jer-Tip-Emp'!B:G,6,0)</f>
        <v>Caja</v>
      </c>
    </row>
    <row r="1177" spans="1:15" ht="27.5" customHeight="1" x14ac:dyDescent="0.2">
      <c r="A1177">
        <v>2025</v>
      </c>
      <c r="B1177" t="s">
        <v>615</v>
      </c>
      <c r="C1177" t="s">
        <v>595</v>
      </c>
      <c r="D1177" s="19" t="s">
        <v>223</v>
      </c>
      <c r="E1177" s="18" t="s">
        <v>116</v>
      </c>
      <c r="F1177" s="18">
        <v>7</v>
      </c>
      <c r="G1177" s="20">
        <v>185197</v>
      </c>
      <c r="H1177" s="20">
        <v>-3103</v>
      </c>
      <c r="I1177" s="20">
        <v>95466</v>
      </c>
      <c r="J1177" s="8">
        <f t="shared" si="54"/>
        <v>89731</v>
      </c>
      <c r="K1177" s="10">
        <f t="shared" si="55"/>
        <v>0.48451648784807527</v>
      </c>
      <c r="L1177" s="17">
        <f t="shared" si="56"/>
        <v>1.6755131022640757E-2</v>
      </c>
      <c r="M1177" t="str">
        <f>VLOOKUP(D1177,'Jer-Tip-Emp'!B:E,4,0)</f>
        <v>Platos especiales</v>
      </c>
      <c r="N1177" t="str">
        <f>VLOOKUP(D1177,'Jer-Tip-Emp'!B:F,5,0)</f>
        <v>Personal</v>
      </c>
      <c r="O1177" t="str">
        <f>VLOOKUP(D1177,'Jer-Tip-Emp'!B:G,6,0)</f>
        <v>Platos especiales</v>
      </c>
    </row>
    <row r="1178" spans="1:15" ht="27.5" customHeight="1" x14ac:dyDescent="0.2">
      <c r="A1178">
        <v>2025</v>
      </c>
      <c r="B1178" t="s">
        <v>615</v>
      </c>
      <c r="C1178" t="s">
        <v>595</v>
      </c>
      <c r="D1178" s="19" t="s">
        <v>293</v>
      </c>
      <c r="E1178" s="18" t="s">
        <v>127</v>
      </c>
      <c r="F1178" s="18">
        <v>7</v>
      </c>
      <c r="G1178" s="20">
        <v>399300</v>
      </c>
      <c r="H1178" s="20">
        <v>-6000</v>
      </c>
      <c r="I1178" s="20">
        <v>196399</v>
      </c>
      <c r="J1178" s="8">
        <f t="shared" si="54"/>
        <v>202901</v>
      </c>
      <c r="K1178" s="10">
        <f t="shared" si="55"/>
        <v>0.50814174805910339</v>
      </c>
      <c r="L1178" s="17">
        <f t="shared" si="56"/>
        <v>1.5026296018031555E-2</v>
      </c>
      <c r="M1178" t="str">
        <f>VLOOKUP(D1178,'Jer-Tip-Emp'!B:E,4,0)</f>
        <v>Platos mong</v>
      </c>
      <c r="N1178" t="str">
        <f>VLOOKUP(D1178,'Jer-Tip-Emp'!B:F,5,0)</f>
        <v>No Personal</v>
      </c>
      <c r="O1178" t="str">
        <f>VLOOKUP(D1178,'Jer-Tip-Emp'!B:G,6,0)</f>
        <v>Caja</v>
      </c>
    </row>
    <row r="1179" spans="1:15" ht="27.5" customHeight="1" x14ac:dyDescent="0.2">
      <c r="A1179">
        <v>2025</v>
      </c>
      <c r="B1179" t="s">
        <v>615</v>
      </c>
      <c r="C1179" t="s">
        <v>595</v>
      </c>
      <c r="D1179" s="19" t="s">
        <v>205</v>
      </c>
      <c r="E1179" s="18" t="s">
        <v>141</v>
      </c>
      <c r="F1179" s="18">
        <v>7</v>
      </c>
      <c r="G1179" s="20">
        <v>110632</v>
      </c>
      <c r="H1179" s="18">
        <v>-668</v>
      </c>
      <c r="I1179" s="20">
        <v>42448</v>
      </c>
      <c r="J1179" s="8">
        <f t="shared" si="54"/>
        <v>68184</v>
      </c>
      <c r="K1179" s="10">
        <f t="shared" si="55"/>
        <v>0.61631354400173544</v>
      </c>
      <c r="L1179" s="17">
        <f t="shared" si="56"/>
        <v>6.0380360112806423E-3</v>
      </c>
      <c r="M1179" t="str">
        <f>VLOOKUP(D1179,'Jer-Tip-Emp'!B:E,4,0)</f>
        <v>Platos mong</v>
      </c>
      <c r="N1179" t="str">
        <f>VLOOKUP(D1179,'Jer-Tip-Emp'!B:F,5,0)</f>
        <v>Personal</v>
      </c>
      <c r="O1179" t="str">
        <f>VLOOKUP(D1179,'Jer-Tip-Emp'!B:G,6,0)</f>
        <v>Caja</v>
      </c>
    </row>
    <row r="1180" spans="1:15" ht="27.5" hidden="1" customHeight="1" x14ac:dyDescent="0.2">
      <c r="A1180">
        <v>2025</v>
      </c>
      <c r="B1180" t="s">
        <v>615</v>
      </c>
      <c r="C1180" t="s">
        <v>595</v>
      </c>
      <c r="D1180" s="19" t="s">
        <v>364</v>
      </c>
      <c r="E1180" s="18" t="s">
        <v>51</v>
      </c>
      <c r="F1180" s="18">
        <v>6</v>
      </c>
      <c r="G1180" s="20">
        <v>19922</v>
      </c>
      <c r="H1180" s="20">
        <v>-3478</v>
      </c>
      <c r="I1180" s="20">
        <v>7746</v>
      </c>
      <c r="J1180" s="8">
        <f t="shared" si="54"/>
        <v>12176</v>
      </c>
      <c r="K1180" s="10">
        <f t="shared" si="55"/>
        <v>0.61118361610280092</v>
      </c>
      <c r="L1180" s="17">
        <f t="shared" si="56"/>
        <v>0.17458086537496234</v>
      </c>
      <c r="M1180" t="str">
        <f>VLOOKUP(D1180,'Jer-Tip-Emp'!B:E,4,0)</f>
        <v>Bebidas</v>
      </c>
      <c r="N1180" t="str">
        <f>VLOOKUP(D1180,'Jer-Tip-Emp'!B:F,5,0)</f>
        <v>Bebidas</v>
      </c>
      <c r="O1180" t="str">
        <f>VLOOKUP(D1180,'Jer-Tip-Emp'!B:G,6,0)</f>
        <v>Bebidas</v>
      </c>
    </row>
    <row r="1181" spans="1:15" ht="27.5" customHeight="1" x14ac:dyDescent="0.2">
      <c r="A1181">
        <v>2025</v>
      </c>
      <c r="B1181" t="s">
        <v>615</v>
      </c>
      <c r="C1181" t="s">
        <v>595</v>
      </c>
      <c r="D1181" s="19" t="s">
        <v>241</v>
      </c>
      <c r="E1181" s="18" t="s">
        <v>107</v>
      </c>
      <c r="F1181" s="18">
        <v>6</v>
      </c>
      <c r="G1181" s="20">
        <v>473682</v>
      </c>
      <c r="H1181" s="20">
        <v>-17718</v>
      </c>
      <c r="I1181" s="20">
        <v>256224</v>
      </c>
      <c r="J1181" s="8">
        <f t="shared" si="54"/>
        <v>217458</v>
      </c>
      <c r="K1181" s="10">
        <f t="shared" si="55"/>
        <v>0.45908014237399775</v>
      </c>
      <c r="L1181" s="17">
        <f t="shared" si="56"/>
        <v>3.7404841222592369E-2</v>
      </c>
      <c r="M1181" t="str">
        <f>VLOOKUP(D1181,'Jer-Tip-Emp'!B:E,4,0)</f>
        <v>Platos mong</v>
      </c>
      <c r="N1181" t="str">
        <f>VLOOKUP(D1181,'Jer-Tip-Emp'!B:F,5,0)</f>
        <v>No Personal</v>
      </c>
      <c r="O1181" t="str">
        <f>VLOOKUP(D1181,'Jer-Tip-Emp'!B:G,6,0)</f>
        <v>Caja</v>
      </c>
    </row>
    <row r="1182" spans="1:15" ht="27.5" customHeight="1" x14ac:dyDescent="0.2">
      <c r="A1182">
        <v>2025</v>
      </c>
      <c r="B1182" t="s">
        <v>615</v>
      </c>
      <c r="C1182" t="s">
        <v>595</v>
      </c>
      <c r="D1182" s="19" t="s">
        <v>285</v>
      </c>
      <c r="E1182" s="18" t="s">
        <v>146</v>
      </c>
      <c r="F1182" s="18">
        <v>5</v>
      </c>
      <c r="G1182" s="20">
        <v>105429</v>
      </c>
      <c r="H1182" s="20">
        <v>-4071</v>
      </c>
      <c r="I1182" s="20">
        <v>42320</v>
      </c>
      <c r="J1182" s="8">
        <f t="shared" si="54"/>
        <v>63109</v>
      </c>
      <c r="K1182" s="10">
        <f t="shared" si="55"/>
        <v>0.59859241764599869</v>
      </c>
      <c r="L1182" s="17">
        <f t="shared" si="56"/>
        <v>3.8613664172096863E-2</v>
      </c>
      <c r="M1182" t="str">
        <f>VLOOKUP(D1182,'Jer-Tip-Emp'!B:E,4,0)</f>
        <v>Platos mong</v>
      </c>
      <c r="N1182" t="str">
        <f>VLOOKUP(D1182,'Jer-Tip-Emp'!B:F,5,0)</f>
        <v>Personal</v>
      </c>
      <c r="O1182" t="str">
        <f>VLOOKUP(D1182,'Jer-Tip-Emp'!B:G,6,0)</f>
        <v>Caja</v>
      </c>
    </row>
    <row r="1183" spans="1:15" ht="27.5" customHeight="1" x14ac:dyDescent="0.2">
      <c r="A1183">
        <v>2025</v>
      </c>
      <c r="B1183" t="s">
        <v>615</v>
      </c>
      <c r="C1183" t="s">
        <v>595</v>
      </c>
      <c r="D1183" s="19" t="s">
        <v>333</v>
      </c>
      <c r="E1183" s="18" t="s">
        <v>547</v>
      </c>
      <c r="F1183" s="18">
        <v>5</v>
      </c>
      <c r="G1183" s="18">
        <v>0</v>
      </c>
      <c r="H1183" s="18">
        <v>0</v>
      </c>
      <c r="I1183" s="20">
        <v>16610</v>
      </c>
      <c r="J1183" s="8">
        <f t="shared" si="54"/>
        <v>-16610</v>
      </c>
      <c r="K1183" s="10">
        <f t="shared" si="55"/>
        <v>0</v>
      </c>
      <c r="L1183" s="17">
        <f t="shared" si="56"/>
        <v>0</v>
      </c>
      <c r="M1183" t="str">
        <f>VLOOKUP(D1183,'Jer-Tip-Emp'!B:E,4,0)</f>
        <v>Arma tu plato</v>
      </c>
      <c r="N1183" t="str">
        <f>VLOOKUP(D1183,'Jer-Tip-Emp'!B:F,5,0)</f>
        <v>Personal</v>
      </c>
      <c r="O1183" t="str">
        <f>VLOOKUP(D1183,'Jer-Tip-Emp'!B:G,6,0)</f>
        <v>Caja</v>
      </c>
    </row>
    <row r="1184" spans="1:15" ht="27.5" hidden="1" customHeight="1" x14ac:dyDescent="0.2">
      <c r="A1184">
        <v>2025</v>
      </c>
      <c r="B1184" t="s">
        <v>615</v>
      </c>
      <c r="C1184" t="s">
        <v>595</v>
      </c>
      <c r="D1184" s="19" t="s">
        <v>310</v>
      </c>
      <c r="E1184" s="18" t="s">
        <v>53</v>
      </c>
      <c r="F1184" s="18">
        <v>5</v>
      </c>
      <c r="G1184" s="20">
        <v>29425</v>
      </c>
      <c r="H1184" s="18">
        <v>-75</v>
      </c>
      <c r="I1184" s="20">
        <v>8475</v>
      </c>
      <c r="J1184" s="8">
        <f t="shared" si="54"/>
        <v>20950</v>
      </c>
      <c r="K1184" s="10">
        <f t="shared" si="55"/>
        <v>0.71197960917587089</v>
      </c>
      <c r="L1184" s="17">
        <f t="shared" si="56"/>
        <v>2.5488530161427358E-3</v>
      </c>
      <c r="M1184" t="str">
        <f>VLOOKUP(D1184,'Jer-Tip-Emp'!B:E,4,0)</f>
        <v>Bebidas</v>
      </c>
      <c r="N1184" t="str">
        <f>VLOOKUP(D1184,'Jer-Tip-Emp'!B:F,5,0)</f>
        <v>Bebidas</v>
      </c>
      <c r="O1184" t="str">
        <f>VLOOKUP(D1184,'Jer-Tip-Emp'!B:G,6,0)</f>
        <v>Bebidas</v>
      </c>
    </row>
    <row r="1185" spans="1:15" ht="27.5" customHeight="1" x14ac:dyDescent="0.2">
      <c r="A1185">
        <v>2025</v>
      </c>
      <c r="B1185" t="s">
        <v>615</v>
      </c>
      <c r="C1185" t="s">
        <v>595</v>
      </c>
      <c r="D1185" s="19" t="s">
        <v>202</v>
      </c>
      <c r="E1185" s="18" t="s">
        <v>142</v>
      </c>
      <c r="F1185" s="18">
        <v>5</v>
      </c>
      <c r="G1185" s="20">
        <v>163430</v>
      </c>
      <c r="H1185" s="20">
        <v>-6070</v>
      </c>
      <c r="I1185" s="20">
        <v>71155</v>
      </c>
      <c r="J1185" s="8">
        <f t="shared" si="54"/>
        <v>92275</v>
      </c>
      <c r="K1185" s="10">
        <f t="shared" si="55"/>
        <v>0.56461481980052619</v>
      </c>
      <c r="L1185" s="17">
        <f t="shared" si="56"/>
        <v>3.7141283730037326E-2</v>
      </c>
      <c r="M1185" t="str">
        <f>VLOOKUP(D1185,'Jer-Tip-Emp'!B:E,4,0)</f>
        <v>Platos mong</v>
      </c>
      <c r="N1185" t="str">
        <f>VLOOKUP(D1185,'Jer-Tip-Emp'!B:F,5,0)</f>
        <v>No Personal</v>
      </c>
      <c r="O1185" t="str">
        <f>VLOOKUP(D1185,'Jer-Tip-Emp'!B:G,6,0)</f>
        <v>Caja</v>
      </c>
    </row>
    <row r="1186" spans="1:15" ht="27.5" customHeight="1" x14ac:dyDescent="0.2">
      <c r="A1186">
        <v>2025</v>
      </c>
      <c r="B1186" t="s">
        <v>615</v>
      </c>
      <c r="C1186" t="s">
        <v>595</v>
      </c>
      <c r="D1186" s="19" t="s">
        <v>224</v>
      </c>
      <c r="E1186" s="18" t="s">
        <v>114</v>
      </c>
      <c r="F1186" s="18">
        <v>5</v>
      </c>
      <c r="G1186" s="20">
        <v>124500</v>
      </c>
      <c r="H1186" s="18">
        <v>0</v>
      </c>
      <c r="I1186" s="20">
        <v>63590</v>
      </c>
      <c r="J1186" s="8">
        <f t="shared" si="54"/>
        <v>60910</v>
      </c>
      <c r="K1186" s="10">
        <f t="shared" si="55"/>
        <v>0.48923694779116467</v>
      </c>
      <c r="L1186" s="17">
        <f t="shared" si="56"/>
        <v>0</v>
      </c>
      <c r="M1186" t="str">
        <f>VLOOKUP(D1186,'Jer-Tip-Emp'!B:E,4,0)</f>
        <v>Platos especiales</v>
      </c>
      <c r="N1186" t="str">
        <f>VLOOKUP(D1186,'Jer-Tip-Emp'!B:F,5,0)</f>
        <v>Personal</v>
      </c>
      <c r="O1186" t="str">
        <f>VLOOKUP(D1186,'Jer-Tip-Emp'!B:G,6,0)</f>
        <v>Platos especiales</v>
      </c>
    </row>
    <row r="1187" spans="1:15" ht="27.5" customHeight="1" x14ac:dyDescent="0.2">
      <c r="A1187">
        <v>2025</v>
      </c>
      <c r="B1187" t="s">
        <v>615</v>
      </c>
      <c r="C1187" t="s">
        <v>595</v>
      </c>
      <c r="D1187" s="19" t="s">
        <v>322</v>
      </c>
      <c r="E1187" s="18" t="s">
        <v>545</v>
      </c>
      <c r="F1187" s="18">
        <v>4</v>
      </c>
      <c r="G1187" s="20">
        <v>7072</v>
      </c>
      <c r="H1187" s="18">
        <v>-928</v>
      </c>
      <c r="I1187" s="20">
        <v>12432</v>
      </c>
      <c r="J1187" s="8">
        <f t="shared" si="54"/>
        <v>-5360</v>
      </c>
      <c r="K1187" s="10">
        <f t="shared" si="55"/>
        <v>-0.75791855203619907</v>
      </c>
      <c r="L1187" s="17">
        <f t="shared" si="56"/>
        <v>0.13122171945701358</v>
      </c>
      <c r="M1187" t="str">
        <f>VLOOKUP(D1187,'Jer-Tip-Emp'!B:E,4,0)</f>
        <v>Arma tu plato</v>
      </c>
      <c r="N1187" t="str">
        <f>VLOOKUP(D1187,'Jer-Tip-Emp'!B:F,5,0)</f>
        <v>Personal</v>
      </c>
      <c r="O1187" t="str">
        <f>VLOOKUP(D1187,'Jer-Tip-Emp'!B:G,6,0)</f>
        <v>Caja</v>
      </c>
    </row>
    <row r="1188" spans="1:15" ht="27.5" hidden="1" customHeight="1" x14ac:dyDescent="0.2">
      <c r="A1188">
        <v>2025</v>
      </c>
      <c r="B1188" t="s">
        <v>615</v>
      </c>
      <c r="C1188" t="s">
        <v>595</v>
      </c>
      <c r="D1188" s="19" t="s">
        <v>268</v>
      </c>
      <c r="E1188" s="18" t="s">
        <v>17</v>
      </c>
      <c r="F1188" s="18">
        <v>4</v>
      </c>
      <c r="G1188" s="20">
        <v>20900</v>
      </c>
      <c r="H1188" s="20">
        <v>-2700</v>
      </c>
      <c r="I1188" s="20">
        <v>5128</v>
      </c>
      <c r="J1188" s="8">
        <f t="shared" si="54"/>
        <v>15772</v>
      </c>
      <c r="K1188" s="10">
        <f t="shared" si="55"/>
        <v>0.75464114832535889</v>
      </c>
      <c r="L1188" s="17">
        <f t="shared" si="56"/>
        <v>0.12918660287081341</v>
      </c>
      <c r="M1188" t="str">
        <f>VLOOKUP(D1188,'Jer-Tip-Emp'!B:E,4,0)</f>
        <v>Adición</v>
      </c>
      <c r="N1188" t="str">
        <f>VLOOKUP(D1188,'Jer-Tip-Emp'!B:F,5,0)</f>
        <v>Adición</v>
      </c>
      <c r="O1188" t="str">
        <f>VLOOKUP(D1188,'Jer-Tip-Emp'!B:G,6,0)</f>
        <v>Adición</v>
      </c>
    </row>
    <row r="1189" spans="1:15" ht="27.5" hidden="1" customHeight="1" x14ac:dyDescent="0.2">
      <c r="A1189">
        <v>2025</v>
      </c>
      <c r="B1189" t="s">
        <v>615</v>
      </c>
      <c r="C1189" t="s">
        <v>595</v>
      </c>
      <c r="D1189" s="19" t="s">
        <v>218</v>
      </c>
      <c r="E1189" s="18" t="s">
        <v>33</v>
      </c>
      <c r="F1189" s="18">
        <v>4</v>
      </c>
      <c r="G1189" s="20">
        <v>31600</v>
      </c>
      <c r="H1189" s="18">
        <v>0</v>
      </c>
      <c r="I1189" s="18">
        <v>0</v>
      </c>
      <c r="J1189" s="8">
        <f t="shared" si="54"/>
        <v>31600</v>
      </c>
      <c r="K1189" s="10">
        <f t="shared" si="55"/>
        <v>1</v>
      </c>
      <c r="L1189" s="17">
        <f t="shared" si="56"/>
        <v>0</v>
      </c>
      <c r="M1189" t="str">
        <f>VLOOKUP(D1189,'Jer-Tip-Emp'!B:E,4,0)</f>
        <v>Adición</v>
      </c>
      <c r="N1189" t="str">
        <f>VLOOKUP(D1189,'Jer-Tip-Emp'!B:F,5,0)</f>
        <v>Adición</v>
      </c>
      <c r="O1189" t="str">
        <f>VLOOKUP(D1189,'Jer-Tip-Emp'!B:G,6,0)</f>
        <v>Adición</v>
      </c>
    </row>
    <row r="1190" spans="1:15" ht="27.5" customHeight="1" x14ac:dyDescent="0.2">
      <c r="A1190">
        <v>2025</v>
      </c>
      <c r="B1190" t="s">
        <v>615</v>
      </c>
      <c r="C1190" t="s">
        <v>595</v>
      </c>
      <c r="D1190" s="19" t="s">
        <v>470</v>
      </c>
      <c r="E1190" s="18" t="s">
        <v>550</v>
      </c>
      <c r="F1190" s="18">
        <v>4</v>
      </c>
      <c r="G1190" s="18">
        <v>0</v>
      </c>
      <c r="H1190" s="18">
        <v>0</v>
      </c>
      <c r="I1190" s="20">
        <v>12388</v>
      </c>
      <c r="J1190" s="8">
        <f t="shared" si="54"/>
        <v>-12388</v>
      </c>
      <c r="K1190" s="10">
        <f t="shared" si="55"/>
        <v>0</v>
      </c>
      <c r="L1190" s="17">
        <f t="shared" si="56"/>
        <v>0</v>
      </c>
      <c r="M1190" t="str">
        <f>VLOOKUP(D1190,'Jer-Tip-Emp'!B:E,4,0)</f>
        <v>Arma tu plato</v>
      </c>
      <c r="N1190" t="str">
        <f>VLOOKUP(D1190,'Jer-Tip-Emp'!B:F,5,0)</f>
        <v>Personal</v>
      </c>
      <c r="O1190" t="str">
        <f>VLOOKUP(D1190,'Jer-Tip-Emp'!B:G,6,0)</f>
        <v>Caja</v>
      </c>
    </row>
    <row r="1191" spans="1:15" ht="27.5" hidden="1" customHeight="1" x14ac:dyDescent="0.2">
      <c r="A1191">
        <v>2025</v>
      </c>
      <c r="B1191" t="s">
        <v>615</v>
      </c>
      <c r="C1191" t="s">
        <v>595</v>
      </c>
      <c r="D1191" s="19" t="s">
        <v>282</v>
      </c>
      <c r="E1191" s="18" t="s">
        <v>19</v>
      </c>
      <c r="F1191" s="18">
        <v>4</v>
      </c>
      <c r="G1191" s="20">
        <v>22611</v>
      </c>
      <c r="H1191" s="18">
        <v>-989</v>
      </c>
      <c r="I1191" s="20">
        <v>16392</v>
      </c>
      <c r="J1191" s="8">
        <f t="shared" si="54"/>
        <v>6219</v>
      </c>
      <c r="K1191" s="10">
        <f t="shared" si="55"/>
        <v>0.27504312060501523</v>
      </c>
      <c r="L1191" s="17">
        <f t="shared" si="56"/>
        <v>4.3739772677015613E-2</v>
      </c>
      <c r="M1191" t="str">
        <f>VLOOKUP(D1191,'Jer-Tip-Emp'!B:E,4,0)</f>
        <v>Adición</v>
      </c>
      <c r="N1191" t="str">
        <f>VLOOKUP(D1191,'Jer-Tip-Emp'!B:F,5,0)</f>
        <v>Adición</v>
      </c>
      <c r="O1191" t="str">
        <f>VLOOKUP(D1191,'Jer-Tip-Emp'!B:G,6,0)</f>
        <v>Adición</v>
      </c>
    </row>
    <row r="1192" spans="1:15" ht="27.5" hidden="1" customHeight="1" x14ac:dyDescent="0.2">
      <c r="A1192">
        <v>2025</v>
      </c>
      <c r="B1192" t="s">
        <v>615</v>
      </c>
      <c r="C1192" t="s">
        <v>595</v>
      </c>
      <c r="D1192" s="19" t="s">
        <v>262</v>
      </c>
      <c r="E1192" s="18" t="s">
        <v>102</v>
      </c>
      <c r="F1192" s="18">
        <v>4</v>
      </c>
      <c r="G1192" s="20">
        <v>65973</v>
      </c>
      <c r="H1192" s="20">
        <v>-1627</v>
      </c>
      <c r="I1192" s="20">
        <v>24860</v>
      </c>
      <c r="J1192" s="8">
        <f t="shared" si="54"/>
        <v>41113</v>
      </c>
      <c r="K1192" s="10">
        <f t="shared" si="55"/>
        <v>0.62317917936125389</v>
      </c>
      <c r="L1192" s="17">
        <f t="shared" si="56"/>
        <v>2.4661603989510859E-2</v>
      </c>
      <c r="M1192" t="str">
        <f>VLOOKUP(D1192,'Jer-Tip-Emp'!B:E,4,0)</f>
        <v>Entradas</v>
      </c>
      <c r="N1192" t="str">
        <f>VLOOKUP(D1192,'Jer-Tip-Emp'!B:F,5,0)</f>
        <v>Otro</v>
      </c>
      <c r="O1192" t="str">
        <f>VLOOKUP(D1192,'Jer-Tip-Emp'!B:G,6,0)</f>
        <v>Otro</v>
      </c>
    </row>
    <row r="1193" spans="1:15" ht="27.5" customHeight="1" x14ac:dyDescent="0.2">
      <c r="A1193">
        <v>2025</v>
      </c>
      <c r="B1193" t="s">
        <v>615</v>
      </c>
      <c r="C1193" t="s">
        <v>595</v>
      </c>
      <c r="D1193" s="19" t="s">
        <v>246</v>
      </c>
      <c r="E1193" s="18" t="s">
        <v>29</v>
      </c>
      <c r="F1193" s="18">
        <v>3</v>
      </c>
      <c r="G1193" s="20">
        <v>23368</v>
      </c>
      <c r="H1193" s="18">
        <v>-332</v>
      </c>
      <c r="I1193" s="18">
        <v>0</v>
      </c>
      <c r="J1193" s="8">
        <f t="shared" si="54"/>
        <v>23368</v>
      </c>
      <c r="K1193" s="10">
        <f t="shared" si="55"/>
        <v>1</v>
      </c>
      <c r="L1193" s="17">
        <f t="shared" si="56"/>
        <v>1.4207463197535091E-2</v>
      </c>
      <c r="M1193" t="str">
        <f>VLOOKUP(D1193,'Jer-Tip-Emp'!B:E,4,0)</f>
        <v>Armalo en combo</v>
      </c>
      <c r="N1193" t="str">
        <f>VLOOKUP(D1193,'Jer-Tip-Emp'!B:F,5,0)</f>
        <v>Personal</v>
      </c>
      <c r="O1193" t="str">
        <f>VLOOKUP(D1193,'Jer-Tip-Emp'!B:G,6,0)</f>
        <v>Combo</v>
      </c>
    </row>
    <row r="1194" spans="1:15" ht="27.5" customHeight="1" x14ac:dyDescent="0.2">
      <c r="A1194">
        <v>2025</v>
      </c>
      <c r="B1194" t="s">
        <v>615</v>
      </c>
      <c r="C1194" t="s">
        <v>595</v>
      </c>
      <c r="D1194" s="19" t="s">
        <v>354</v>
      </c>
      <c r="E1194" s="18" t="s">
        <v>548</v>
      </c>
      <c r="F1194" s="18">
        <v>3</v>
      </c>
      <c r="G1194" s="18">
        <v>0</v>
      </c>
      <c r="H1194" s="18">
        <v>0</v>
      </c>
      <c r="I1194" s="20">
        <v>7902</v>
      </c>
      <c r="J1194" s="8">
        <f t="shared" si="54"/>
        <v>-7902</v>
      </c>
      <c r="K1194" s="10">
        <f t="shared" si="55"/>
        <v>0</v>
      </c>
      <c r="L1194" s="17">
        <f t="shared" si="56"/>
        <v>0</v>
      </c>
      <c r="M1194" t="str">
        <f>VLOOKUP(D1194,'Jer-Tip-Emp'!B:E,4,0)</f>
        <v>Arma tu plato</v>
      </c>
      <c r="N1194" t="str">
        <f>VLOOKUP(D1194,'Jer-Tip-Emp'!B:F,5,0)</f>
        <v>Personal</v>
      </c>
      <c r="O1194" t="str">
        <f>VLOOKUP(D1194,'Jer-Tip-Emp'!B:G,6,0)</f>
        <v>Caja</v>
      </c>
    </row>
    <row r="1195" spans="1:15" ht="27.5" customHeight="1" x14ac:dyDescent="0.2">
      <c r="A1195">
        <v>2025</v>
      </c>
      <c r="B1195" t="s">
        <v>615</v>
      </c>
      <c r="C1195" t="s">
        <v>595</v>
      </c>
      <c r="D1195" s="19" t="s">
        <v>376</v>
      </c>
      <c r="E1195" s="18" t="s">
        <v>543</v>
      </c>
      <c r="F1195" s="18">
        <v>3</v>
      </c>
      <c r="G1195" s="18">
        <v>0</v>
      </c>
      <c r="H1195" s="18">
        <v>0</v>
      </c>
      <c r="I1195" s="20">
        <v>3846</v>
      </c>
      <c r="J1195" s="8">
        <f t="shared" si="54"/>
        <v>-3846</v>
      </c>
      <c r="K1195" s="10">
        <f t="shared" si="55"/>
        <v>0</v>
      </c>
      <c r="L1195" s="17">
        <f t="shared" si="56"/>
        <v>0</v>
      </c>
      <c r="M1195" t="str">
        <f>VLOOKUP(D1195,'Jer-Tip-Emp'!B:E,4,0)</f>
        <v>Arma tu plato</v>
      </c>
      <c r="N1195" t="str">
        <f>VLOOKUP(D1195,'Jer-Tip-Emp'!B:F,5,0)</f>
        <v>Personal</v>
      </c>
      <c r="O1195" t="str">
        <f>VLOOKUP(D1195,'Jer-Tip-Emp'!B:G,6,0)</f>
        <v>Caja</v>
      </c>
    </row>
    <row r="1196" spans="1:15" ht="27.5" hidden="1" customHeight="1" x14ac:dyDescent="0.2">
      <c r="A1196">
        <v>2025</v>
      </c>
      <c r="B1196" t="s">
        <v>615</v>
      </c>
      <c r="C1196" t="s">
        <v>595</v>
      </c>
      <c r="D1196" s="19" t="s">
        <v>193</v>
      </c>
      <c r="E1196" s="18" t="s">
        <v>18</v>
      </c>
      <c r="F1196" s="18">
        <v>3</v>
      </c>
      <c r="G1196" s="20">
        <v>20700</v>
      </c>
      <c r="H1196" s="18">
        <v>0</v>
      </c>
      <c r="I1196" s="20">
        <v>9324</v>
      </c>
      <c r="J1196" s="8">
        <f t="shared" si="54"/>
        <v>11376</v>
      </c>
      <c r="K1196" s="10">
        <f t="shared" si="55"/>
        <v>0.54956521739130437</v>
      </c>
      <c r="L1196" s="17">
        <f t="shared" si="56"/>
        <v>0</v>
      </c>
      <c r="M1196" t="str">
        <f>VLOOKUP(D1196,'Jer-Tip-Emp'!B:E,4,0)</f>
        <v>Adición</v>
      </c>
      <c r="N1196" t="str">
        <f>VLOOKUP(D1196,'Jer-Tip-Emp'!B:F,5,0)</f>
        <v>Adición</v>
      </c>
      <c r="O1196" t="str">
        <f>VLOOKUP(D1196,'Jer-Tip-Emp'!B:G,6,0)</f>
        <v>Adición</v>
      </c>
    </row>
    <row r="1197" spans="1:15" ht="27.5" customHeight="1" x14ac:dyDescent="0.2">
      <c r="A1197">
        <v>2025</v>
      </c>
      <c r="B1197" t="s">
        <v>615</v>
      </c>
      <c r="C1197" t="s">
        <v>595</v>
      </c>
      <c r="D1197" s="19" t="s">
        <v>204</v>
      </c>
      <c r="E1197" s="18" t="s">
        <v>154</v>
      </c>
      <c r="F1197" s="18">
        <v>3</v>
      </c>
      <c r="G1197" s="20">
        <v>111003</v>
      </c>
      <c r="H1197" s="20">
        <v>-17697</v>
      </c>
      <c r="I1197" s="20">
        <v>58323</v>
      </c>
      <c r="J1197" s="8">
        <f t="shared" si="54"/>
        <v>52680</v>
      </c>
      <c r="K1197" s="10">
        <f t="shared" si="55"/>
        <v>0.47458176806032271</v>
      </c>
      <c r="L1197" s="17">
        <f t="shared" si="56"/>
        <v>0.159428123564228</v>
      </c>
      <c r="M1197" t="str">
        <f>VLOOKUP(D1197,'Jer-Tip-Emp'!B:E,4,0)</f>
        <v>Platos mong</v>
      </c>
      <c r="N1197" t="str">
        <f>VLOOKUP(D1197,'Jer-Tip-Emp'!B:F,5,0)</f>
        <v>No Personal</v>
      </c>
      <c r="O1197" t="str">
        <f>VLOOKUP(D1197,'Jer-Tip-Emp'!B:G,6,0)</f>
        <v>Caja</v>
      </c>
    </row>
    <row r="1198" spans="1:15" ht="27.5" hidden="1" customHeight="1" x14ac:dyDescent="0.2">
      <c r="A1198">
        <v>2025</v>
      </c>
      <c r="B1198" t="s">
        <v>615</v>
      </c>
      <c r="C1198" t="s">
        <v>595</v>
      </c>
      <c r="D1198" s="19" t="s">
        <v>490</v>
      </c>
      <c r="E1198" s="18" t="s">
        <v>554</v>
      </c>
      <c r="F1198" s="18">
        <v>3</v>
      </c>
      <c r="G1198" s="18">
        <v>0</v>
      </c>
      <c r="H1198" s="18">
        <v>0</v>
      </c>
      <c r="I1198" s="20">
        <v>6147</v>
      </c>
      <c r="J1198" s="8">
        <f t="shared" si="54"/>
        <v>-6147</v>
      </c>
      <c r="K1198" s="10">
        <f t="shared" si="55"/>
        <v>0</v>
      </c>
      <c r="L1198" s="17">
        <f t="shared" si="56"/>
        <v>0</v>
      </c>
      <c r="M1198" t="str">
        <f>VLOOKUP(D1198,'Jer-Tip-Emp'!B:E,4,0)</f>
        <v>Adición</v>
      </c>
      <c r="N1198" t="str">
        <f>VLOOKUP(D1198,'Jer-Tip-Emp'!B:F,5,0)</f>
        <v>Otro</v>
      </c>
      <c r="O1198" t="str">
        <f>VLOOKUP(D1198,'Jer-Tip-Emp'!B:G,6,0)</f>
        <v>Otro</v>
      </c>
    </row>
    <row r="1199" spans="1:15" ht="27.5" customHeight="1" x14ac:dyDescent="0.2">
      <c r="A1199">
        <v>2025</v>
      </c>
      <c r="B1199" t="s">
        <v>615</v>
      </c>
      <c r="C1199" t="s">
        <v>595</v>
      </c>
      <c r="D1199" s="19" t="s">
        <v>279</v>
      </c>
      <c r="E1199" s="18" t="s">
        <v>132</v>
      </c>
      <c r="F1199" s="18">
        <v>3</v>
      </c>
      <c r="G1199" s="20">
        <v>104700</v>
      </c>
      <c r="H1199" s="18">
        <v>0</v>
      </c>
      <c r="I1199" s="20">
        <v>33651</v>
      </c>
      <c r="J1199" s="8">
        <f t="shared" si="54"/>
        <v>71049</v>
      </c>
      <c r="K1199" s="10">
        <f t="shared" si="55"/>
        <v>0.67859598853868197</v>
      </c>
      <c r="L1199" s="17">
        <f t="shared" si="56"/>
        <v>0</v>
      </c>
      <c r="M1199" t="str">
        <f>VLOOKUP(D1199,'Jer-Tip-Emp'!B:E,4,0)</f>
        <v>Platos mong</v>
      </c>
      <c r="N1199" t="str">
        <f>VLOOKUP(D1199,'Jer-Tip-Emp'!B:F,5,0)</f>
        <v>No Personal</v>
      </c>
      <c r="O1199" t="str">
        <f>VLOOKUP(D1199,'Jer-Tip-Emp'!B:G,6,0)</f>
        <v>Caja</v>
      </c>
    </row>
    <row r="1200" spans="1:15" ht="27.5" customHeight="1" x14ac:dyDescent="0.2">
      <c r="A1200">
        <v>2025</v>
      </c>
      <c r="B1200" t="s">
        <v>615</v>
      </c>
      <c r="C1200" t="s">
        <v>595</v>
      </c>
      <c r="D1200" s="19" t="s">
        <v>278</v>
      </c>
      <c r="E1200" s="18" t="s">
        <v>84</v>
      </c>
      <c r="F1200" s="18">
        <v>3</v>
      </c>
      <c r="G1200" s="20">
        <v>61105</v>
      </c>
      <c r="H1200" s="20">
        <v>-1595</v>
      </c>
      <c r="I1200" s="20">
        <v>23919</v>
      </c>
      <c r="J1200" s="8">
        <f t="shared" si="54"/>
        <v>37186</v>
      </c>
      <c r="K1200" s="10">
        <f t="shared" si="55"/>
        <v>0.60855903772195397</v>
      </c>
      <c r="L1200" s="17">
        <f t="shared" si="56"/>
        <v>2.6102610261026102E-2</v>
      </c>
      <c r="M1200" t="str">
        <f>VLOOKUP(D1200,'Jer-Tip-Emp'!B:E,4,0)</f>
        <v>Combos para compartir</v>
      </c>
      <c r="N1200" t="str">
        <f>VLOOKUP(D1200,'Jer-Tip-Emp'!B:F,5,0)</f>
        <v>No Personal</v>
      </c>
      <c r="O1200" t="str">
        <f>VLOOKUP(D1200,'Jer-Tip-Emp'!B:G,6,0)</f>
        <v>Combo</v>
      </c>
    </row>
    <row r="1201" spans="1:15" ht="27.5" hidden="1" customHeight="1" x14ac:dyDescent="0.2">
      <c r="A1201">
        <v>2025</v>
      </c>
      <c r="B1201" t="s">
        <v>615</v>
      </c>
      <c r="C1201" t="s">
        <v>595</v>
      </c>
      <c r="D1201" s="19" t="s">
        <v>336</v>
      </c>
      <c r="E1201" s="18" t="s">
        <v>60</v>
      </c>
      <c r="F1201" s="18">
        <v>3</v>
      </c>
      <c r="G1201" s="20">
        <v>14700</v>
      </c>
      <c r="H1201" s="18">
        <v>0</v>
      </c>
      <c r="I1201" s="20">
        <v>4680</v>
      </c>
      <c r="J1201" s="8">
        <f t="shared" si="54"/>
        <v>10020</v>
      </c>
      <c r="K1201" s="10">
        <f t="shared" si="55"/>
        <v>0.68163265306122445</v>
      </c>
      <c r="L1201" s="17">
        <f t="shared" si="56"/>
        <v>0</v>
      </c>
      <c r="M1201" t="str">
        <f>VLOOKUP(D1201,'Jer-Tip-Emp'!B:E,4,0)</f>
        <v>Bebidas</v>
      </c>
      <c r="N1201" t="str">
        <f>VLOOKUP(D1201,'Jer-Tip-Emp'!B:F,5,0)</f>
        <v>Bebidas</v>
      </c>
      <c r="O1201" t="str">
        <f>VLOOKUP(D1201,'Jer-Tip-Emp'!B:G,6,0)</f>
        <v>Bebidas</v>
      </c>
    </row>
    <row r="1202" spans="1:15" ht="27.5" hidden="1" customHeight="1" x14ac:dyDescent="0.2">
      <c r="A1202">
        <v>2025</v>
      </c>
      <c r="B1202" t="s">
        <v>615</v>
      </c>
      <c r="C1202" t="s">
        <v>595</v>
      </c>
      <c r="D1202" s="19" t="s">
        <v>330</v>
      </c>
      <c r="E1202" s="18" t="s">
        <v>38</v>
      </c>
      <c r="F1202" s="18">
        <v>2</v>
      </c>
      <c r="G1202" s="20">
        <v>9060</v>
      </c>
      <c r="H1202" s="18">
        <v>-740</v>
      </c>
      <c r="I1202" s="20">
        <v>2576</v>
      </c>
      <c r="J1202" s="8">
        <f t="shared" si="54"/>
        <v>6484</v>
      </c>
      <c r="K1202" s="10">
        <f t="shared" si="55"/>
        <v>0.71567328918322293</v>
      </c>
      <c r="L1202" s="17">
        <f t="shared" si="56"/>
        <v>8.1677704194260486E-2</v>
      </c>
      <c r="M1202" t="str">
        <f>VLOOKUP(D1202,'Jer-Tip-Emp'!B:E,4,0)</f>
        <v>Bebidas</v>
      </c>
      <c r="N1202" t="str">
        <f>VLOOKUP(D1202,'Jer-Tip-Emp'!B:F,5,0)</f>
        <v>Bebidas</v>
      </c>
      <c r="O1202" t="str">
        <f>VLOOKUP(D1202,'Jer-Tip-Emp'!B:G,6,0)</f>
        <v>Bebidas</v>
      </c>
    </row>
    <row r="1203" spans="1:15" ht="27.5" customHeight="1" x14ac:dyDescent="0.2">
      <c r="A1203">
        <v>2025</v>
      </c>
      <c r="B1203" t="s">
        <v>615</v>
      </c>
      <c r="C1203" t="s">
        <v>595</v>
      </c>
      <c r="D1203" s="19" t="s">
        <v>474</v>
      </c>
      <c r="E1203" s="18" t="s">
        <v>553</v>
      </c>
      <c r="F1203" s="18">
        <v>2</v>
      </c>
      <c r="G1203" s="18">
        <v>0</v>
      </c>
      <c r="H1203" s="18">
        <v>0</v>
      </c>
      <c r="I1203" s="20">
        <v>5698</v>
      </c>
      <c r="J1203" s="8">
        <f t="shared" si="54"/>
        <v>-5698</v>
      </c>
      <c r="K1203" s="10">
        <f t="shared" si="55"/>
        <v>0</v>
      </c>
      <c r="L1203" s="17">
        <f t="shared" si="56"/>
        <v>0</v>
      </c>
      <c r="M1203" t="str">
        <f>VLOOKUP(D1203,'Jer-Tip-Emp'!B:E,4,0)</f>
        <v>Arma tu plato</v>
      </c>
      <c r="N1203" t="str">
        <f>VLOOKUP(D1203,'Jer-Tip-Emp'!B:F,5,0)</f>
        <v>Personal</v>
      </c>
      <c r="O1203" t="str">
        <f>VLOOKUP(D1203,'Jer-Tip-Emp'!B:G,6,0)</f>
        <v>Caja</v>
      </c>
    </row>
    <row r="1204" spans="1:15" ht="27.5" hidden="1" customHeight="1" x14ac:dyDescent="0.2">
      <c r="A1204">
        <v>2025</v>
      </c>
      <c r="B1204" t="s">
        <v>615</v>
      </c>
      <c r="C1204" t="s">
        <v>595</v>
      </c>
      <c r="D1204" s="19" t="s">
        <v>327</v>
      </c>
      <c r="E1204" s="18" t="s">
        <v>44</v>
      </c>
      <c r="F1204" s="18">
        <v>2</v>
      </c>
      <c r="G1204" s="20">
        <v>9800</v>
      </c>
      <c r="H1204" s="18">
        <v>0</v>
      </c>
      <c r="I1204" s="20">
        <v>2190</v>
      </c>
      <c r="J1204" s="8">
        <f t="shared" si="54"/>
        <v>7610</v>
      </c>
      <c r="K1204" s="10">
        <f t="shared" si="55"/>
        <v>0.77653061224489794</v>
      </c>
      <c r="L1204" s="17">
        <f t="shared" si="56"/>
        <v>0</v>
      </c>
      <c r="M1204" t="str">
        <f>VLOOKUP(D1204,'Jer-Tip-Emp'!B:E,4,0)</f>
        <v>Bebidas</v>
      </c>
      <c r="N1204" t="str">
        <f>VLOOKUP(D1204,'Jer-Tip-Emp'!B:F,5,0)</f>
        <v>Bebidas</v>
      </c>
      <c r="O1204" t="str">
        <f>VLOOKUP(D1204,'Jer-Tip-Emp'!B:G,6,0)</f>
        <v>Bebidas</v>
      </c>
    </row>
    <row r="1205" spans="1:15" ht="27.5" hidden="1" customHeight="1" x14ac:dyDescent="0.2">
      <c r="A1205">
        <v>2025</v>
      </c>
      <c r="B1205" t="s">
        <v>615</v>
      </c>
      <c r="C1205" t="s">
        <v>595</v>
      </c>
      <c r="D1205" s="19" t="s">
        <v>500</v>
      </c>
      <c r="E1205" s="18" t="s">
        <v>546</v>
      </c>
      <c r="F1205" s="18">
        <v>2</v>
      </c>
      <c r="G1205" s="18">
        <v>0</v>
      </c>
      <c r="H1205" s="18">
        <v>0</v>
      </c>
      <c r="I1205" s="20">
        <v>1736</v>
      </c>
      <c r="J1205" s="8">
        <f t="shared" si="54"/>
        <v>-1736</v>
      </c>
      <c r="K1205" s="10">
        <f t="shared" si="55"/>
        <v>0</v>
      </c>
      <c r="L1205" s="17">
        <f t="shared" si="56"/>
        <v>0</v>
      </c>
      <c r="M1205" t="str">
        <f>VLOOKUP(D1205,'Jer-Tip-Emp'!B:E,4,0)</f>
        <v>Bebidas</v>
      </c>
      <c r="N1205" t="str">
        <f>VLOOKUP(D1205,'Jer-Tip-Emp'!B:F,5,0)</f>
        <v>Bebidas Cambio de bebida</v>
      </c>
      <c r="O1205" t="str">
        <f>VLOOKUP(D1205,'Jer-Tip-Emp'!B:G,6,0)</f>
        <v>Bebidas</v>
      </c>
    </row>
    <row r="1206" spans="1:15" ht="27.5" customHeight="1" x14ac:dyDescent="0.2">
      <c r="A1206">
        <v>2025</v>
      </c>
      <c r="B1206" t="s">
        <v>615</v>
      </c>
      <c r="C1206" t="s">
        <v>595</v>
      </c>
      <c r="D1206" s="19" t="s">
        <v>261</v>
      </c>
      <c r="E1206" s="18" t="s">
        <v>135</v>
      </c>
      <c r="F1206" s="18">
        <v>2</v>
      </c>
      <c r="G1206" s="20">
        <v>35800</v>
      </c>
      <c r="H1206" s="18">
        <v>0</v>
      </c>
      <c r="I1206" s="20">
        <v>10932</v>
      </c>
      <c r="J1206" s="8">
        <f t="shared" si="54"/>
        <v>24868</v>
      </c>
      <c r="K1206" s="10">
        <f t="shared" si="55"/>
        <v>0.69463687150837994</v>
      </c>
      <c r="L1206" s="17">
        <f t="shared" si="56"/>
        <v>0</v>
      </c>
      <c r="M1206" t="str">
        <f>VLOOKUP(D1206,'Jer-Tip-Emp'!B:E,4,0)</f>
        <v>Platos mong</v>
      </c>
      <c r="N1206" t="str">
        <f>VLOOKUP(D1206,'Jer-Tip-Emp'!B:F,5,0)</f>
        <v>Personal</v>
      </c>
      <c r="O1206" t="str">
        <f>VLOOKUP(D1206,'Jer-Tip-Emp'!B:G,6,0)</f>
        <v>Caja</v>
      </c>
    </row>
    <row r="1207" spans="1:15" ht="27.5" hidden="1" customHeight="1" x14ac:dyDescent="0.2">
      <c r="A1207">
        <v>2025</v>
      </c>
      <c r="B1207" t="s">
        <v>615</v>
      </c>
      <c r="C1207" t="s">
        <v>595</v>
      </c>
      <c r="D1207" s="19" t="s">
        <v>351</v>
      </c>
      <c r="E1207" s="18" t="s">
        <v>55</v>
      </c>
      <c r="F1207" s="18">
        <v>2</v>
      </c>
      <c r="G1207" s="20">
        <v>10872</v>
      </c>
      <c r="H1207" s="18">
        <v>-928</v>
      </c>
      <c r="I1207" s="20">
        <v>2896</v>
      </c>
      <c r="J1207" s="8">
        <f t="shared" si="54"/>
        <v>7976</v>
      </c>
      <c r="K1207" s="10">
        <f t="shared" si="55"/>
        <v>0.73362766740250185</v>
      </c>
      <c r="L1207" s="17">
        <f t="shared" si="56"/>
        <v>8.535688005886681E-2</v>
      </c>
      <c r="M1207" t="str">
        <f>VLOOKUP(D1207,'Jer-Tip-Emp'!B:E,4,0)</f>
        <v>Bebidas</v>
      </c>
      <c r="N1207" t="str">
        <f>VLOOKUP(D1207,'Jer-Tip-Emp'!B:F,5,0)</f>
        <v>Bebidas</v>
      </c>
      <c r="O1207" t="str">
        <f>VLOOKUP(D1207,'Jer-Tip-Emp'!B:G,6,0)</f>
        <v>Bebidas</v>
      </c>
    </row>
    <row r="1208" spans="1:15" ht="27.5" customHeight="1" x14ac:dyDescent="0.2">
      <c r="A1208">
        <v>2025</v>
      </c>
      <c r="B1208" t="s">
        <v>615</v>
      </c>
      <c r="C1208" t="s">
        <v>595</v>
      </c>
      <c r="D1208" s="19" t="s">
        <v>198</v>
      </c>
      <c r="E1208" s="18" t="s">
        <v>124</v>
      </c>
      <c r="F1208" s="18">
        <v>2</v>
      </c>
      <c r="G1208" s="20">
        <v>47800</v>
      </c>
      <c r="H1208" s="18">
        <v>0</v>
      </c>
      <c r="I1208" s="20">
        <v>17514</v>
      </c>
      <c r="J1208" s="8">
        <f t="shared" si="54"/>
        <v>30286</v>
      </c>
      <c r="K1208" s="10">
        <f t="shared" si="55"/>
        <v>0.6335983263598326</v>
      </c>
      <c r="L1208" s="17">
        <f t="shared" si="56"/>
        <v>0</v>
      </c>
      <c r="M1208" t="str">
        <f>VLOOKUP(D1208,'Jer-Tip-Emp'!B:E,4,0)</f>
        <v>Platos mong</v>
      </c>
      <c r="N1208" t="str">
        <f>VLOOKUP(D1208,'Jer-Tip-Emp'!B:F,5,0)</f>
        <v>Personal</v>
      </c>
      <c r="O1208" t="str">
        <f>VLOOKUP(D1208,'Jer-Tip-Emp'!B:G,6,0)</f>
        <v>Caja</v>
      </c>
    </row>
    <row r="1209" spans="1:15" ht="27.5" hidden="1" customHeight="1" x14ac:dyDescent="0.2">
      <c r="A1209">
        <v>2025</v>
      </c>
      <c r="B1209" t="s">
        <v>615</v>
      </c>
      <c r="C1209" t="s">
        <v>595</v>
      </c>
      <c r="D1209" s="19" t="s">
        <v>308</v>
      </c>
      <c r="E1209" s="18" t="s">
        <v>606</v>
      </c>
      <c r="F1209" s="18">
        <v>2</v>
      </c>
      <c r="G1209" s="20">
        <v>3928</v>
      </c>
      <c r="H1209" s="18">
        <v>-72</v>
      </c>
      <c r="I1209" s="18">
        <v>0</v>
      </c>
      <c r="J1209" s="8">
        <f t="shared" si="54"/>
        <v>3928</v>
      </c>
      <c r="K1209" s="10">
        <f t="shared" si="55"/>
        <v>1</v>
      </c>
      <c r="L1209" s="17">
        <f t="shared" si="56"/>
        <v>1.8329938900203666E-2</v>
      </c>
      <c r="M1209" t="str">
        <f>VLOOKUP(D1209,'Jer-Tip-Emp'!B:E,4,0)</f>
        <v>Bebidas</v>
      </c>
      <c r="N1209" t="str">
        <f>VLOOKUP(D1209,'Jer-Tip-Emp'!B:F,5,0)</f>
        <v>Bebidas Cambio de bebida</v>
      </c>
      <c r="O1209" t="str">
        <f>VLOOKUP(D1209,'Jer-Tip-Emp'!B:G,6,0)</f>
        <v>Bebidas</v>
      </c>
    </row>
    <row r="1210" spans="1:15" ht="27.5" customHeight="1" x14ac:dyDescent="0.2">
      <c r="A1210">
        <v>2025</v>
      </c>
      <c r="B1210" t="s">
        <v>615</v>
      </c>
      <c r="C1210" t="s">
        <v>595</v>
      </c>
      <c r="D1210" s="19" t="s">
        <v>203</v>
      </c>
      <c r="E1210" s="18" t="s">
        <v>125</v>
      </c>
      <c r="F1210" s="18">
        <v>2</v>
      </c>
      <c r="G1210" s="20">
        <v>93800</v>
      </c>
      <c r="H1210" s="18">
        <v>0</v>
      </c>
      <c r="I1210" s="20">
        <v>35464</v>
      </c>
      <c r="J1210" s="8">
        <f t="shared" si="54"/>
        <v>58336</v>
      </c>
      <c r="K1210" s="10">
        <f t="shared" si="55"/>
        <v>0.62191897654584227</v>
      </c>
      <c r="L1210" s="17">
        <f t="shared" si="56"/>
        <v>0</v>
      </c>
      <c r="M1210" t="str">
        <f>VLOOKUP(D1210,'Jer-Tip-Emp'!B:E,4,0)</f>
        <v>Platos mong</v>
      </c>
      <c r="N1210" t="str">
        <f>VLOOKUP(D1210,'Jer-Tip-Emp'!B:F,5,0)</f>
        <v>No Personal</v>
      </c>
      <c r="O1210" t="str">
        <f>VLOOKUP(D1210,'Jer-Tip-Emp'!B:G,6,0)</f>
        <v>Caja</v>
      </c>
    </row>
    <row r="1211" spans="1:15" ht="27.5" customHeight="1" x14ac:dyDescent="0.2">
      <c r="A1211">
        <v>2025</v>
      </c>
      <c r="B1211" t="s">
        <v>615</v>
      </c>
      <c r="C1211" t="s">
        <v>595</v>
      </c>
      <c r="D1211" s="19" t="s">
        <v>274</v>
      </c>
      <c r="E1211" s="18" t="s">
        <v>91</v>
      </c>
      <c r="F1211" s="18">
        <v>2</v>
      </c>
      <c r="G1211" s="20">
        <v>103800</v>
      </c>
      <c r="H1211" s="18">
        <v>0</v>
      </c>
      <c r="I1211" s="20">
        <v>57630</v>
      </c>
      <c r="J1211" s="8">
        <f t="shared" si="54"/>
        <v>46170</v>
      </c>
      <c r="K1211" s="10">
        <f t="shared" si="55"/>
        <v>0.44479768786127166</v>
      </c>
      <c r="L1211" s="17">
        <f t="shared" si="56"/>
        <v>0</v>
      </c>
      <c r="M1211" t="str">
        <f>VLOOKUP(D1211,'Jer-Tip-Emp'!B:E,4,0)</f>
        <v>Platos mong</v>
      </c>
      <c r="N1211" t="str">
        <f>VLOOKUP(D1211,'Jer-Tip-Emp'!B:F,5,0)</f>
        <v>No Personal</v>
      </c>
      <c r="O1211" t="str">
        <f>VLOOKUP(D1211,'Jer-Tip-Emp'!B:G,6,0)</f>
        <v>Caja</v>
      </c>
    </row>
    <row r="1212" spans="1:15" ht="27.5" customHeight="1" x14ac:dyDescent="0.2">
      <c r="A1212">
        <v>2025</v>
      </c>
      <c r="B1212" t="s">
        <v>615</v>
      </c>
      <c r="C1212" t="s">
        <v>595</v>
      </c>
      <c r="D1212" s="19" t="s">
        <v>232</v>
      </c>
      <c r="E1212" s="18" t="s">
        <v>94</v>
      </c>
      <c r="F1212" s="18">
        <v>2</v>
      </c>
      <c r="G1212" s="20">
        <v>45800</v>
      </c>
      <c r="H1212" s="18">
        <v>0</v>
      </c>
      <c r="I1212" s="20">
        <v>18808</v>
      </c>
      <c r="J1212" s="8">
        <f t="shared" si="54"/>
        <v>26992</v>
      </c>
      <c r="K1212" s="10">
        <f t="shared" si="55"/>
        <v>0.58934497816593889</v>
      </c>
      <c r="L1212" s="17">
        <f t="shared" si="56"/>
        <v>0</v>
      </c>
      <c r="M1212" t="str">
        <f>VLOOKUP(D1212,'Jer-Tip-Emp'!B:E,4,0)</f>
        <v>Platos mong</v>
      </c>
      <c r="N1212" t="str">
        <f>VLOOKUP(D1212,'Jer-Tip-Emp'!B:F,5,0)</f>
        <v>Personal</v>
      </c>
      <c r="O1212" t="str">
        <f>VLOOKUP(D1212,'Jer-Tip-Emp'!B:G,6,0)</f>
        <v>Caja</v>
      </c>
    </row>
    <row r="1213" spans="1:15" ht="27.5" customHeight="1" x14ac:dyDescent="0.2">
      <c r="A1213">
        <v>2025</v>
      </c>
      <c r="B1213" t="s">
        <v>615</v>
      </c>
      <c r="C1213" t="s">
        <v>595</v>
      </c>
      <c r="D1213" s="19" t="s">
        <v>303</v>
      </c>
      <c r="E1213" s="18" t="s">
        <v>120</v>
      </c>
      <c r="F1213" s="18">
        <v>2</v>
      </c>
      <c r="G1213" s="20">
        <v>44777</v>
      </c>
      <c r="H1213" s="20">
        <v>-1023</v>
      </c>
      <c r="I1213" s="20">
        <v>15028</v>
      </c>
      <c r="J1213" s="8">
        <f t="shared" si="54"/>
        <v>29749</v>
      </c>
      <c r="K1213" s="10">
        <f t="shared" si="55"/>
        <v>0.66438126716841239</v>
      </c>
      <c r="L1213" s="17">
        <f t="shared" si="56"/>
        <v>2.2846550684503204E-2</v>
      </c>
      <c r="M1213" t="str">
        <f>VLOOKUP(D1213,'Jer-Tip-Emp'!B:E,4,0)</f>
        <v>Platos mong</v>
      </c>
      <c r="N1213" t="str">
        <f>VLOOKUP(D1213,'Jer-Tip-Emp'!B:F,5,0)</f>
        <v>Personal</v>
      </c>
      <c r="O1213" t="str">
        <f>VLOOKUP(D1213,'Jer-Tip-Emp'!B:G,6,0)</f>
        <v>Caja</v>
      </c>
    </row>
    <row r="1214" spans="1:15" ht="27.5" customHeight="1" x14ac:dyDescent="0.2">
      <c r="A1214">
        <v>2025</v>
      </c>
      <c r="B1214" t="s">
        <v>615</v>
      </c>
      <c r="C1214" t="s">
        <v>595</v>
      </c>
      <c r="D1214" s="19" t="s">
        <v>259</v>
      </c>
      <c r="E1214" s="18" t="s">
        <v>152</v>
      </c>
      <c r="F1214" s="18">
        <v>2</v>
      </c>
      <c r="G1214" s="20">
        <v>104591</v>
      </c>
      <c r="H1214" s="20">
        <v>-11209</v>
      </c>
      <c r="I1214" s="20">
        <v>75488</v>
      </c>
      <c r="J1214" s="8">
        <f t="shared" si="54"/>
        <v>29103</v>
      </c>
      <c r="K1214" s="10">
        <f t="shared" si="55"/>
        <v>0.27825529921312542</v>
      </c>
      <c r="L1214" s="17">
        <f t="shared" si="56"/>
        <v>0.10716983296841985</v>
      </c>
      <c r="M1214" t="str">
        <f>VLOOKUP(D1214,'Jer-Tip-Emp'!B:E,4,0)</f>
        <v>Platos mong</v>
      </c>
      <c r="N1214" t="str">
        <f>VLOOKUP(D1214,'Jer-Tip-Emp'!B:F,5,0)</f>
        <v>No Personal</v>
      </c>
      <c r="O1214" t="str">
        <f>VLOOKUP(D1214,'Jer-Tip-Emp'!B:G,6,0)</f>
        <v>Caja</v>
      </c>
    </row>
    <row r="1215" spans="1:15" ht="27.5" hidden="1" customHeight="1" x14ac:dyDescent="0.2">
      <c r="A1215">
        <v>2025</v>
      </c>
      <c r="B1215" t="s">
        <v>615</v>
      </c>
      <c r="C1215" t="s">
        <v>595</v>
      </c>
      <c r="D1215" s="19" t="s">
        <v>254</v>
      </c>
      <c r="E1215" s="18" t="s">
        <v>20</v>
      </c>
      <c r="F1215" s="18">
        <v>2</v>
      </c>
      <c r="G1215" s="20">
        <v>9518</v>
      </c>
      <c r="H1215" s="18">
        <v>-282</v>
      </c>
      <c r="I1215" s="20">
        <v>6020</v>
      </c>
      <c r="J1215" s="8">
        <f t="shared" si="54"/>
        <v>3498</v>
      </c>
      <c r="K1215" s="10">
        <f t="shared" si="55"/>
        <v>0.36751418365202776</v>
      </c>
      <c r="L1215" s="17">
        <f t="shared" si="56"/>
        <v>2.9628073124606011E-2</v>
      </c>
      <c r="M1215" t="str">
        <f>VLOOKUP(D1215,'Jer-Tip-Emp'!B:E,4,0)</f>
        <v>Adición</v>
      </c>
      <c r="N1215" t="str">
        <f>VLOOKUP(D1215,'Jer-Tip-Emp'!B:F,5,0)</f>
        <v>Adición</v>
      </c>
      <c r="O1215" t="str">
        <f>VLOOKUP(D1215,'Jer-Tip-Emp'!B:G,6,0)</f>
        <v>Adición</v>
      </c>
    </row>
    <row r="1216" spans="1:15" ht="27.5" hidden="1" customHeight="1" x14ac:dyDescent="0.2">
      <c r="A1216">
        <v>2025</v>
      </c>
      <c r="B1216" t="s">
        <v>615</v>
      </c>
      <c r="C1216" t="s">
        <v>595</v>
      </c>
      <c r="D1216" s="19" t="s">
        <v>382</v>
      </c>
      <c r="E1216" s="18" t="s">
        <v>42</v>
      </c>
      <c r="F1216" s="18">
        <v>1</v>
      </c>
      <c r="G1216" s="20">
        <v>4900</v>
      </c>
      <c r="H1216" s="18">
        <v>0</v>
      </c>
      <c r="I1216" s="20">
        <v>1373</v>
      </c>
      <c r="J1216" s="8">
        <f t="shared" si="54"/>
        <v>3527</v>
      </c>
      <c r="K1216" s="10">
        <f t="shared" si="55"/>
        <v>0.71979591836734691</v>
      </c>
      <c r="L1216" s="17">
        <f t="shared" si="56"/>
        <v>0</v>
      </c>
      <c r="M1216" t="str">
        <f>VLOOKUP(D1216,'Jer-Tip-Emp'!B:E,4,0)</f>
        <v>Bebidas</v>
      </c>
      <c r="N1216" t="str">
        <f>VLOOKUP(D1216,'Jer-Tip-Emp'!B:F,5,0)</f>
        <v>Bebidas</v>
      </c>
      <c r="O1216" t="str">
        <f>VLOOKUP(D1216,'Jer-Tip-Emp'!B:G,6,0)</f>
        <v>Bebidas</v>
      </c>
    </row>
    <row r="1217" spans="1:15" ht="27.5" customHeight="1" x14ac:dyDescent="0.2">
      <c r="A1217">
        <v>2025</v>
      </c>
      <c r="B1217" t="s">
        <v>615</v>
      </c>
      <c r="C1217" t="s">
        <v>595</v>
      </c>
      <c r="D1217" s="19" t="s">
        <v>260</v>
      </c>
      <c r="E1217" s="18" t="s">
        <v>97</v>
      </c>
      <c r="F1217" s="18">
        <v>1</v>
      </c>
      <c r="G1217" s="20">
        <v>47900</v>
      </c>
      <c r="H1217" s="18">
        <v>0</v>
      </c>
      <c r="I1217" s="20">
        <v>20911</v>
      </c>
      <c r="J1217" s="8">
        <f t="shared" ref="J1217:J1280" si="57">G1217-I1217</f>
        <v>26989</v>
      </c>
      <c r="K1217" s="10">
        <f t="shared" ref="K1217:K1280" si="58">IFERROR(J1217/G1217,0)</f>
        <v>0.56344467640918583</v>
      </c>
      <c r="L1217" s="17">
        <f t="shared" ref="L1217:L1280" si="59">IFERROR((H1217/G1217)*-1,0)</f>
        <v>0</v>
      </c>
      <c r="M1217" t="str">
        <f>VLOOKUP(D1217,'Jer-Tip-Emp'!B:E,4,0)</f>
        <v>Platos mong</v>
      </c>
      <c r="N1217" t="str">
        <f>VLOOKUP(D1217,'Jer-Tip-Emp'!B:F,5,0)</f>
        <v>No Personal</v>
      </c>
      <c r="O1217" t="str">
        <f>VLOOKUP(D1217,'Jer-Tip-Emp'!B:G,6,0)</f>
        <v>Caja</v>
      </c>
    </row>
    <row r="1218" spans="1:15" ht="27.5" customHeight="1" x14ac:dyDescent="0.2">
      <c r="A1218">
        <v>2025</v>
      </c>
      <c r="B1218" t="s">
        <v>615</v>
      </c>
      <c r="C1218" t="s">
        <v>595</v>
      </c>
      <c r="D1218" s="19" t="s">
        <v>448</v>
      </c>
      <c r="E1218" s="18" t="s">
        <v>552</v>
      </c>
      <c r="F1218" s="18">
        <v>1</v>
      </c>
      <c r="G1218" s="18">
        <v>0</v>
      </c>
      <c r="H1218" s="18">
        <v>0</v>
      </c>
      <c r="I1218" s="20">
        <v>5263</v>
      </c>
      <c r="J1218" s="8">
        <f t="shared" si="57"/>
        <v>-5263</v>
      </c>
      <c r="K1218" s="10">
        <f t="shared" si="58"/>
        <v>0</v>
      </c>
      <c r="L1218" s="17">
        <f t="shared" si="59"/>
        <v>0</v>
      </c>
      <c r="M1218" t="str">
        <f>VLOOKUP(D1218,'Jer-Tip-Emp'!B:E,4,0)</f>
        <v>Arma tu plato</v>
      </c>
      <c r="N1218" t="str">
        <f>VLOOKUP(D1218,'Jer-Tip-Emp'!B:F,5,0)</f>
        <v>Personal</v>
      </c>
      <c r="O1218" t="str">
        <f>VLOOKUP(D1218,'Jer-Tip-Emp'!B:G,6,0)</f>
        <v>Caja</v>
      </c>
    </row>
    <row r="1219" spans="1:15" ht="27.5" hidden="1" customHeight="1" x14ac:dyDescent="0.2">
      <c r="A1219">
        <v>2025</v>
      </c>
      <c r="B1219" t="s">
        <v>615</v>
      </c>
      <c r="C1219" t="s">
        <v>595</v>
      </c>
      <c r="D1219" s="19" t="s">
        <v>397</v>
      </c>
      <c r="E1219" s="18" t="s">
        <v>61</v>
      </c>
      <c r="F1219" s="18">
        <v>1</v>
      </c>
      <c r="G1219" s="20">
        <v>4900</v>
      </c>
      <c r="H1219" s="18">
        <v>0</v>
      </c>
      <c r="I1219" s="20">
        <v>1896</v>
      </c>
      <c r="J1219" s="8">
        <f t="shared" si="57"/>
        <v>3004</v>
      </c>
      <c r="K1219" s="10">
        <f t="shared" si="58"/>
        <v>0.61306122448979594</v>
      </c>
      <c r="L1219" s="17">
        <f t="shared" si="59"/>
        <v>0</v>
      </c>
      <c r="M1219" t="str">
        <f>VLOOKUP(D1219,'Jer-Tip-Emp'!B:E,4,0)</f>
        <v>Bebidas</v>
      </c>
      <c r="N1219" t="str">
        <f>VLOOKUP(D1219,'Jer-Tip-Emp'!B:F,5,0)</f>
        <v>Bebidas</v>
      </c>
      <c r="O1219" t="str">
        <f>VLOOKUP(D1219,'Jer-Tip-Emp'!B:G,6,0)</f>
        <v>Bebidas</v>
      </c>
    </row>
    <row r="1220" spans="1:15" ht="27.5" hidden="1" customHeight="1" x14ac:dyDescent="0.2">
      <c r="A1220">
        <v>2025</v>
      </c>
      <c r="B1220" t="s">
        <v>615</v>
      </c>
      <c r="C1220" t="s">
        <v>595</v>
      </c>
      <c r="D1220" s="19" t="s">
        <v>463</v>
      </c>
      <c r="E1220" s="18" t="s">
        <v>575</v>
      </c>
      <c r="F1220" s="18">
        <v>1</v>
      </c>
      <c r="G1220" s="20">
        <v>1516</v>
      </c>
      <c r="H1220" s="18">
        <v>-84</v>
      </c>
      <c r="I1220" s="18">
        <v>950</v>
      </c>
      <c r="J1220" s="8">
        <f t="shared" si="57"/>
        <v>566</v>
      </c>
      <c r="K1220" s="10">
        <f t="shared" si="58"/>
        <v>0.37335092348284959</v>
      </c>
      <c r="L1220" s="17">
        <f t="shared" si="59"/>
        <v>5.5408970976253295E-2</v>
      </c>
      <c r="M1220" t="str">
        <f>VLOOKUP(D1220,'Jer-Tip-Emp'!B:E,4,0)</f>
        <v>Bebidas</v>
      </c>
      <c r="N1220" t="str">
        <f>VLOOKUP(D1220,'Jer-Tip-Emp'!B:F,5,0)</f>
        <v>Bebidas Cambio de bebida</v>
      </c>
      <c r="O1220" t="str">
        <f>VLOOKUP(D1220,'Jer-Tip-Emp'!B:G,6,0)</f>
        <v>Bebidas</v>
      </c>
    </row>
    <row r="1221" spans="1:15" ht="27.5" customHeight="1" x14ac:dyDescent="0.2">
      <c r="A1221">
        <v>2025</v>
      </c>
      <c r="B1221" t="s">
        <v>615</v>
      </c>
      <c r="C1221" t="s">
        <v>595</v>
      </c>
      <c r="D1221" s="19" t="s">
        <v>200</v>
      </c>
      <c r="E1221" s="18" t="s">
        <v>149</v>
      </c>
      <c r="F1221" s="18">
        <v>1</v>
      </c>
      <c r="G1221" s="20">
        <v>23900</v>
      </c>
      <c r="H1221" s="20">
        <v>-1000</v>
      </c>
      <c r="I1221" s="20">
        <v>10481</v>
      </c>
      <c r="J1221" s="8">
        <f t="shared" si="57"/>
        <v>13419</v>
      </c>
      <c r="K1221" s="10">
        <f t="shared" si="58"/>
        <v>0.56146443514644351</v>
      </c>
      <c r="L1221" s="17">
        <f t="shared" si="59"/>
        <v>4.1841004184100417E-2</v>
      </c>
      <c r="M1221" t="str">
        <f>VLOOKUP(D1221,'Jer-Tip-Emp'!B:E,4,0)</f>
        <v>Platos mong</v>
      </c>
      <c r="N1221" t="str">
        <f>VLOOKUP(D1221,'Jer-Tip-Emp'!B:F,5,0)</f>
        <v>Personal</v>
      </c>
      <c r="O1221" t="str">
        <f>VLOOKUP(D1221,'Jer-Tip-Emp'!B:G,6,0)</f>
        <v>Caja</v>
      </c>
    </row>
    <row r="1222" spans="1:15" ht="27.5" hidden="1" customHeight="1" x14ac:dyDescent="0.2">
      <c r="A1222">
        <v>2025</v>
      </c>
      <c r="B1222" t="s">
        <v>615</v>
      </c>
      <c r="C1222" t="s">
        <v>595</v>
      </c>
      <c r="D1222" s="19" t="s">
        <v>176</v>
      </c>
      <c r="E1222" s="18" t="s">
        <v>544</v>
      </c>
      <c r="F1222" s="18">
        <v>1</v>
      </c>
      <c r="G1222" s="18">
        <v>963</v>
      </c>
      <c r="H1222" s="18">
        <v>-37</v>
      </c>
      <c r="I1222" s="20">
        <v>1945</v>
      </c>
      <c r="J1222" s="8">
        <f t="shared" si="57"/>
        <v>-982</v>
      </c>
      <c r="K1222" s="10">
        <f t="shared" si="58"/>
        <v>-1.019730010384216</v>
      </c>
      <c r="L1222" s="17">
        <f t="shared" si="59"/>
        <v>3.8421599169262723E-2</v>
      </c>
      <c r="M1222" t="str">
        <f>VLOOKUP(D1222,'Jer-Tip-Emp'!B:E,4,0)</f>
        <v>Bebidas</v>
      </c>
      <c r="N1222" t="str">
        <f>VLOOKUP(D1222,'Jer-Tip-Emp'!B:F,5,0)</f>
        <v>Bebidas Cambio de bebida</v>
      </c>
      <c r="O1222" t="str">
        <f>VLOOKUP(D1222,'Jer-Tip-Emp'!B:G,6,0)</f>
        <v>Bebidas</v>
      </c>
    </row>
    <row r="1223" spans="1:15" ht="27.5" customHeight="1" x14ac:dyDescent="0.2">
      <c r="A1223">
        <v>2025</v>
      </c>
      <c r="B1223" t="s">
        <v>615</v>
      </c>
      <c r="C1223" t="s">
        <v>595</v>
      </c>
      <c r="D1223" s="19" t="s">
        <v>244</v>
      </c>
      <c r="E1223" s="18" t="s">
        <v>113</v>
      </c>
      <c r="F1223" s="18">
        <v>1</v>
      </c>
      <c r="G1223" s="20">
        <v>28900</v>
      </c>
      <c r="H1223" s="18">
        <v>0</v>
      </c>
      <c r="I1223" s="20">
        <v>7605</v>
      </c>
      <c r="J1223" s="8">
        <f t="shared" si="57"/>
        <v>21295</v>
      </c>
      <c r="K1223" s="10">
        <f t="shared" si="58"/>
        <v>0.73685121107266438</v>
      </c>
      <c r="L1223" s="17">
        <f t="shared" si="59"/>
        <v>0</v>
      </c>
      <c r="M1223" t="str">
        <f>VLOOKUP(D1223,'Jer-Tip-Emp'!B:E,4,0)</f>
        <v>Platos especiales</v>
      </c>
      <c r="N1223" t="str">
        <f>VLOOKUP(D1223,'Jer-Tip-Emp'!B:F,5,0)</f>
        <v>Personal</v>
      </c>
      <c r="O1223" t="str">
        <f>VLOOKUP(D1223,'Jer-Tip-Emp'!B:G,6,0)</f>
        <v>Platos especiales</v>
      </c>
    </row>
    <row r="1224" spans="1:15" ht="27.5" hidden="1" customHeight="1" x14ac:dyDescent="0.2">
      <c r="A1224">
        <v>2025</v>
      </c>
      <c r="B1224" t="s">
        <v>615</v>
      </c>
      <c r="C1224" t="s">
        <v>595</v>
      </c>
      <c r="D1224" s="19" t="s">
        <v>296</v>
      </c>
      <c r="E1224" s="18" t="s">
        <v>22</v>
      </c>
      <c r="F1224" s="18">
        <v>1</v>
      </c>
      <c r="G1224" s="20">
        <v>6900</v>
      </c>
      <c r="H1224" s="18">
        <v>0</v>
      </c>
      <c r="I1224" s="18">
        <v>689</v>
      </c>
      <c r="J1224" s="8">
        <f t="shared" si="57"/>
        <v>6211</v>
      </c>
      <c r="K1224" s="10">
        <f t="shared" si="58"/>
        <v>0.90014492753623188</v>
      </c>
      <c r="L1224" s="17">
        <f t="shared" si="59"/>
        <v>0</v>
      </c>
      <c r="M1224" t="str">
        <f>VLOOKUP(D1224,'Jer-Tip-Emp'!B:E,4,0)</f>
        <v>Adición</v>
      </c>
      <c r="N1224" t="str">
        <f>VLOOKUP(D1224,'Jer-Tip-Emp'!B:F,5,0)</f>
        <v>Adición</v>
      </c>
      <c r="O1224" t="str">
        <f>VLOOKUP(D1224,'Jer-Tip-Emp'!B:G,6,0)</f>
        <v>Adición</v>
      </c>
    </row>
    <row r="1225" spans="1:15" ht="27.5" customHeight="1" x14ac:dyDescent="0.2">
      <c r="A1225">
        <v>2025</v>
      </c>
      <c r="B1225" t="s">
        <v>615</v>
      </c>
      <c r="C1225" t="s">
        <v>595</v>
      </c>
      <c r="D1225" s="19" t="s">
        <v>206</v>
      </c>
      <c r="E1225" s="18" t="s">
        <v>117</v>
      </c>
      <c r="F1225" s="18">
        <v>1</v>
      </c>
      <c r="G1225" s="20">
        <v>16900</v>
      </c>
      <c r="H1225" s="18">
        <v>0</v>
      </c>
      <c r="I1225" s="20">
        <v>7125</v>
      </c>
      <c r="J1225" s="8">
        <f t="shared" si="57"/>
        <v>9775</v>
      </c>
      <c r="K1225" s="10">
        <f t="shared" si="58"/>
        <v>0.57840236686390534</v>
      </c>
      <c r="L1225" s="17">
        <f t="shared" si="59"/>
        <v>0</v>
      </c>
      <c r="M1225" t="str">
        <f>VLOOKUP(D1225,'Jer-Tip-Emp'!B:E,4,0)</f>
        <v>Platos especiales</v>
      </c>
      <c r="N1225" t="str">
        <f>VLOOKUP(D1225,'Jer-Tip-Emp'!B:F,5,0)</f>
        <v>Personal</v>
      </c>
      <c r="O1225" t="str">
        <f>VLOOKUP(D1225,'Jer-Tip-Emp'!B:G,6,0)</f>
        <v>Platos especiales</v>
      </c>
    </row>
    <row r="1226" spans="1:15" ht="27.5" hidden="1" customHeight="1" x14ac:dyDescent="0.2">
      <c r="A1226">
        <v>2025</v>
      </c>
      <c r="B1226" t="s">
        <v>615</v>
      </c>
      <c r="C1226" t="s">
        <v>595</v>
      </c>
      <c r="D1226" s="19" t="s">
        <v>335</v>
      </c>
      <c r="E1226" s="18" t="s">
        <v>40</v>
      </c>
      <c r="F1226" s="18">
        <v>1</v>
      </c>
      <c r="G1226" s="20">
        <v>4900</v>
      </c>
      <c r="H1226" s="18">
        <v>0</v>
      </c>
      <c r="I1226" s="20">
        <v>1373</v>
      </c>
      <c r="J1226" s="8">
        <f t="shared" si="57"/>
        <v>3527</v>
      </c>
      <c r="K1226" s="10">
        <f t="shared" si="58"/>
        <v>0.71979591836734691</v>
      </c>
      <c r="L1226" s="17">
        <f t="shared" si="59"/>
        <v>0</v>
      </c>
      <c r="M1226" t="str">
        <f>VLOOKUP(D1226,'Jer-Tip-Emp'!B:E,4,0)</f>
        <v>Bebidas</v>
      </c>
      <c r="N1226" t="str">
        <f>VLOOKUP(D1226,'Jer-Tip-Emp'!B:F,5,0)</f>
        <v>Bebidas</v>
      </c>
      <c r="O1226" t="str">
        <f>VLOOKUP(D1226,'Jer-Tip-Emp'!B:G,6,0)</f>
        <v>Bebidas</v>
      </c>
    </row>
    <row r="1227" spans="1:15" ht="27.5" hidden="1" customHeight="1" x14ac:dyDescent="0.2">
      <c r="A1227">
        <v>2025</v>
      </c>
      <c r="B1227" t="s">
        <v>615</v>
      </c>
      <c r="C1227" t="s">
        <v>595</v>
      </c>
      <c r="D1227" s="19" t="s">
        <v>326</v>
      </c>
      <c r="E1227" s="18" t="s">
        <v>69</v>
      </c>
      <c r="F1227" s="18">
        <v>1</v>
      </c>
      <c r="G1227" s="20">
        <v>4900</v>
      </c>
      <c r="H1227" s="18">
        <v>0</v>
      </c>
      <c r="I1227" s="20">
        <v>1330</v>
      </c>
      <c r="J1227" s="8">
        <f t="shared" si="57"/>
        <v>3570</v>
      </c>
      <c r="K1227" s="10">
        <f t="shared" si="58"/>
        <v>0.72857142857142854</v>
      </c>
      <c r="L1227" s="17">
        <f t="shared" si="59"/>
        <v>0</v>
      </c>
      <c r="M1227" t="str">
        <f>VLOOKUP(D1227,'Jer-Tip-Emp'!B:E,4,0)</f>
        <v>Bebidas</v>
      </c>
      <c r="N1227" t="str">
        <f>VLOOKUP(D1227,'Jer-Tip-Emp'!B:F,5,0)</f>
        <v>Bebidas</v>
      </c>
      <c r="O1227" t="str">
        <f>VLOOKUP(D1227,'Jer-Tip-Emp'!B:G,6,0)</f>
        <v>Bebidas</v>
      </c>
    </row>
    <row r="1228" spans="1:15" ht="27.5" hidden="1" customHeight="1" x14ac:dyDescent="0.2">
      <c r="A1228">
        <v>2025</v>
      </c>
      <c r="B1228" t="s">
        <v>615</v>
      </c>
      <c r="C1228" t="s">
        <v>595</v>
      </c>
      <c r="D1228" s="19" t="s">
        <v>275</v>
      </c>
      <c r="E1228" s="18" t="s">
        <v>16</v>
      </c>
      <c r="F1228" s="18">
        <v>1</v>
      </c>
      <c r="G1228" s="20">
        <v>6900</v>
      </c>
      <c r="H1228" s="18">
        <v>0</v>
      </c>
      <c r="I1228" s="20">
        <v>2245</v>
      </c>
      <c r="J1228" s="8">
        <f t="shared" si="57"/>
        <v>4655</v>
      </c>
      <c r="K1228" s="10">
        <f t="shared" si="58"/>
        <v>0.67463768115942024</v>
      </c>
      <c r="L1228" s="17">
        <f t="shared" si="59"/>
        <v>0</v>
      </c>
      <c r="M1228" t="str">
        <f>VLOOKUP(D1228,'Jer-Tip-Emp'!B:E,4,0)</f>
        <v>Adición</v>
      </c>
      <c r="N1228" t="str">
        <f>VLOOKUP(D1228,'Jer-Tip-Emp'!B:F,5,0)</f>
        <v>Adición</v>
      </c>
      <c r="O1228" t="str">
        <f>VLOOKUP(D1228,'Jer-Tip-Emp'!B:G,6,0)</f>
        <v>Adición</v>
      </c>
    </row>
    <row r="1229" spans="1:15" ht="27.5" hidden="1" customHeight="1" x14ac:dyDescent="0.2">
      <c r="A1229">
        <v>2025</v>
      </c>
      <c r="B1229" t="s">
        <v>615</v>
      </c>
      <c r="C1229" t="s">
        <v>595</v>
      </c>
      <c r="D1229" s="19" t="s">
        <v>339</v>
      </c>
      <c r="E1229" s="18" t="s">
        <v>65</v>
      </c>
      <c r="F1229" s="18">
        <v>1</v>
      </c>
      <c r="G1229" s="20">
        <v>4900</v>
      </c>
      <c r="H1229" s="18">
        <v>0</v>
      </c>
      <c r="I1229" s="20">
        <v>1560</v>
      </c>
      <c r="J1229" s="8">
        <f t="shared" si="57"/>
        <v>3340</v>
      </c>
      <c r="K1229" s="10">
        <f t="shared" si="58"/>
        <v>0.68163265306122445</v>
      </c>
      <c r="L1229" s="17">
        <f t="shared" si="59"/>
        <v>0</v>
      </c>
      <c r="M1229" t="str">
        <f>VLOOKUP(D1229,'Jer-Tip-Emp'!B:E,4,0)</f>
        <v>Bebidas</v>
      </c>
      <c r="N1229" t="str">
        <f>VLOOKUP(D1229,'Jer-Tip-Emp'!B:F,5,0)</f>
        <v>Bebidas</v>
      </c>
      <c r="O1229" t="str">
        <f>VLOOKUP(D1229,'Jer-Tip-Emp'!B:G,6,0)</f>
        <v>Bebidas</v>
      </c>
    </row>
    <row r="1230" spans="1:15" ht="27.5" customHeight="1" x14ac:dyDescent="0.2">
      <c r="A1230">
        <v>2025</v>
      </c>
      <c r="B1230" t="s">
        <v>615</v>
      </c>
      <c r="C1230" t="s">
        <v>595</v>
      </c>
      <c r="D1230" s="19" t="s">
        <v>265</v>
      </c>
      <c r="E1230" s="18" t="s">
        <v>140</v>
      </c>
      <c r="F1230" s="18">
        <v>1</v>
      </c>
      <c r="G1230" s="20">
        <v>63900</v>
      </c>
      <c r="H1230" s="18">
        <v>0</v>
      </c>
      <c r="I1230" s="20">
        <v>32179</v>
      </c>
      <c r="J1230" s="8">
        <f t="shared" si="57"/>
        <v>31721</v>
      </c>
      <c r="K1230" s="10">
        <f t="shared" si="58"/>
        <v>0.49641627543035993</v>
      </c>
      <c r="L1230" s="17">
        <f t="shared" si="59"/>
        <v>0</v>
      </c>
      <c r="M1230" t="str">
        <f>VLOOKUP(D1230,'Jer-Tip-Emp'!B:E,4,0)</f>
        <v>Platos mong</v>
      </c>
      <c r="N1230" t="str">
        <f>VLOOKUP(D1230,'Jer-Tip-Emp'!B:F,5,0)</f>
        <v>No Personal</v>
      </c>
      <c r="O1230" t="str">
        <f>VLOOKUP(D1230,'Jer-Tip-Emp'!B:G,6,0)</f>
        <v>Caja</v>
      </c>
    </row>
    <row r="1231" spans="1:15" ht="27.5" hidden="1" customHeight="1" x14ac:dyDescent="0.2">
      <c r="A1231">
        <v>2025</v>
      </c>
      <c r="B1231" t="s">
        <v>615</v>
      </c>
      <c r="C1231" t="s">
        <v>595</v>
      </c>
      <c r="D1231" s="19" t="s">
        <v>314</v>
      </c>
      <c r="E1231" s="18" t="s">
        <v>67</v>
      </c>
      <c r="F1231" s="18">
        <v>1</v>
      </c>
      <c r="G1231" s="20">
        <v>4900</v>
      </c>
      <c r="H1231" s="18">
        <v>0</v>
      </c>
      <c r="I1231" s="20">
        <v>1330</v>
      </c>
      <c r="J1231" s="8">
        <f t="shared" si="57"/>
        <v>3570</v>
      </c>
      <c r="K1231" s="10">
        <f t="shared" si="58"/>
        <v>0.72857142857142854</v>
      </c>
      <c r="L1231" s="17">
        <f t="shared" si="59"/>
        <v>0</v>
      </c>
      <c r="M1231" t="str">
        <f>VLOOKUP(D1231,'Jer-Tip-Emp'!B:E,4,0)</f>
        <v>Bebidas</v>
      </c>
      <c r="N1231" t="str">
        <f>VLOOKUP(D1231,'Jer-Tip-Emp'!B:F,5,0)</f>
        <v>Bebidas</v>
      </c>
      <c r="O1231" t="str">
        <f>VLOOKUP(D1231,'Jer-Tip-Emp'!B:G,6,0)</f>
        <v>Bebidas</v>
      </c>
    </row>
    <row r="1232" spans="1:15" ht="27.5" customHeight="1" x14ac:dyDescent="0.2">
      <c r="A1232">
        <v>2025</v>
      </c>
      <c r="B1232" t="s">
        <v>615</v>
      </c>
      <c r="C1232" t="s">
        <v>595</v>
      </c>
      <c r="D1232" s="19" t="s">
        <v>178</v>
      </c>
      <c r="E1232" s="18" t="s">
        <v>145</v>
      </c>
      <c r="F1232" s="18">
        <v>1</v>
      </c>
      <c r="G1232" s="20">
        <v>85900</v>
      </c>
      <c r="H1232" s="18">
        <v>0</v>
      </c>
      <c r="I1232" s="20">
        <v>48608</v>
      </c>
      <c r="J1232" s="8">
        <f t="shared" si="57"/>
        <v>37292</v>
      </c>
      <c r="K1232" s="10">
        <f t="shared" si="58"/>
        <v>0.4341327124563446</v>
      </c>
      <c r="L1232" s="17">
        <f t="shared" si="59"/>
        <v>0</v>
      </c>
      <c r="M1232" t="str">
        <f>VLOOKUP(D1232,'Jer-Tip-Emp'!B:E,4,0)</f>
        <v>Platos mong</v>
      </c>
      <c r="N1232" t="str">
        <f>VLOOKUP(D1232,'Jer-Tip-Emp'!B:F,5,0)</f>
        <v>No Personal</v>
      </c>
      <c r="O1232" t="str">
        <f>VLOOKUP(D1232,'Jer-Tip-Emp'!B:G,6,0)</f>
        <v>Caja</v>
      </c>
    </row>
    <row r="1233" spans="1:15" ht="27.5" customHeight="1" x14ac:dyDescent="0.2">
      <c r="A1233">
        <v>2025</v>
      </c>
      <c r="B1233" t="s">
        <v>616</v>
      </c>
      <c r="C1233" t="s">
        <v>609</v>
      </c>
      <c r="D1233" s="19" t="s">
        <v>273</v>
      </c>
      <c r="E1233" s="18" t="s">
        <v>23</v>
      </c>
      <c r="F1233" s="18">
        <v>238</v>
      </c>
      <c r="G1233" s="20">
        <v>5918701</v>
      </c>
      <c r="H1233" s="20">
        <v>-7499</v>
      </c>
      <c r="I1233" s="18">
        <v>0</v>
      </c>
      <c r="J1233" s="8">
        <f t="shared" si="57"/>
        <v>5918701</v>
      </c>
      <c r="K1233" s="10">
        <f t="shared" si="58"/>
        <v>1</v>
      </c>
      <c r="L1233" s="17">
        <f t="shared" si="59"/>
        <v>1.2670009855203024E-3</v>
      </c>
      <c r="M1233" t="str">
        <f>VLOOKUP(D1233,'Jer-Tip-Emp'!B:E,4,0)</f>
        <v>Arma tu plato</v>
      </c>
      <c r="N1233" t="str">
        <f>VLOOKUP(D1233,'Jer-Tip-Emp'!B:F,5,0)</f>
        <v>Personal</v>
      </c>
      <c r="O1233" t="str">
        <f>VLOOKUP(D1233,'Jer-Tip-Emp'!B:G,6,0)</f>
        <v>Caja</v>
      </c>
    </row>
    <row r="1234" spans="1:15" ht="27.5" customHeight="1" x14ac:dyDescent="0.2">
      <c r="A1234">
        <v>2025</v>
      </c>
      <c r="B1234" t="s">
        <v>616</v>
      </c>
      <c r="C1234" t="s">
        <v>609</v>
      </c>
      <c r="D1234" s="19" t="s">
        <v>207</v>
      </c>
      <c r="E1234" s="18" t="s">
        <v>92</v>
      </c>
      <c r="F1234" s="18">
        <v>236</v>
      </c>
      <c r="G1234" s="20">
        <v>5628991</v>
      </c>
      <c r="H1234" s="20">
        <v>-11409</v>
      </c>
      <c r="I1234" s="20">
        <v>2271972</v>
      </c>
      <c r="J1234" s="8">
        <f t="shared" si="57"/>
        <v>3357019</v>
      </c>
      <c r="K1234" s="10">
        <f t="shared" si="58"/>
        <v>0.59638023937149665</v>
      </c>
      <c r="L1234" s="17">
        <f t="shared" si="59"/>
        <v>2.0268286092480874E-3</v>
      </c>
      <c r="M1234" t="str">
        <f>VLOOKUP(D1234,'Jer-Tip-Emp'!B:E,4,0)</f>
        <v>Combos personales</v>
      </c>
      <c r="N1234" t="str">
        <f>VLOOKUP(D1234,'Jer-Tip-Emp'!B:F,5,0)</f>
        <v>Personal</v>
      </c>
      <c r="O1234" t="str">
        <f>VLOOKUP(D1234,'Jer-Tip-Emp'!B:G,6,0)</f>
        <v>Combo</v>
      </c>
    </row>
    <row r="1235" spans="1:15" ht="27.5" customHeight="1" x14ac:dyDescent="0.2">
      <c r="A1235">
        <v>2025</v>
      </c>
      <c r="B1235" t="s">
        <v>616</v>
      </c>
      <c r="C1235" t="s">
        <v>609</v>
      </c>
      <c r="D1235" s="19" t="s">
        <v>313</v>
      </c>
      <c r="E1235" s="18" t="s">
        <v>540</v>
      </c>
      <c r="F1235" s="18">
        <v>157</v>
      </c>
      <c r="G1235" s="18">
        <v>0</v>
      </c>
      <c r="H1235" s="18">
        <v>0</v>
      </c>
      <c r="I1235" s="20">
        <v>862087</v>
      </c>
      <c r="J1235" s="8">
        <f t="shared" si="57"/>
        <v>-862087</v>
      </c>
      <c r="K1235" s="10">
        <f t="shared" si="58"/>
        <v>0</v>
      </c>
      <c r="L1235" s="17">
        <f t="shared" si="59"/>
        <v>0</v>
      </c>
      <c r="M1235" t="str">
        <f>VLOOKUP(D1235,'Jer-Tip-Emp'!B:E,4,0)</f>
        <v>Arma tu plato</v>
      </c>
      <c r="N1235" t="str">
        <f>VLOOKUP(D1235,'Jer-Tip-Emp'!B:F,5,0)</f>
        <v>Personal</v>
      </c>
      <c r="O1235" t="str">
        <f>VLOOKUP(D1235,'Jer-Tip-Emp'!B:G,6,0)</f>
        <v>Caja</v>
      </c>
    </row>
    <row r="1236" spans="1:15" ht="27.5" hidden="1" customHeight="1" x14ac:dyDescent="0.2">
      <c r="A1236">
        <v>2025</v>
      </c>
      <c r="B1236" t="s">
        <v>616</v>
      </c>
      <c r="C1236" t="s">
        <v>609</v>
      </c>
      <c r="D1236" s="19" t="s">
        <v>284</v>
      </c>
      <c r="E1236" s="18" t="s">
        <v>106</v>
      </c>
      <c r="F1236" s="18">
        <v>102</v>
      </c>
      <c r="G1236" s="20">
        <v>906900</v>
      </c>
      <c r="H1236" s="18">
        <v>-900</v>
      </c>
      <c r="I1236" s="20">
        <v>320178</v>
      </c>
      <c r="J1236" s="8">
        <f t="shared" si="57"/>
        <v>586722</v>
      </c>
      <c r="K1236" s="10">
        <f t="shared" si="58"/>
        <v>0.64695335759179617</v>
      </c>
      <c r="L1236" s="17">
        <f t="shared" si="59"/>
        <v>9.9239166391002311E-4</v>
      </c>
      <c r="M1236" t="str">
        <f>VLOOKUP(D1236,'Jer-Tip-Emp'!B:E,4,0)</f>
        <v>Entradas</v>
      </c>
      <c r="N1236" t="str">
        <f>VLOOKUP(D1236,'Jer-Tip-Emp'!B:F,5,0)</f>
        <v>Otro</v>
      </c>
      <c r="O1236" t="str">
        <f>VLOOKUP(D1236,'Jer-Tip-Emp'!B:G,6,0)</f>
        <v>Otro</v>
      </c>
    </row>
    <row r="1237" spans="1:15" ht="27.5" customHeight="1" x14ac:dyDescent="0.2">
      <c r="A1237">
        <v>2025</v>
      </c>
      <c r="B1237" t="s">
        <v>616</v>
      </c>
      <c r="C1237" t="s">
        <v>609</v>
      </c>
      <c r="D1237" s="19" t="s">
        <v>212</v>
      </c>
      <c r="E1237" s="18" t="s">
        <v>160</v>
      </c>
      <c r="F1237" s="18">
        <v>86</v>
      </c>
      <c r="G1237" s="20">
        <v>2485400</v>
      </c>
      <c r="H1237" s="18">
        <v>0</v>
      </c>
      <c r="I1237" s="20">
        <v>967758</v>
      </c>
      <c r="J1237" s="8">
        <f t="shared" si="57"/>
        <v>1517642</v>
      </c>
      <c r="K1237" s="10">
        <f t="shared" si="58"/>
        <v>0.61062283737024226</v>
      </c>
      <c r="L1237" s="17">
        <f t="shared" si="59"/>
        <v>0</v>
      </c>
      <c r="M1237" t="str">
        <f>VLOOKUP(D1237,'Jer-Tip-Emp'!B:E,4,0)</f>
        <v>Combos personales</v>
      </c>
      <c r="N1237" t="str">
        <f>VLOOKUP(D1237,'Jer-Tip-Emp'!B:F,5,0)</f>
        <v>Personal</v>
      </c>
      <c r="O1237" t="str">
        <f>VLOOKUP(D1237,'Jer-Tip-Emp'!B:G,6,0)</f>
        <v>Combo</v>
      </c>
    </row>
    <row r="1238" spans="1:15" ht="27.5" customHeight="1" x14ac:dyDescent="0.2">
      <c r="A1238">
        <v>2025</v>
      </c>
      <c r="B1238" t="s">
        <v>616</v>
      </c>
      <c r="C1238" t="s">
        <v>609</v>
      </c>
      <c r="D1238" s="19" t="s">
        <v>322</v>
      </c>
      <c r="E1238" s="18" t="s">
        <v>545</v>
      </c>
      <c r="F1238" s="18">
        <v>84</v>
      </c>
      <c r="G1238" s="20">
        <v>167933</v>
      </c>
      <c r="H1238" s="18">
        <v>-67</v>
      </c>
      <c r="I1238" s="20">
        <v>261072</v>
      </c>
      <c r="J1238" s="8">
        <f t="shared" si="57"/>
        <v>-93139</v>
      </c>
      <c r="K1238" s="10">
        <f t="shared" si="58"/>
        <v>-0.55461999726081235</v>
      </c>
      <c r="L1238" s="17">
        <f t="shared" si="59"/>
        <v>3.9896863630138211E-4</v>
      </c>
      <c r="M1238" t="str">
        <f>VLOOKUP(D1238,'Jer-Tip-Emp'!B:E,4,0)</f>
        <v>Arma tu plato</v>
      </c>
      <c r="N1238" t="str">
        <f>VLOOKUP(D1238,'Jer-Tip-Emp'!B:F,5,0)</f>
        <v>Personal</v>
      </c>
      <c r="O1238" t="str">
        <f>VLOOKUP(D1238,'Jer-Tip-Emp'!B:G,6,0)</f>
        <v>Caja</v>
      </c>
    </row>
    <row r="1239" spans="1:15" ht="27.5" customHeight="1" x14ac:dyDescent="0.2">
      <c r="A1239">
        <v>2025</v>
      </c>
      <c r="B1239" t="s">
        <v>616</v>
      </c>
      <c r="C1239" t="s">
        <v>609</v>
      </c>
      <c r="D1239" s="19" t="s">
        <v>389</v>
      </c>
      <c r="E1239" s="18" t="s">
        <v>541</v>
      </c>
      <c r="F1239" s="18">
        <v>83</v>
      </c>
      <c r="G1239" s="18">
        <v>0</v>
      </c>
      <c r="H1239" s="18">
        <v>0</v>
      </c>
      <c r="I1239" s="20">
        <v>453761</v>
      </c>
      <c r="J1239" s="8">
        <f t="shared" si="57"/>
        <v>-453761</v>
      </c>
      <c r="K1239" s="10">
        <f t="shared" si="58"/>
        <v>0</v>
      </c>
      <c r="L1239" s="17">
        <f t="shared" si="59"/>
        <v>0</v>
      </c>
      <c r="M1239" t="str">
        <f>VLOOKUP(D1239,'Jer-Tip-Emp'!B:E,4,0)</f>
        <v>Arma tu plato</v>
      </c>
      <c r="N1239" t="str">
        <f>VLOOKUP(D1239,'Jer-Tip-Emp'!B:F,5,0)</f>
        <v>Personal</v>
      </c>
      <c r="O1239" t="str">
        <f>VLOOKUP(D1239,'Jer-Tip-Emp'!B:G,6,0)</f>
        <v>Caja</v>
      </c>
    </row>
    <row r="1240" spans="1:15" ht="27.5" customHeight="1" x14ac:dyDescent="0.2">
      <c r="A1240">
        <v>2025</v>
      </c>
      <c r="B1240" t="s">
        <v>616</v>
      </c>
      <c r="C1240" t="s">
        <v>609</v>
      </c>
      <c r="D1240" s="19" t="s">
        <v>333</v>
      </c>
      <c r="E1240" s="18" t="s">
        <v>547</v>
      </c>
      <c r="F1240" s="18">
        <v>81</v>
      </c>
      <c r="G1240" s="18">
        <v>0</v>
      </c>
      <c r="H1240" s="18">
        <v>0</v>
      </c>
      <c r="I1240" s="20">
        <v>269082</v>
      </c>
      <c r="J1240" s="8">
        <f t="shared" si="57"/>
        <v>-269082</v>
      </c>
      <c r="K1240" s="10">
        <f t="shared" si="58"/>
        <v>0</v>
      </c>
      <c r="L1240" s="17">
        <f t="shared" si="59"/>
        <v>0</v>
      </c>
      <c r="M1240" t="str">
        <f>VLOOKUP(D1240,'Jer-Tip-Emp'!B:E,4,0)</f>
        <v>Arma tu plato</v>
      </c>
      <c r="N1240" t="str">
        <f>VLOOKUP(D1240,'Jer-Tip-Emp'!B:F,5,0)</f>
        <v>Personal</v>
      </c>
      <c r="O1240" t="str">
        <f>VLOOKUP(D1240,'Jer-Tip-Emp'!B:G,6,0)</f>
        <v>Caja</v>
      </c>
    </row>
    <row r="1241" spans="1:15" ht="27.5" customHeight="1" x14ac:dyDescent="0.2">
      <c r="A1241">
        <v>2025</v>
      </c>
      <c r="B1241" t="s">
        <v>616</v>
      </c>
      <c r="C1241" t="s">
        <v>609</v>
      </c>
      <c r="D1241" s="19" t="s">
        <v>196</v>
      </c>
      <c r="E1241" s="18" t="s">
        <v>159</v>
      </c>
      <c r="F1241" s="18">
        <v>76</v>
      </c>
      <c r="G1241" s="20">
        <v>1953950</v>
      </c>
      <c r="H1241" s="20">
        <v>-14450</v>
      </c>
      <c r="I1241" s="20">
        <v>722076</v>
      </c>
      <c r="J1241" s="8">
        <f t="shared" si="57"/>
        <v>1231874</v>
      </c>
      <c r="K1241" s="10">
        <f t="shared" si="58"/>
        <v>0.63045318457483557</v>
      </c>
      <c r="L1241" s="17">
        <f t="shared" si="59"/>
        <v>7.3952762353182017E-3</v>
      </c>
      <c r="M1241" t="str">
        <f>VLOOKUP(D1241,'Jer-Tip-Emp'!B:E,4,0)</f>
        <v>Combos personales</v>
      </c>
      <c r="N1241" t="str">
        <f>VLOOKUP(D1241,'Jer-Tip-Emp'!B:F,5,0)</f>
        <v>Personal</v>
      </c>
      <c r="O1241" t="str">
        <f>VLOOKUP(D1241,'Jer-Tip-Emp'!B:G,6,0)</f>
        <v>Combo</v>
      </c>
    </row>
    <row r="1242" spans="1:15" ht="27.5" customHeight="1" x14ac:dyDescent="0.2">
      <c r="A1242">
        <v>2025</v>
      </c>
      <c r="B1242" t="s">
        <v>616</v>
      </c>
      <c r="C1242" t="s">
        <v>609</v>
      </c>
      <c r="D1242" s="19" t="s">
        <v>354</v>
      </c>
      <c r="E1242" s="18" t="s">
        <v>548</v>
      </c>
      <c r="F1242" s="18">
        <v>73</v>
      </c>
      <c r="G1242" s="18">
        <v>0</v>
      </c>
      <c r="H1242" s="18">
        <v>0</v>
      </c>
      <c r="I1242" s="20">
        <v>192282</v>
      </c>
      <c r="J1242" s="8">
        <f t="shared" si="57"/>
        <v>-192282</v>
      </c>
      <c r="K1242" s="10">
        <f t="shared" si="58"/>
        <v>0</v>
      </c>
      <c r="L1242" s="17">
        <f t="shared" si="59"/>
        <v>0</v>
      </c>
      <c r="M1242" t="str">
        <f>VLOOKUP(D1242,'Jer-Tip-Emp'!B:E,4,0)</f>
        <v>Arma tu plato</v>
      </c>
      <c r="N1242" t="str">
        <f>VLOOKUP(D1242,'Jer-Tip-Emp'!B:F,5,0)</f>
        <v>Personal</v>
      </c>
      <c r="O1242" t="str">
        <f>VLOOKUP(D1242,'Jer-Tip-Emp'!B:G,6,0)</f>
        <v>Caja</v>
      </c>
    </row>
    <row r="1243" spans="1:15" ht="27.5" hidden="1" customHeight="1" x14ac:dyDescent="0.2">
      <c r="A1243">
        <v>2025</v>
      </c>
      <c r="B1243" t="s">
        <v>616</v>
      </c>
      <c r="C1243" t="s">
        <v>609</v>
      </c>
      <c r="D1243" s="19" t="s">
        <v>310</v>
      </c>
      <c r="E1243" s="18" t="s">
        <v>53</v>
      </c>
      <c r="F1243" s="18">
        <v>67</v>
      </c>
      <c r="G1243" s="20">
        <v>394172</v>
      </c>
      <c r="H1243" s="20">
        <v>-1128</v>
      </c>
      <c r="I1243" s="20">
        <v>113565</v>
      </c>
      <c r="J1243" s="8">
        <f t="shared" si="57"/>
        <v>280607</v>
      </c>
      <c r="K1243" s="10">
        <f t="shared" si="58"/>
        <v>0.71188973341586925</v>
      </c>
      <c r="L1243" s="17">
        <f t="shared" si="59"/>
        <v>2.8616948946145336E-3</v>
      </c>
      <c r="M1243" t="str">
        <f>VLOOKUP(D1243,'Jer-Tip-Emp'!B:E,4,0)</f>
        <v>Bebidas</v>
      </c>
      <c r="N1243" t="str">
        <f>VLOOKUP(D1243,'Jer-Tip-Emp'!B:F,5,0)</f>
        <v>Bebidas</v>
      </c>
      <c r="O1243" t="str">
        <f>VLOOKUP(D1243,'Jer-Tip-Emp'!B:G,6,0)</f>
        <v>Bebidas</v>
      </c>
    </row>
    <row r="1244" spans="1:15" ht="27.5" customHeight="1" x14ac:dyDescent="0.2">
      <c r="A1244">
        <v>2025</v>
      </c>
      <c r="B1244" t="s">
        <v>616</v>
      </c>
      <c r="C1244" t="s">
        <v>609</v>
      </c>
      <c r="D1244" s="19" t="s">
        <v>186</v>
      </c>
      <c r="E1244" s="18" t="s">
        <v>95</v>
      </c>
      <c r="F1244" s="18">
        <v>61</v>
      </c>
      <c r="G1244" s="20">
        <v>1762900</v>
      </c>
      <c r="H1244" s="18">
        <v>0</v>
      </c>
      <c r="I1244" s="20">
        <v>583770</v>
      </c>
      <c r="J1244" s="8">
        <f t="shared" si="57"/>
        <v>1179130</v>
      </c>
      <c r="K1244" s="10">
        <f t="shared" si="58"/>
        <v>0.66885813148788931</v>
      </c>
      <c r="L1244" s="17">
        <f t="shared" si="59"/>
        <v>0</v>
      </c>
      <c r="M1244" t="str">
        <f>VLOOKUP(D1244,'Jer-Tip-Emp'!B:E,4,0)</f>
        <v>Combos personales</v>
      </c>
      <c r="N1244" t="str">
        <f>VLOOKUP(D1244,'Jer-Tip-Emp'!B:F,5,0)</f>
        <v>Personal</v>
      </c>
      <c r="O1244" t="str">
        <f>VLOOKUP(D1244,'Jer-Tip-Emp'!B:G,6,0)</f>
        <v>Combo</v>
      </c>
    </row>
    <row r="1245" spans="1:15" ht="27.5" customHeight="1" x14ac:dyDescent="0.2">
      <c r="A1245">
        <v>2025</v>
      </c>
      <c r="B1245" t="s">
        <v>616</v>
      </c>
      <c r="C1245" t="s">
        <v>609</v>
      </c>
      <c r="D1245" s="19" t="s">
        <v>376</v>
      </c>
      <c r="E1245" s="18" t="s">
        <v>543</v>
      </c>
      <c r="F1245" s="18">
        <v>60</v>
      </c>
      <c r="G1245" s="18">
        <v>0</v>
      </c>
      <c r="H1245" s="18">
        <v>0</v>
      </c>
      <c r="I1245" s="20">
        <v>76920</v>
      </c>
      <c r="J1245" s="8">
        <f t="shared" si="57"/>
        <v>-76920</v>
      </c>
      <c r="K1245" s="10">
        <f t="shared" si="58"/>
        <v>0</v>
      </c>
      <c r="L1245" s="17">
        <f t="shared" si="59"/>
        <v>0</v>
      </c>
      <c r="M1245" t="str">
        <f>VLOOKUP(D1245,'Jer-Tip-Emp'!B:E,4,0)</f>
        <v>Arma tu plato</v>
      </c>
      <c r="N1245" t="str">
        <f>VLOOKUP(D1245,'Jer-Tip-Emp'!B:F,5,0)</f>
        <v>Personal</v>
      </c>
      <c r="O1245" t="str">
        <f>VLOOKUP(D1245,'Jer-Tip-Emp'!B:G,6,0)</f>
        <v>Caja</v>
      </c>
    </row>
    <row r="1246" spans="1:15" ht="27.5" hidden="1" customHeight="1" x14ac:dyDescent="0.2">
      <c r="A1246">
        <v>2025</v>
      </c>
      <c r="B1246" t="s">
        <v>616</v>
      </c>
      <c r="C1246" t="s">
        <v>609</v>
      </c>
      <c r="D1246" s="19" t="s">
        <v>500</v>
      </c>
      <c r="E1246" s="18" t="s">
        <v>546</v>
      </c>
      <c r="F1246" s="18">
        <v>57</v>
      </c>
      <c r="G1246" s="18">
        <v>0</v>
      </c>
      <c r="H1246" s="18">
        <v>0</v>
      </c>
      <c r="I1246" s="20">
        <v>49476</v>
      </c>
      <c r="J1246" s="8">
        <f t="shared" si="57"/>
        <v>-49476</v>
      </c>
      <c r="K1246" s="10">
        <f t="shared" si="58"/>
        <v>0</v>
      </c>
      <c r="L1246" s="17">
        <f t="shared" si="59"/>
        <v>0</v>
      </c>
      <c r="M1246" t="str">
        <f>VLOOKUP(D1246,'Jer-Tip-Emp'!B:E,4,0)</f>
        <v>Bebidas</v>
      </c>
      <c r="N1246" t="str">
        <f>VLOOKUP(D1246,'Jer-Tip-Emp'!B:F,5,0)</f>
        <v>Bebidas Cambio de bebida</v>
      </c>
      <c r="O1246" t="str">
        <f>VLOOKUP(D1246,'Jer-Tip-Emp'!B:G,6,0)</f>
        <v>Bebidas</v>
      </c>
    </row>
    <row r="1247" spans="1:15" ht="27.5" customHeight="1" x14ac:dyDescent="0.2">
      <c r="A1247">
        <v>2025</v>
      </c>
      <c r="B1247" t="s">
        <v>616</v>
      </c>
      <c r="C1247" t="s">
        <v>609</v>
      </c>
      <c r="D1247" s="19" t="s">
        <v>393</v>
      </c>
      <c r="E1247" s="18" t="s">
        <v>549</v>
      </c>
      <c r="F1247" s="18">
        <v>57</v>
      </c>
      <c r="G1247" s="20">
        <v>113784</v>
      </c>
      <c r="H1247" s="18">
        <v>-216</v>
      </c>
      <c r="I1247" s="20">
        <v>115995</v>
      </c>
      <c r="J1247" s="8">
        <f t="shared" si="57"/>
        <v>-2211</v>
      </c>
      <c r="K1247" s="10">
        <f t="shared" si="58"/>
        <v>-1.943155452436195E-2</v>
      </c>
      <c r="L1247" s="17">
        <f t="shared" si="59"/>
        <v>1.8983336848766082E-3</v>
      </c>
      <c r="M1247" t="str">
        <f>VLOOKUP(D1247,'Jer-Tip-Emp'!B:E,4,0)</f>
        <v>Arma tu plato</v>
      </c>
      <c r="N1247" t="str">
        <f>VLOOKUP(D1247,'Jer-Tip-Emp'!B:F,5,0)</f>
        <v>Personal</v>
      </c>
      <c r="O1247" t="str">
        <f>VLOOKUP(D1247,'Jer-Tip-Emp'!B:G,6,0)</f>
        <v>Caja</v>
      </c>
    </row>
    <row r="1248" spans="1:15" ht="27.5" hidden="1" customHeight="1" x14ac:dyDescent="0.2">
      <c r="A1248">
        <v>2025</v>
      </c>
      <c r="B1248" t="s">
        <v>616</v>
      </c>
      <c r="C1248" t="s">
        <v>609</v>
      </c>
      <c r="D1248" s="19" t="s">
        <v>327</v>
      </c>
      <c r="E1248" s="18" t="s">
        <v>44</v>
      </c>
      <c r="F1248" s="18">
        <v>57</v>
      </c>
      <c r="G1248" s="20">
        <v>279300</v>
      </c>
      <c r="H1248" s="18">
        <v>0</v>
      </c>
      <c r="I1248" s="20">
        <v>62415</v>
      </c>
      <c r="J1248" s="8">
        <f t="shared" si="57"/>
        <v>216885</v>
      </c>
      <c r="K1248" s="10">
        <f t="shared" si="58"/>
        <v>0.77653061224489794</v>
      </c>
      <c r="L1248" s="17">
        <f t="shared" si="59"/>
        <v>0</v>
      </c>
      <c r="M1248" t="str">
        <f>VLOOKUP(D1248,'Jer-Tip-Emp'!B:E,4,0)</f>
        <v>Bebidas</v>
      </c>
      <c r="N1248" t="str">
        <f>VLOOKUP(D1248,'Jer-Tip-Emp'!B:F,5,0)</f>
        <v>Bebidas</v>
      </c>
      <c r="O1248" t="str">
        <f>VLOOKUP(D1248,'Jer-Tip-Emp'!B:G,6,0)</f>
        <v>Bebidas</v>
      </c>
    </row>
    <row r="1249" spans="1:15" ht="27.5" hidden="1" customHeight="1" x14ac:dyDescent="0.2">
      <c r="A1249">
        <v>2025</v>
      </c>
      <c r="B1249" t="s">
        <v>616</v>
      </c>
      <c r="C1249" t="s">
        <v>609</v>
      </c>
      <c r="D1249" s="19" t="s">
        <v>176</v>
      </c>
      <c r="E1249" s="18" t="s">
        <v>544</v>
      </c>
      <c r="F1249" s="18">
        <v>56</v>
      </c>
      <c r="G1249" s="20">
        <v>55551</v>
      </c>
      <c r="H1249" s="18">
        <v>-449</v>
      </c>
      <c r="I1249" s="20">
        <v>108920</v>
      </c>
      <c r="J1249" s="8">
        <f t="shared" si="57"/>
        <v>-53369</v>
      </c>
      <c r="K1249" s="10">
        <f t="shared" si="58"/>
        <v>-0.96072077910388654</v>
      </c>
      <c r="L1249" s="17">
        <f t="shared" si="59"/>
        <v>8.0826627783478246E-3</v>
      </c>
      <c r="M1249" t="str">
        <f>VLOOKUP(D1249,'Jer-Tip-Emp'!B:E,4,0)</f>
        <v>Bebidas</v>
      </c>
      <c r="N1249" t="str">
        <f>VLOOKUP(D1249,'Jer-Tip-Emp'!B:F,5,0)</f>
        <v>Bebidas Cambio de bebida</v>
      </c>
      <c r="O1249" t="str">
        <f>VLOOKUP(D1249,'Jer-Tip-Emp'!B:G,6,0)</f>
        <v>Bebidas</v>
      </c>
    </row>
    <row r="1250" spans="1:15" ht="27.5" customHeight="1" x14ac:dyDescent="0.2">
      <c r="A1250">
        <v>2025</v>
      </c>
      <c r="B1250" t="s">
        <v>616</v>
      </c>
      <c r="C1250" t="s">
        <v>609</v>
      </c>
      <c r="D1250" s="19" t="s">
        <v>223</v>
      </c>
      <c r="E1250" s="18" t="s">
        <v>116</v>
      </c>
      <c r="F1250" s="18">
        <v>53</v>
      </c>
      <c r="G1250" s="20">
        <v>1425700</v>
      </c>
      <c r="H1250" s="18">
        <v>0</v>
      </c>
      <c r="I1250" s="20">
        <v>722814</v>
      </c>
      <c r="J1250" s="8">
        <f t="shared" si="57"/>
        <v>702886</v>
      </c>
      <c r="K1250" s="10">
        <f t="shared" si="58"/>
        <v>0.4930111524163569</v>
      </c>
      <c r="L1250" s="17">
        <f t="shared" si="59"/>
        <v>0</v>
      </c>
      <c r="M1250" t="str">
        <f>VLOOKUP(D1250,'Jer-Tip-Emp'!B:E,4,0)</f>
        <v>Platos especiales</v>
      </c>
      <c r="N1250" t="str">
        <f>VLOOKUP(D1250,'Jer-Tip-Emp'!B:F,5,0)</f>
        <v>Personal</v>
      </c>
      <c r="O1250" t="str">
        <f>VLOOKUP(D1250,'Jer-Tip-Emp'!B:G,6,0)</f>
        <v>Platos especiales</v>
      </c>
    </row>
    <row r="1251" spans="1:15" ht="27.5" customHeight="1" x14ac:dyDescent="0.2">
      <c r="A1251">
        <v>2025</v>
      </c>
      <c r="B1251" t="s">
        <v>616</v>
      </c>
      <c r="C1251" t="s">
        <v>609</v>
      </c>
      <c r="D1251" s="19" t="s">
        <v>470</v>
      </c>
      <c r="E1251" s="18" t="s">
        <v>550</v>
      </c>
      <c r="F1251" s="18">
        <v>48</v>
      </c>
      <c r="G1251" s="18">
        <v>0</v>
      </c>
      <c r="H1251" s="18">
        <v>0</v>
      </c>
      <c r="I1251" s="20">
        <v>148656</v>
      </c>
      <c r="J1251" s="8">
        <f t="shared" si="57"/>
        <v>-148656</v>
      </c>
      <c r="K1251" s="10">
        <f t="shared" si="58"/>
        <v>0</v>
      </c>
      <c r="L1251" s="17">
        <f t="shared" si="59"/>
        <v>0</v>
      </c>
      <c r="M1251" t="str">
        <f>VLOOKUP(D1251,'Jer-Tip-Emp'!B:E,4,0)</f>
        <v>Arma tu plato</v>
      </c>
      <c r="N1251" t="str">
        <f>VLOOKUP(D1251,'Jer-Tip-Emp'!B:F,5,0)</f>
        <v>Personal</v>
      </c>
      <c r="O1251" t="str">
        <f>VLOOKUP(D1251,'Jer-Tip-Emp'!B:G,6,0)</f>
        <v>Caja</v>
      </c>
    </row>
    <row r="1252" spans="1:15" ht="27.5" customHeight="1" x14ac:dyDescent="0.2">
      <c r="A1252">
        <v>2025</v>
      </c>
      <c r="B1252" t="s">
        <v>616</v>
      </c>
      <c r="C1252" t="s">
        <v>609</v>
      </c>
      <c r="D1252" s="19" t="s">
        <v>448</v>
      </c>
      <c r="E1252" s="18" t="s">
        <v>552</v>
      </c>
      <c r="F1252" s="18">
        <v>40</v>
      </c>
      <c r="G1252" s="18">
        <v>0</v>
      </c>
      <c r="H1252" s="18">
        <v>0</v>
      </c>
      <c r="I1252" s="20">
        <v>210520</v>
      </c>
      <c r="J1252" s="8">
        <f t="shared" si="57"/>
        <v>-210520</v>
      </c>
      <c r="K1252" s="10">
        <f t="shared" si="58"/>
        <v>0</v>
      </c>
      <c r="L1252" s="17">
        <f t="shared" si="59"/>
        <v>0</v>
      </c>
      <c r="M1252" t="str">
        <f>VLOOKUP(D1252,'Jer-Tip-Emp'!B:E,4,0)</f>
        <v>Arma tu plato</v>
      </c>
      <c r="N1252" t="str">
        <f>VLOOKUP(D1252,'Jer-Tip-Emp'!B:F,5,0)</f>
        <v>Personal</v>
      </c>
      <c r="O1252" t="str">
        <f>VLOOKUP(D1252,'Jer-Tip-Emp'!B:G,6,0)</f>
        <v>Caja</v>
      </c>
    </row>
    <row r="1253" spans="1:15" ht="27.5" hidden="1" customHeight="1" x14ac:dyDescent="0.2">
      <c r="A1253">
        <v>2025</v>
      </c>
      <c r="B1253" t="s">
        <v>616</v>
      </c>
      <c r="C1253" t="s">
        <v>609</v>
      </c>
      <c r="D1253" s="19" t="s">
        <v>309</v>
      </c>
      <c r="E1253" s="18" t="s">
        <v>48</v>
      </c>
      <c r="F1253" s="18">
        <v>33</v>
      </c>
      <c r="G1253" s="20">
        <v>128700</v>
      </c>
      <c r="H1253" s="18">
        <v>0</v>
      </c>
      <c r="I1253" s="20">
        <v>38379</v>
      </c>
      <c r="J1253" s="8">
        <f t="shared" si="57"/>
        <v>90321</v>
      </c>
      <c r="K1253" s="10">
        <f t="shared" si="58"/>
        <v>0.70179487179487177</v>
      </c>
      <c r="L1253" s="17">
        <f t="shared" si="59"/>
        <v>0</v>
      </c>
      <c r="M1253" t="str">
        <f>VLOOKUP(D1253,'Jer-Tip-Emp'!B:E,4,0)</f>
        <v>Bebidas</v>
      </c>
      <c r="N1253" t="str">
        <f>VLOOKUP(D1253,'Jer-Tip-Emp'!B:F,5,0)</f>
        <v>Bebidas</v>
      </c>
      <c r="O1253" t="str">
        <f>VLOOKUP(D1253,'Jer-Tip-Emp'!B:G,6,0)</f>
        <v>Bebidas</v>
      </c>
    </row>
    <row r="1254" spans="1:15" ht="27.5" customHeight="1" x14ac:dyDescent="0.2">
      <c r="A1254">
        <v>2025</v>
      </c>
      <c r="B1254" t="s">
        <v>616</v>
      </c>
      <c r="C1254" t="s">
        <v>609</v>
      </c>
      <c r="D1254" s="19" t="s">
        <v>303</v>
      </c>
      <c r="E1254" s="18" t="s">
        <v>120</v>
      </c>
      <c r="F1254" s="18">
        <v>30</v>
      </c>
      <c r="G1254" s="20">
        <v>687000</v>
      </c>
      <c r="H1254" s="18">
        <v>0</v>
      </c>
      <c r="I1254" s="20">
        <v>225420</v>
      </c>
      <c r="J1254" s="8">
        <f t="shared" si="57"/>
        <v>461580</v>
      </c>
      <c r="K1254" s="10">
        <f t="shared" si="58"/>
        <v>0.67187772925764189</v>
      </c>
      <c r="L1254" s="17">
        <f t="shared" si="59"/>
        <v>0</v>
      </c>
      <c r="M1254" t="str">
        <f>VLOOKUP(D1254,'Jer-Tip-Emp'!B:E,4,0)</f>
        <v>Platos mong</v>
      </c>
      <c r="N1254" t="str">
        <f>VLOOKUP(D1254,'Jer-Tip-Emp'!B:F,5,0)</f>
        <v>Personal</v>
      </c>
      <c r="O1254" t="str">
        <f>VLOOKUP(D1254,'Jer-Tip-Emp'!B:G,6,0)</f>
        <v>Caja</v>
      </c>
    </row>
    <row r="1255" spans="1:15" ht="27.5" hidden="1" customHeight="1" x14ac:dyDescent="0.2">
      <c r="A1255">
        <v>2025</v>
      </c>
      <c r="B1255" t="s">
        <v>616</v>
      </c>
      <c r="C1255" t="s">
        <v>609</v>
      </c>
      <c r="D1255" s="19" t="s">
        <v>351</v>
      </c>
      <c r="E1255" s="18" t="s">
        <v>55</v>
      </c>
      <c r="F1255" s="18">
        <v>29</v>
      </c>
      <c r="G1255" s="20">
        <v>171100</v>
      </c>
      <c r="H1255" s="18">
        <v>0</v>
      </c>
      <c r="I1255" s="20">
        <v>41992</v>
      </c>
      <c r="J1255" s="8">
        <f t="shared" si="57"/>
        <v>129108</v>
      </c>
      <c r="K1255" s="10">
        <f t="shared" si="58"/>
        <v>0.75457627118644066</v>
      </c>
      <c r="L1255" s="17">
        <f t="shared" si="59"/>
        <v>0</v>
      </c>
      <c r="M1255" t="str">
        <f>VLOOKUP(D1255,'Jer-Tip-Emp'!B:E,4,0)</f>
        <v>Bebidas</v>
      </c>
      <c r="N1255" t="str">
        <f>VLOOKUP(D1255,'Jer-Tip-Emp'!B:F,5,0)</f>
        <v>Bebidas</v>
      </c>
      <c r="O1255" t="str">
        <f>VLOOKUP(D1255,'Jer-Tip-Emp'!B:G,6,0)</f>
        <v>Bebidas</v>
      </c>
    </row>
    <row r="1256" spans="1:15" ht="27.5" customHeight="1" x14ac:dyDescent="0.2">
      <c r="A1256">
        <v>2025</v>
      </c>
      <c r="B1256" t="s">
        <v>616</v>
      </c>
      <c r="C1256" t="s">
        <v>609</v>
      </c>
      <c r="D1256" s="19" t="s">
        <v>219</v>
      </c>
      <c r="E1256" s="18" t="s">
        <v>111</v>
      </c>
      <c r="F1256" s="18">
        <v>28</v>
      </c>
      <c r="G1256" s="20">
        <v>753200</v>
      </c>
      <c r="H1256" s="18">
        <v>0</v>
      </c>
      <c r="I1256" s="20">
        <v>379876</v>
      </c>
      <c r="J1256" s="8">
        <f t="shared" si="57"/>
        <v>373324</v>
      </c>
      <c r="K1256" s="10">
        <f t="shared" si="58"/>
        <v>0.49565055762081783</v>
      </c>
      <c r="L1256" s="17">
        <f t="shared" si="59"/>
        <v>0</v>
      </c>
      <c r="M1256" t="str">
        <f>VLOOKUP(D1256,'Jer-Tip-Emp'!B:E,4,0)</f>
        <v>Platos especiales</v>
      </c>
      <c r="N1256" t="str">
        <f>VLOOKUP(D1256,'Jer-Tip-Emp'!B:F,5,0)</f>
        <v>Personal</v>
      </c>
      <c r="O1256" t="str">
        <f>VLOOKUP(D1256,'Jer-Tip-Emp'!B:G,6,0)</f>
        <v>Platos especiales</v>
      </c>
    </row>
    <row r="1257" spans="1:15" ht="27.5" customHeight="1" x14ac:dyDescent="0.2">
      <c r="A1257">
        <v>2025</v>
      </c>
      <c r="B1257" t="s">
        <v>616</v>
      </c>
      <c r="C1257" t="s">
        <v>609</v>
      </c>
      <c r="D1257" s="19" t="s">
        <v>244</v>
      </c>
      <c r="E1257" s="18" t="s">
        <v>113</v>
      </c>
      <c r="F1257" s="18">
        <v>23</v>
      </c>
      <c r="G1257" s="20">
        <v>664700</v>
      </c>
      <c r="H1257" s="18">
        <v>0</v>
      </c>
      <c r="I1257" s="20">
        <v>174915</v>
      </c>
      <c r="J1257" s="8">
        <f t="shared" si="57"/>
        <v>489785</v>
      </c>
      <c r="K1257" s="10">
        <f t="shared" si="58"/>
        <v>0.73685121107266438</v>
      </c>
      <c r="L1257" s="17">
        <f t="shared" si="59"/>
        <v>0</v>
      </c>
      <c r="M1257" t="str">
        <f>VLOOKUP(D1257,'Jer-Tip-Emp'!B:E,4,0)</f>
        <v>Platos especiales</v>
      </c>
      <c r="N1257" t="str">
        <f>VLOOKUP(D1257,'Jer-Tip-Emp'!B:F,5,0)</f>
        <v>Personal</v>
      </c>
      <c r="O1257" t="str">
        <f>VLOOKUP(D1257,'Jer-Tip-Emp'!B:G,6,0)</f>
        <v>Platos especiales</v>
      </c>
    </row>
    <row r="1258" spans="1:15" ht="27.5" hidden="1" customHeight="1" x14ac:dyDescent="0.2">
      <c r="A1258">
        <v>2025</v>
      </c>
      <c r="B1258" t="s">
        <v>616</v>
      </c>
      <c r="C1258" t="s">
        <v>609</v>
      </c>
      <c r="D1258" s="19" t="s">
        <v>408</v>
      </c>
      <c r="E1258" s="18" t="s">
        <v>35</v>
      </c>
      <c r="F1258" s="18">
        <v>23</v>
      </c>
      <c r="G1258" s="20">
        <v>80500</v>
      </c>
      <c r="H1258" s="18">
        <v>0</v>
      </c>
      <c r="I1258" s="20">
        <v>19964</v>
      </c>
      <c r="J1258" s="8">
        <f t="shared" si="57"/>
        <v>60536</v>
      </c>
      <c r="K1258" s="10">
        <f t="shared" si="58"/>
        <v>0.752</v>
      </c>
      <c r="L1258" s="17">
        <f t="shared" si="59"/>
        <v>0</v>
      </c>
      <c r="M1258" t="str">
        <f>VLOOKUP(D1258,'Jer-Tip-Emp'!B:E,4,0)</f>
        <v>Bebidas</v>
      </c>
      <c r="N1258" t="str">
        <f>VLOOKUP(D1258,'Jer-Tip-Emp'!B:F,5,0)</f>
        <v>Bebidas</v>
      </c>
      <c r="O1258" t="str">
        <f>VLOOKUP(D1258,'Jer-Tip-Emp'!B:G,6,0)</f>
        <v>Bebidas</v>
      </c>
    </row>
    <row r="1259" spans="1:15" ht="27.5" customHeight="1" x14ac:dyDescent="0.2">
      <c r="A1259">
        <v>2025</v>
      </c>
      <c r="B1259" t="s">
        <v>616</v>
      </c>
      <c r="C1259" t="s">
        <v>609</v>
      </c>
      <c r="D1259" s="19" t="s">
        <v>474</v>
      </c>
      <c r="E1259" s="18" t="s">
        <v>553</v>
      </c>
      <c r="F1259" s="18">
        <v>22</v>
      </c>
      <c r="G1259" s="18">
        <v>0</v>
      </c>
      <c r="H1259" s="18">
        <v>0</v>
      </c>
      <c r="I1259" s="20">
        <v>62678</v>
      </c>
      <c r="J1259" s="8">
        <f t="shared" si="57"/>
        <v>-62678</v>
      </c>
      <c r="K1259" s="10">
        <f t="shared" si="58"/>
        <v>0</v>
      </c>
      <c r="L1259" s="17">
        <f t="shared" si="59"/>
        <v>0</v>
      </c>
      <c r="M1259" t="str">
        <f>VLOOKUP(D1259,'Jer-Tip-Emp'!B:E,4,0)</f>
        <v>Arma tu plato</v>
      </c>
      <c r="N1259" t="str">
        <f>VLOOKUP(D1259,'Jer-Tip-Emp'!B:F,5,0)</f>
        <v>Personal</v>
      </c>
      <c r="O1259" t="str">
        <f>VLOOKUP(D1259,'Jer-Tip-Emp'!B:G,6,0)</f>
        <v>Caja</v>
      </c>
    </row>
    <row r="1260" spans="1:15" ht="27.5" hidden="1" customHeight="1" x14ac:dyDescent="0.2">
      <c r="A1260">
        <v>2025</v>
      </c>
      <c r="B1260" t="s">
        <v>616</v>
      </c>
      <c r="C1260" t="s">
        <v>609</v>
      </c>
      <c r="D1260" s="19" t="s">
        <v>262</v>
      </c>
      <c r="E1260" s="18" t="s">
        <v>102</v>
      </c>
      <c r="F1260" s="18">
        <v>21</v>
      </c>
      <c r="G1260" s="20">
        <v>354900</v>
      </c>
      <c r="H1260" s="18">
        <v>0</v>
      </c>
      <c r="I1260" s="20">
        <v>130515</v>
      </c>
      <c r="J1260" s="8">
        <f t="shared" si="57"/>
        <v>224385</v>
      </c>
      <c r="K1260" s="10">
        <f t="shared" si="58"/>
        <v>0.63224852071005921</v>
      </c>
      <c r="L1260" s="17">
        <f t="shared" si="59"/>
        <v>0</v>
      </c>
      <c r="M1260" t="str">
        <f>VLOOKUP(D1260,'Jer-Tip-Emp'!B:E,4,0)</f>
        <v>Entradas</v>
      </c>
      <c r="N1260" t="str">
        <f>VLOOKUP(D1260,'Jer-Tip-Emp'!B:F,5,0)</f>
        <v>Otro</v>
      </c>
      <c r="O1260" t="str">
        <f>VLOOKUP(D1260,'Jer-Tip-Emp'!B:G,6,0)</f>
        <v>Otro</v>
      </c>
    </row>
    <row r="1261" spans="1:15" ht="27.5" customHeight="1" x14ac:dyDescent="0.2">
      <c r="A1261">
        <v>2025</v>
      </c>
      <c r="B1261" t="s">
        <v>616</v>
      </c>
      <c r="C1261" t="s">
        <v>609</v>
      </c>
      <c r="D1261" s="19" t="s">
        <v>246</v>
      </c>
      <c r="E1261" s="18" t="s">
        <v>29</v>
      </c>
      <c r="F1261" s="18">
        <v>20</v>
      </c>
      <c r="G1261" s="20">
        <v>158000</v>
      </c>
      <c r="H1261" s="18">
        <v>0</v>
      </c>
      <c r="I1261" s="18">
        <v>0</v>
      </c>
      <c r="J1261" s="8">
        <f t="shared" si="57"/>
        <v>158000</v>
      </c>
      <c r="K1261" s="10">
        <f t="shared" si="58"/>
        <v>1</v>
      </c>
      <c r="L1261" s="17">
        <f t="shared" si="59"/>
        <v>0</v>
      </c>
      <c r="M1261" t="str">
        <f>VLOOKUP(D1261,'Jer-Tip-Emp'!B:E,4,0)</f>
        <v>Armalo en combo</v>
      </c>
      <c r="N1261" t="str">
        <f>VLOOKUP(D1261,'Jer-Tip-Emp'!B:F,5,0)</f>
        <v>Personal</v>
      </c>
      <c r="O1261" t="str">
        <f>VLOOKUP(D1261,'Jer-Tip-Emp'!B:G,6,0)</f>
        <v>Combo</v>
      </c>
    </row>
    <row r="1262" spans="1:15" ht="27.5" customHeight="1" x14ac:dyDescent="0.2">
      <c r="A1262">
        <v>2025</v>
      </c>
      <c r="B1262" t="s">
        <v>616</v>
      </c>
      <c r="C1262" t="s">
        <v>609</v>
      </c>
      <c r="D1262" s="19" t="s">
        <v>224</v>
      </c>
      <c r="E1262" s="18" t="s">
        <v>114</v>
      </c>
      <c r="F1262" s="18">
        <v>20</v>
      </c>
      <c r="G1262" s="20">
        <v>498000</v>
      </c>
      <c r="H1262" s="18">
        <v>0</v>
      </c>
      <c r="I1262" s="20">
        <v>254360</v>
      </c>
      <c r="J1262" s="8">
        <f t="shared" si="57"/>
        <v>243640</v>
      </c>
      <c r="K1262" s="10">
        <f t="shared" si="58"/>
        <v>0.48923694779116467</v>
      </c>
      <c r="L1262" s="17">
        <f t="shared" si="59"/>
        <v>0</v>
      </c>
      <c r="M1262" t="str">
        <f>VLOOKUP(D1262,'Jer-Tip-Emp'!B:E,4,0)</f>
        <v>Platos especiales</v>
      </c>
      <c r="N1262" t="str">
        <f>VLOOKUP(D1262,'Jer-Tip-Emp'!B:F,5,0)</f>
        <v>Personal</v>
      </c>
      <c r="O1262" t="str">
        <f>VLOOKUP(D1262,'Jer-Tip-Emp'!B:G,6,0)</f>
        <v>Platos especiales</v>
      </c>
    </row>
    <row r="1263" spans="1:15" ht="27.5" hidden="1" customHeight="1" x14ac:dyDescent="0.2">
      <c r="A1263">
        <v>2025</v>
      </c>
      <c r="B1263" t="s">
        <v>616</v>
      </c>
      <c r="C1263" t="s">
        <v>609</v>
      </c>
      <c r="D1263" s="19" t="s">
        <v>336</v>
      </c>
      <c r="E1263" s="18" t="s">
        <v>60</v>
      </c>
      <c r="F1263" s="18">
        <v>19</v>
      </c>
      <c r="G1263" s="20">
        <v>93100</v>
      </c>
      <c r="H1263" s="18">
        <v>0</v>
      </c>
      <c r="I1263" s="20">
        <v>29640</v>
      </c>
      <c r="J1263" s="8">
        <f t="shared" si="57"/>
        <v>63460</v>
      </c>
      <c r="K1263" s="10">
        <f t="shared" si="58"/>
        <v>0.68163265306122445</v>
      </c>
      <c r="L1263" s="17">
        <f t="shared" si="59"/>
        <v>0</v>
      </c>
      <c r="M1263" t="str">
        <f>VLOOKUP(D1263,'Jer-Tip-Emp'!B:E,4,0)</f>
        <v>Bebidas</v>
      </c>
      <c r="N1263" t="str">
        <f>VLOOKUP(D1263,'Jer-Tip-Emp'!B:F,5,0)</f>
        <v>Bebidas</v>
      </c>
      <c r="O1263" t="str">
        <f>VLOOKUP(D1263,'Jer-Tip-Emp'!B:G,6,0)</f>
        <v>Bebidas</v>
      </c>
    </row>
    <row r="1264" spans="1:15" ht="27.5" customHeight="1" x14ac:dyDescent="0.2">
      <c r="A1264">
        <v>2025</v>
      </c>
      <c r="B1264" t="s">
        <v>616</v>
      </c>
      <c r="C1264" t="s">
        <v>609</v>
      </c>
      <c r="D1264" s="19" t="s">
        <v>245</v>
      </c>
      <c r="E1264" s="18" t="s">
        <v>167</v>
      </c>
      <c r="F1264" s="18">
        <v>19</v>
      </c>
      <c r="G1264" s="20">
        <v>316361</v>
      </c>
      <c r="H1264" s="20">
        <v>-61739</v>
      </c>
      <c r="I1264" s="18">
        <v>0</v>
      </c>
      <c r="J1264" s="8">
        <f t="shared" si="57"/>
        <v>316361</v>
      </c>
      <c r="K1264" s="10">
        <f t="shared" si="58"/>
        <v>1</v>
      </c>
      <c r="L1264" s="17">
        <f t="shared" si="59"/>
        <v>0.19515363777456765</v>
      </c>
      <c r="M1264" t="str">
        <f>VLOOKUP(D1264,'Jer-Tip-Emp'!B:E,4,0)</f>
        <v>Mong Express</v>
      </c>
      <c r="N1264" t="str">
        <f>VLOOKUP(D1264,'Jer-Tip-Emp'!B:F,5,0)</f>
        <v>Personal</v>
      </c>
      <c r="O1264" t="str">
        <f>VLOOKUP(D1264,'Jer-Tip-Emp'!B:G,6,0)</f>
        <v>Caja</v>
      </c>
    </row>
    <row r="1265" spans="1:15" ht="27.5" customHeight="1" x14ac:dyDescent="0.2">
      <c r="A1265">
        <v>2025</v>
      </c>
      <c r="B1265" t="s">
        <v>616</v>
      </c>
      <c r="C1265" t="s">
        <v>609</v>
      </c>
      <c r="D1265" s="19" t="s">
        <v>295</v>
      </c>
      <c r="E1265" s="18" t="s">
        <v>110</v>
      </c>
      <c r="F1265" s="18">
        <v>19</v>
      </c>
      <c r="G1265" s="20">
        <v>378100</v>
      </c>
      <c r="H1265" s="18">
        <v>0</v>
      </c>
      <c r="I1265" s="20">
        <v>128592</v>
      </c>
      <c r="J1265" s="8">
        <f t="shared" si="57"/>
        <v>249508</v>
      </c>
      <c r="K1265" s="10">
        <f t="shared" si="58"/>
        <v>0.65989949748743715</v>
      </c>
      <c r="L1265" s="17">
        <f t="shared" si="59"/>
        <v>0</v>
      </c>
      <c r="M1265" t="str">
        <f>VLOOKUP(D1265,'Jer-Tip-Emp'!B:E,4,0)</f>
        <v>Platos mong</v>
      </c>
      <c r="N1265" t="str">
        <f>VLOOKUP(D1265,'Jer-Tip-Emp'!B:F,5,0)</f>
        <v>Personal</v>
      </c>
      <c r="O1265" t="str">
        <f>VLOOKUP(D1265,'Jer-Tip-Emp'!B:G,6,0)</f>
        <v>Caja</v>
      </c>
    </row>
    <row r="1266" spans="1:15" ht="27.5" hidden="1" customHeight="1" x14ac:dyDescent="0.2">
      <c r="A1266">
        <v>2025</v>
      </c>
      <c r="B1266" t="s">
        <v>616</v>
      </c>
      <c r="C1266" t="s">
        <v>609</v>
      </c>
      <c r="D1266" s="19" t="s">
        <v>382</v>
      </c>
      <c r="E1266" s="18" t="s">
        <v>42</v>
      </c>
      <c r="F1266" s="18">
        <v>18</v>
      </c>
      <c r="G1266" s="20">
        <v>88200</v>
      </c>
      <c r="H1266" s="18">
        <v>0</v>
      </c>
      <c r="I1266" s="20">
        <v>24714</v>
      </c>
      <c r="J1266" s="8">
        <f t="shared" si="57"/>
        <v>63486</v>
      </c>
      <c r="K1266" s="10">
        <f t="shared" si="58"/>
        <v>0.71979591836734691</v>
      </c>
      <c r="L1266" s="17">
        <f t="shared" si="59"/>
        <v>0</v>
      </c>
      <c r="M1266" t="str">
        <f>VLOOKUP(D1266,'Jer-Tip-Emp'!B:E,4,0)</f>
        <v>Bebidas</v>
      </c>
      <c r="N1266" t="str">
        <f>VLOOKUP(D1266,'Jer-Tip-Emp'!B:F,5,0)</f>
        <v>Bebidas</v>
      </c>
      <c r="O1266" t="str">
        <f>VLOOKUP(D1266,'Jer-Tip-Emp'!B:G,6,0)</f>
        <v>Bebidas</v>
      </c>
    </row>
    <row r="1267" spans="1:15" ht="27.5" customHeight="1" x14ac:dyDescent="0.2">
      <c r="A1267">
        <v>2025</v>
      </c>
      <c r="B1267" t="s">
        <v>616</v>
      </c>
      <c r="C1267" t="s">
        <v>609</v>
      </c>
      <c r="D1267" s="19" t="s">
        <v>206</v>
      </c>
      <c r="E1267" s="18" t="s">
        <v>117</v>
      </c>
      <c r="F1267" s="18">
        <v>18</v>
      </c>
      <c r="G1267" s="20">
        <v>304200</v>
      </c>
      <c r="H1267" s="18">
        <v>0</v>
      </c>
      <c r="I1267" s="20">
        <v>128250</v>
      </c>
      <c r="J1267" s="8">
        <f t="shared" si="57"/>
        <v>175950</v>
      </c>
      <c r="K1267" s="10">
        <f t="shared" si="58"/>
        <v>0.57840236686390534</v>
      </c>
      <c r="L1267" s="17">
        <f t="shared" si="59"/>
        <v>0</v>
      </c>
      <c r="M1267" t="str">
        <f>VLOOKUP(D1267,'Jer-Tip-Emp'!B:E,4,0)</f>
        <v>Platos especiales</v>
      </c>
      <c r="N1267" t="str">
        <f>VLOOKUP(D1267,'Jer-Tip-Emp'!B:F,5,0)</f>
        <v>Personal</v>
      </c>
      <c r="O1267" t="str">
        <f>VLOOKUP(D1267,'Jer-Tip-Emp'!B:G,6,0)</f>
        <v>Platos especiales</v>
      </c>
    </row>
    <row r="1268" spans="1:15" ht="27.5" hidden="1" customHeight="1" x14ac:dyDescent="0.2">
      <c r="A1268">
        <v>2025</v>
      </c>
      <c r="B1268" t="s">
        <v>616</v>
      </c>
      <c r="C1268" t="s">
        <v>609</v>
      </c>
      <c r="D1268" s="19" t="s">
        <v>268</v>
      </c>
      <c r="E1268" s="18" t="s">
        <v>17</v>
      </c>
      <c r="F1268" s="18">
        <v>17</v>
      </c>
      <c r="G1268" s="20">
        <v>93100</v>
      </c>
      <c r="H1268" s="20">
        <v>-7200</v>
      </c>
      <c r="I1268" s="20">
        <v>21794</v>
      </c>
      <c r="J1268" s="8">
        <f t="shared" si="57"/>
        <v>71306</v>
      </c>
      <c r="K1268" s="10">
        <f t="shared" si="58"/>
        <v>0.76590762620837805</v>
      </c>
      <c r="L1268" s="17">
        <f t="shared" si="59"/>
        <v>7.7336197636949516E-2</v>
      </c>
      <c r="M1268" t="str">
        <f>VLOOKUP(D1268,'Jer-Tip-Emp'!B:E,4,0)</f>
        <v>Adición</v>
      </c>
      <c r="N1268" t="str">
        <f>VLOOKUP(D1268,'Jer-Tip-Emp'!B:F,5,0)</f>
        <v>Adición</v>
      </c>
      <c r="O1268" t="str">
        <f>VLOOKUP(D1268,'Jer-Tip-Emp'!B:G,6,0)</f>
        <v>Adición</v>
      </c>
    </row>
    <row r="1269" spans="1:15" ht="27.5" hidden="1" customHeight="1" x14ac:dyDescent="0.2">
      <c r="A1269">
        <v>2025</v>
      </c>
      <c r="B1269" t="s">
        <v>616</v>
      </c>
      <c r="C1269" t="s">
        <v>609</v>
      </c>
      <c r="D1269" s="19" t="s">
        <v>330</v>
      </c>
      <c r="E1269" s="18" t="s">
        <v>38</v>
      </c>
      <c r="F1269" s="18">
        <v>16</v>
      </c>
      <c r="G1269" s="20">
        <v>78400</v>
      </c>
      <c r="H1269" s="18">
        <v>0</v>
      </c>
      <c r="I1269" s="20">
        <v>20608</v>
      </c>
      <c r="J1269" s="8">
        <f t="shared" si="57"/>
        <v>57792</v>
      </c>
      <c r="K1269" s="10">
        <f t="shared" si="58"/>
        <v>0.7371428571428571</v>
      </c>
      <c r="L1269" s="17">
        <f t="shared" si="59"/>
        <v>0</v>
      </c>
      <c r="M1269" t="str">
        <f>VLOOKUP(D1269,'Jer-Tip-Emp'!B:E,4,0)</f>
        <v>Bebidas</v>
      </c>
      <c r="N1269" t="str">
        <f>VLOOKUP(D1269,'Jer-Tip-Emp'!B:F,5,0)</f>
        <v>Bebidas</v>
      </c>
      <c r="O1269" t="str">
        <f>VLOOKUP(D1269,'Jer-Tip-Emp'!B:G,6,0)</f>
        <v>Bebidas</v>
      </c>
    </row>
    <row r="1270" spans="1:15" ht="27.5" customHeight="1" x14ac:dyDescent="0.2">
      <c r="A1270">
        <v>2025</v>
      </c>
      <c r="B1270" t="s">
        <v>616</v>
      </c>
      <c r="C1270" t="s">
        <v>609</v>
      </c>
      <c r="D1270" s="19" t="s">
        <v>180</v>
      </c>
      <c r="E1270" s="18" t="s">
        <v>128</v>
      </c>
      <c r="F1270" s="18">
        <v>16</v>
      </c>
      <c r="G1270" s="20">
        <v>330365</v>
      </c>
      <c r="H1270" s="20">
        <v>-4035</v>
      </c>
      <c r="I1270" s="20">
        <v>109408</v>
      </c>
      <c r="J1270" s="8">
        <f t="shared" si="57"/>
        <v>220957</v>
      </c>
      <c r="K1270" s="10">
        <f t="shared" si="58"/>
        <v>0.66882690357634733</v>
      </c>
      <c r="L1270" s="17">
        <f t="shared" si="59"/>
        <v>1.2213763564542249E-2</v>
      </c>
      <c r="M1270" t="str">
        <f>VLOOKUP(D1270,'Jer-Tip-Emp'!B:E,4,0)</f>
        <v>Platos mong</v>
      </c>
      <c r="N1270" t="str">
        <f>VLOOKUP(D1270,'Jer-Tip-Emp'!B:F,5,0)</f>
        <v>Personal</v>
      </c>
      <c r="O1270" t="str">
        <f>VLOOKUP(D1270,'Jer-Tip-Emp'!B:G,6,0)</f>
        <v>Caja</v>
      </c>
    </row>
    <row r="1271" spans="1:15" ht="27.5" customHeight="1" x14ac:dyDescent="0.2">
      <c r="A1271">
        <v>2025</v>
      </c>
      <c r="B1271" t="s">
        <v>616</v>
      </c>
      <c r="C1271" t="s">
        <v>609</v>
      </c>
      <c r="D1271" s="19" t="s">
        <v>214</v>
      </c>
      <c r="E1271" s="18" t="s">
        <v>81</v>
      </c>
      <c r="F1271" s="18">
        <v>15</v>
      </c>
      <c r="G1271" s="20">
        <v>898500</v>
      </c>
      <c r="H1271" s="18">
        <v>0</v>
      </c>
      <c r="I1271" s="20">
        <v>354570</v>
      </c>
      <c r="J1271" s="8">
        <f t="shared" si="57"/>
        <v>543930</v>
      </c>
      <c r="K1271" s="10">
        <f t="shared" si="58"/>
        <v>0.60537562604340567</v>
      </c>
      <c r="L1271" s="17">
        <f t="shared" si="59"/>
        <v>0</v>
      </c>
      <c r="M1271" t="str">
        <f>VLOOKUP(D1271,'Jer-Tip-Emp'!B:E,4,0)</f>
        <v>Combos para compartir</v>
      </c>
      <c r="N1271" t="str">
        <f>VLOOKUP(D1271,'Jer-Tip-Emp'!B:F,5,0)</f>
        <v>No Personal</v>
      </c>
      <c r="O1271" t="str">
        <f>VLOOKUP(D1271,'Jer-Tip-Emp'!B:G,6,0)</f>
        <v>Combo</v>
      </c>
    </row>
    <row r="1272" spans="1:15" ht="27.5" customHeight="1" x14ac:dyDescent="0.2">
      <c r="A1272">
        <v>2025</v>
      </c>
      <c r="B1272" t="s">
        <v>616</v>
      </c>
      <c r="C1272" t="s">
        <v>609</v>
      </c>
      <c r="D1272" s="19" t="s">
        <v>294</v>
      </c>
      <c r="E1272" s="18" t="s">
        <v>108</v>
      </c>
      <c r="F1272" s="18">
        <v>15</v>
      </c>
      <c r="G1272" s="20">
        <v>260181</v>
      </c>
      <c r="H1272" s="20">
        <v>-38319</v>
      </c>
      <c r="I1272" s="20">
        <v>122745</v>
      </c>
      <c r="J1272" s="8">
        <f t="shared" si="57"/>
        <v>137436</v>
      </c>
      <c r="K1272" s="10">
        <f t="shared" si="58"/>
        <v>0.52823226907422138</v>
      </c>
      <c r="L1272" s="17">
        <f t="shared" si="59"/>
        <v>0.14727824091690017</v>
      </c>
      <c r="M1272" t="str">
        <f>VLOOKUP(D1272,'Jer-Tip-Emp'!B:E,4,0)</f>
        <v>Mong Express</v>
      </c>
      <c r="N1272" t="str">
        <f>VLOOKUP(D1272,'Jer-Tip-Emp'!B:F,5,0)</f>
        <v>Personal</v>
      </c>
      <c r="O1272" t="str">
        <f>VLOOKUP(D1272,'Jer-Tip-Emp'!B:G,6,0)</f>
        <v>Caja</v>
      </c>
    </row>
    <row r="1273" spans="1:15" ht="27.5" hidden="1" customHeight="1" x14ac:dyDescent="0.2">
      <c r="A1273">
        <v>2025</v>
      </c>
      <c r="B1273" t="s">
        <v>616</v>
      </c>
      <c r="C1273" t="s">
        <v>609</v>
      </c>
      <c r="D1273" s="19" t="s">
        <v>326</v>
      </c>
      <c r="E1273" s="18" t="s">
        <v>69</v>
      </c>
      <c r="F1273" s="18">
        <v>14</v>
      </c>
      <c r="G1273" s="20">
        <v>68600</v>
      </c>
      <c r="H1273" s="18">
        <v>0</v>
      </c>
      <c r="I1273" s="20">
        <v>18620</v>
      </c>
      <c r="J1273" s="8">
        <f t="shared" si="57"/>
        <v>49980</v>
      </c>
      <c r="K1273" s="10">
        <f t="shared" si="58"/>
        <v>0.72857142857142854</v>
      </c>
      <c r="L1273" s="17">
        <f t="shared" si="59"/>
        <v>0</v>
      </c>
      <c r="M1273" t="str">
        <f>VLOOKUP(D1273,'Jer-Tip-Emp'!B:E,4,0)</f>
        <v>Bebidas</v>
      </c>
      <c r="N1273" t="str">
        <f>VLOOKUP(D1273,'Jer-Tip-Emp'!B:F,5,0)</f>
        <v>Bebidas</v>
      </c>
      <c r="O1273" t="str">
        <f>VLOOKUP(D1273,'Jer-Tip-Emp'!B:G,6,0)</f>
        <v>Bebidas</v>
      </c>
    </row>
    <row r="1274" spans="1:15" ht="27.5" hidden="1" customHeight="1" x14ac:dyDescent="0.2">
      <c r="A1274">
        <v>2025</v>
      </c>
      <c r="B1274" t="s">
        <v>616</v>
      </c>
      <c r="C1274" t="s">
        <v>609</v>
      </c>
      <c r="D1274" s="19" t="s">
        <v>364</v>
      </c>
      <c r="E1274" s="18" t="s">
        <v>51</v>
      </c>
      <c r="F1274" s="18">
        <v>14</v>
      </c>
      <c r="G1274" s="20">
        <v>54457</v>
      </c>
      <c r="H1274" s="18">
        <v>-143</v>
      </c>
      <c r="I1274" s="20">
        <v>18074</v>
      </c>
      <c r="J1274" s="8">
        <f t="shared" si="57"/>
        <v>36383</v>
      </c>
      <c r="K1274" s="10">
        <f t="shared" si="58"/>
        <v>0.6681051104541198</v>
      </c>
      <c r="L1274" s="17">
        <f t="shared" si="59"/>
        <v>2.6259250417760803E-3</v>
      </c>
      <c r="M1274" t="str">
        <f>VLOOKUP(D1274,'Jer-Tip-Emp'!B:E,4,0)</f>
        <v>Bebidas</v>
      </c>
      <c r="N1274" t="str">
        <f>VLOOKUP(D1274,'Jer-Tip-Emp'!B:F,5,0)</f>
        <v>Bebidas</v>
      </c>
      <c r="O1274" t="str">
        <f>VLOOKUP(D1274,'Jer-Tip-Emp'!B:G,6,0)</f>
        <v>Bebidas</v>
      </c>
    </row>
    <row r="1275" spans="1:15" ht="27.5" hidden="1" customHeight="1" x14ac:dyDescent="0.2">
      <c r="A1275">
        <v>2025</v>
      </c>
      <c r="B1275" t="s">
        <v>616</v>
      </c>
      <c r="C1275" t="s">
        <v>609</v>
      </c>
      <c r="D1275" s="19" t="s">
        <v>253</v>
      </c>
      <c r="E1275" s="18" t="s">
        <v>105</v>
      </c>
      <c r="F1275" s="18">
        <v>13</v>
      </c>
      <c r="G1275" s="20">
        <v>63523</v>
      </c>
      <c r="H1275" s="20">
        <v>-1477</v>
      </c>
      <c r="I1275" s="20">
        <v>20397</v>
      </c>
      <c r="J1275" s="8">
        <f t="shared" si="57"/>
        <v>43126</v>
      </c>
      <c r="K1275" s="10">
        <f t="shared" si="58"/>
        <v>0.67890370417014312</v>
      </c>
      <c r="L1275" s="17">
        <f t="shared" si="59"/>
        <v>2.325142074524188E-2</v>
      </c>
      <c r="M1275" t="str">
        <f>VLOOKUP(D1275,'Jer-Tip-Emp'!B:E,4,0)</f>
        <v>Entradas</v>
      </c>
      <c r="N1275" t="str">
        <f>VLOOKUP(D1275,'Jer-Tip-Emp'!B:F,5,0)</f>
        <v>Otro</v>
      </c>
      <c r="O1275" t="str">
        <f>VLOOKUP(D1275,'Jer-Tip-Emp'!B:G,6,0)</f>
        <v>Otro</v>
      </c>
    </row>
    <row r="1276" spans="1:15" ht="27.5" hidden="1" customHeight="1" x14ac:dyDescent="0.2">
      <c r="A1276">
        <v>2025</v>
      </c>
      <c r="B1276" t="s">
        <v>616</v>
      </c>
      <c r="C1276" t="s">
        <v>609</v>
      </c>
      <c r="D1276" s="19" t="s">
        <v>189</v>
      </c>
      <c r="E1276" s="18" t="s">
        <v>21</v>
      </c>
      <c r="F1276" s="18">
        <v>13</v>
      </c>
      <c r="G1276" s="20">
        <v>89700</v>
      </c>
      <c r="H1276" s="18">
        <v>0</v>
      </c>
      <c r="I1276" s="20">
        <v>32032</v>
      </c>
      <c r="J1276" s="8">
        <f t="shared" si="57"/>
        <v>57668</v>
      </c>
      <c r="K1276" s="10">
        <f t="shared" si="58"/>
        <v>0.64289855072463764</v>
      </c>
      <c r="L1276" s="17">
        <f t="shared" si="59"/>
        <v>0</v>
      </c>
      <c r="M1276" t="str">
        <f>VLOOKUP(D1276,'Jer-Tip-Emp'!B:E,4,0)</f>
        <v>Adición</v>
      </c>
      <c r="N1276" t="str">
        <f>VLOOKUP(D1276,'Jer-Tip-Emp'!B:F,5,0)</f>
        <v>Adición</v>
      </c>
      <c r="O1276" t="str">
        <f>VLOOKUP(D1276,'Jer-Tip-Emp'!B:G,6,0)</f>
        <v>Adición</v>
      </c>
    </row>
    <row r="1277" spans="1:15" ht="27.5" customHeight="1" x14ac:dyDescent="0.2">
      <c r="A1277">
        <v>2025</v>
      </c>
      <c r="B1277" t="s">
        <v>616</v>
      </c>
      <c r="C1277" t="s">
        <v>609</v>
      </c>
      <c r="D1277" s="19" t="s">
        <v>205</v>
      </c>
      <c r="E1277" s="18" t="s">
        <v>141</v>
      </c>
      <c r="F1277" s="18">
        <v>12</v>
      </c>
      <c r="G1277" s="20">
        <v>190800</v>
      </c>
      <c r="H1277" s="18">
        <v>0</v>
      </c>
      <c r="I1277" s="20">
        <v>72768</v>
      </c>
      <c r="J1277" s="8">
        <f t="shared" si="57"/>
        <v>118032</v>
      </c>
      <c r="K1277" s="10">
        <f t="shared" si="58"/>
        <v>0.61861635220125788</v>
      </c>
      <c r="L1277" s="17">
        <f t="shared" si="59"/>
        <v>0</v>
      </c>
      <c r="M1277" t="str">
        <f>VLOOKUP(D1277,'Jer-Tip-Emp'!B:E,4,0)</f>
        <v>Platos mong</v>
      </c>
      <c r="N1277" t="str">
        <f>VLOOKUP(D1277,'Jer-Tip-Emp'!B:F,5,0)</f>
        <v>Personal</v>
      </c>
      <c r="O1277" t="str">
        <f>VLOOKUP(D1277,'Jer-Tip-Emp'!B:G,6,0)</f>
        <v>Caja</v>
      </c>
    </row>
    <row r="1278" spans="1:15" ht="27.5" hidden="1" customHeight="1" x14ac:dyDescent="0.2">
      <c r="A1278">
        <v>2025</v>
      </c>
      <c r="B1278" t="s">
        <v>616</v>
      </c>
      <c r="C1278" t="s">
        <v>609</v>
      </c>
      <c r="D1278" s="19" t="s">
        <v>321</v>
      </c>
      <c r="E1278" s="18" t="s">
        <v>72</v>
      </c>
      <c r="F1278" s="18">
        <v>12</v>
      </c>
      <c r="G1278" s="20">
        <v>58800</v>
      </c>
      <c r="H1278" s="18">
        <v>0</v>
      </c>
      <c r="I1278" s="20">
        <v>15960</v>
      </c>
      <c r="J1278" s="8">
        <f t="shared" si="57"/>
        <v>42840</v>
      </c>
      <c r="K1278" s="10">
        <f t="shared" si="58"/>
        <v>0.72857142857142854</v>
      </c>
      <c r="L1278" s="17">
        <f t="shared" si="59"/>
        <v>0</v>
      </c>
      <c r="M1278" t="str">
        <f>VLOOKUP(D1278,'Jer-Tip-Emp'!B:E,4,0)</f>
        <v>Bebidas</v>
      </c>
      <c r="N1278" t="str">
        <f>VLOOKUP(D1278,'Jer-Tip-Emp'!B:F,5,0)</f>
        <v>Bebidas</v>
      </c>
      <c r="O1278" t="str">
        <f>VLOOKUP(D1278,'Jer-Tip-Emp'!B:G,6,0)</f>
        <v>Bebidas</v>
      </c>
    </row>
    <row r="1279" spans="1:15" ht="27.5" hidden="1" customHeight="1" x14ac:dyDescent="0.2">
      <c r="A1279">
        <v>2025</v>
      </c>
      <c r="B1279" t="s">
        <v>616</v>
      </c>
      <c r="C1279" t="s">
        <v>609</v>
      </c>
      <c r="D1279" s="19" t="s">
        <v>335</v>
      </c>
      <c r="E1279" s="18" t="s">
        <v>40</v>
      </c>
      <c r="F1279" s="18">
        <v>12</v>
      </c>
      <c r="G1279" s="20">
        <v>58800</v>
      </c>
      <c r="H1279" s="18">
        <v>0</v>
      </c>
      <c r="I1279" s="20">
        <v>16476</v>
      </c>
      <c r="J1279" s="8">
        <f t="shared" si="57"/>
        <v>42324</v>
      </c>
      <c r="K1279" s="10">
        <f t="shared" si="58"/>
        <v>0.71979591836734691</v>
      </c>
      <c r="L1279" s="17">
        <f t="shared" si="59"/>
        <v>0</v>
      </c>
      <c r="M1279" t="str">
        <f>VLOOKUP(D1279,'Jer-Tip-Emp'!B:E,4,0)</f>
        <v>Bebidas</v>
      </c>
      <c r="N1279" t="str">
        <f>VLOOKUP(D1279,'Jer-Tip-Emp'!B:F,5,0)</f>
        <v>Bebidas</v>
      </c>
      <c r="O1279" t="str">
        <f>VLOOKUP(D1279,'Jer-Tip-Emp'!B:G,6,0)</f>
        <v>Bebidas</v>
      </c>
    </row>
    <row r="1280" spans="1:15" ht="27.5" hidden="1" customHeight="1" x14ac:dyDescent="0.2">
      <c r="A1280">
        <v>2025</v>
      </c>
      <c r="B1280" t="s">
        <v>616</v>
      </c>
      <c r="C1280" t="s">
        <v>609</v>
      </c>
      <c r="D1280" s="19" t="s">
        <v>397</v>
      </c>
      <c r="E1280" s="18" t="s">
        <v>61</v>
      </c>
      <c r="F1280" s="18">
        <v>11</v>
      </c>
      <c r="G1280" s="20">
        <v>53900</v>
      </c>
      <c r="H1280" s="18">
        <v>0</v>
      </c>
      <c r="I1280" s="20">
        <v>20856</v>
      </c>
      <c r="J1280" s="8">
        <f t="shared" si="57"/>
        <v>33044</v>
      </c>
      <c r="K1280" s="10">
        <f t="shared" si="58"/>
        <v>0.61306122448979594</v>
      </c>
      <c r="L1280" s="17">
        <f t="shared" si="59"/>
        <v>0</v>
      </c>
      <c r="M1280" t="str">
        <f>VLOOKUP(D1280,'Jer-Tip-Emp'!B:E,4,0)</f>
        <v>Bebidas</v>
      </c>
      <c r="N1280" t="str">
        <f>VLOOKUP(D1280,'Jer-Tip-Emp'!B:F,5,0)</f>
        <v>Bebidas</v>
      </c>
      <c r="O1280" t="str">
        <f>VLOOKUP(D1280,'Jer-Tip-Emp'!B:G,6,0)</f>
        <v>Bebidas</v>
      </c>
    </row>
    <row r="1281" spans="1:15" ht="27.5" customHeight="1" x14ac:dyDescent="0.2">
      <c r="A1281">
        <v>2025</v>
      </c>
      <c r="B1281" t="s">
        <v>616</v>
      </c>
      <c r="C1281" t="s">
        <v>609</v>
      </c>
      <c r="D1281" s="19" t="s">
        <v>285</v>
      </c>
      <c r="E1281" s="18" t="s">
        <v>146</v>
      </c>
      <c r="F1281" s="18">
        <v>11</v>
      </c>
      <c r="G1281" s="20">
        <v>219000</v>
      </c>
      <c r="H1281" s="20">
        <v>-21900</v>
      </c>
      <c r="I1281" s="20">
        <v>93104</v>
      </c>
      <c r="J1281" s="8">
        <f t="shared" ref="J1281:J1344" si="60">G1281-I1281</f>
        <v>125896</v>
      </c>
      <c r="K1281" s="10">
        <f t="shared" ref="K1281:K1344" si="61">IFERROR(J1281/G1281,0)</f>
        <v>0.57486757990867576</v>
      </c>
      <c r="L1281" s="17">
        <f t="shared" ref="L1281:L1344" si="62">IFERROR((H1281/G1281)*-1,0)</f>
        <v>0.1</v>
      </c>
      <c r="M1281" t="str">
        <f>VLOOKUP(D1281,'Jer-Tip-Emp'!B:E,4,0)</f>
        <v>Platos mong</v>
      </c>
      <c r="N1281" t="str">
        <f>VLOOKUP(D1281,'Jer-Tip-Emp'!B:F,5,0)</f>
        <v>Personal</v>
      </c>
      <c r="O1281" t="str">
        <f>VLOOKUP(D1281,'Jer-Tip-Emp'!B:G,6,0)</f>
        <v>Caja</v>
      </c>
    </row>
    <row r="1282" spans="1:15" ht="27.5" customHeight="1" x14ac:dyDescent="0.2">
      <c r="A1282">
        <v>2025</v>
      </c>
      <c r="B1282" t="s">
        <v>616</v>
      </c>
      <c r="C1282" t="s">
        <v>609</v>
      </c>
      <c r="D1282" s="19" t="s">
        <v>228</v>
      </c>
      <c r="E1282" s="18" t="s">
        <v>96</v>
      </c>
      <c r="F1282" s="18">
        <v>10</v>
      </c>
      <c r="G1282" s="20">
        <v>289000</v>
      </c>
      <c r="H1282" s="18">
        <v>0</v>
      </c>
      <c r="I1282" s="20">
        <v>102470</v>
      </c>
      <c r="J1282" s="8">
        <f t="shared" si="60"/>
        <v>186530</v>
      </c>
      <c r="K1282" s="10">
        <f t="shared" si="61"/>
        <v>0.64543252595155709</v>
      </c>
      <c r="L1282" s="17">
        <f t="shared" si="62"/>
        <v>0</v>
      </c>
      <c r="M1282" t="str">
        <f>VLOOKUP(D1282,'Jer-Tip-Emp'!B:E,4,0)</f>
        <v>Combos personales</v>
      </c>
      <c r="N1282" t="str">
        <f>VLOOKUP(D1282,'Jer-Tip-Emp'!B:F,5,0)</f>
        <v>Personal</v>
      </c>
      <c r="O1282" t="str">
        <f>VLOOKUP(D1282,'Jer-Tip-Emp'!B:G,6,0)</f>
        <v>Combo</v>
      </c>
    </row>
    <row r="1283" spans="1:15" ht="27.5" customHeight="1" x14ac:dyDescent="0.2">
      <c r="A1283">
        <v>2025</v>
      </c>
      <c r="B1283" t="s">
        <v>616</v>
      </c>
      <c r="C1283" t="s">
        <v>609</v>
      </c>
      <c r="D1283" s="19" t="s">
        <v>278</v>
      </c>
      <c r="E1283" s="18" t="s">
        <v>84</v>
      </c>
      <c r="F1283" s="18">
        <v>10</v>
      </c>
      <c r="G1283" s="20">
        <v>209000</v>
      </c>
      <c r="H1283" s="18">
        <v>0</v>
      </c>
      <c r="I1283" s="20">
        <v>79730</v>
      </c>
      <c r="J1283" s="8">
        <f t="shared" si="60"/>
        <v>129270</v>
      </c>
      <c r="K1283" s="10">
        <f t="shared" si="61"/>
        <v>0.61851674641148324</v>
      </c>
      <c r="L1283" s="17">
        <f t="shared" si="62"/>
        <v>0</v>
      </c>
      <c r="M1283" t="str">
        <f>VLOOKUP(D1283,'Jer-Tip-Emp'!B:E,4,0)</f>
        <v>Combos para compartir</v>
      </c>
      <c r="N1283" t="str">
        <f>VLOOKUP(D1283,'Jer-Tip-Emp'!B:F,5,0)</f>
        <v>No Personal</v>
      </c>
      <c r="O1283" t="str">
        <f>VLOOKUP(D1283,'Jer-Tip-Emp'!B:G,6,0)</f>
        <v>Combo</v>
      </c>
    </row>
    <row r="1284" spans="1:15" ht="27.5" customHeight="1" x14ac:dyDescent="0.2">
      <c r="A1284">
        <v>2025</v>
      </c>
      <c r="B1284" t="s">
        <v>616</v>
      </c>
      <c r="C1284" t="s">
        <v>609</v>
      </c>
      <c r="D1284" s="19" t="s">
        <v>235</v>
      </c>
      <c r="E1284" s="18" t="s">
        <v>147</v>
      </c>
      <c r="F1284" s="18">
        <v>10</v>
      </c>
      <c r="G1284" s="20">
        <v>589000</v>
      </c>
      <c r="H1284" s="18">
        <v>0</v>
      </c>
      <c r="I1284" s="20">
        <v>188180</v>
      </c>
      <c r="J1284" s="8">
        <f t="shared" si="60"/>
        <v>400820</v>
      </c>
      <c r="K1284" s="10">
        <f t="shared" si="61"/>
        <v>0.68050933786078094</v>
      </c>
      <c r="L1284" s="17">
        <f t="shared" si="62"/>
        <v>0</v>
      </c>
      <c r="M1284" t="str">
        <f>VLOOKUP(D1284,'Jer-Tip-Emp'!B:E,4,0)</f>
        <v>Platos mong</v>
      </c>
      <c r="N1284" t="str">
        <f>VLOOKUP(D1284,'Jer-Tip-Emp'!B:F,5,0)</f>
        <v>No Personal</v>
      </c>
      <c r="O1284" t="str">
        <f>VLOOKUP(D1284,'Jer-Tip-Emp'!B:G,6,0)</f>
        <v>Caja</v>
      </c>
    </row>
    <row r="1285" spans="1:15" ht="27.5" customHeight="1" x14ac:dyDescent="0.2">
      <c r="A1285">
        <v>2025</v>
      </c>
      <c r="B1285" t="s">
        <v>616</v>
      </c>
      <c r="C1285" t="s">
        <v>609</v>
      </c>
      <c r="D1285" s="19" t="s">
        <v>197</v>
      </c>
      <c r="E1285" s="18" t="s">
        <v>31</v>
      </c>
      <c r="F1285" s="18">
        <v>8</v>
      </c>
      <c r="G1285" s="20">
        <v>63200</v>
      </c>
      <c r="H1285" s="18">
        <v>0</v>
      </c>
      <c r="I1285" s="20">
        <v>25696</v>
      </c>
      <c r="J1285" s="8">
        <f t="shared" si="60"/>
        <v>37504</v>
      </c>
      <c r="K1285" s="10">
        <f t="shared" si="61"/>
        <v>0.59341772151898731</v>
      </c>
      <c r="L1285" s="17">
        <f t="shared" si="62"/>
        <v>0</v>
      </c>
      <c r="M1285" t="str">
        <f>VLOOKUP(D1285,'Jer-Tip-Emp'!B:E,4,0)</f>
        <v>Armalo en combo</v>
      </c>
      <c r="N1285" t="str">
        <f>VLOOKUP(D1285,'Jer-Tip-Emp'!B:F,5,0)</f>
        <v>Personal</v>
      </c>
      <c r="O1285" t="str">
        <f>VLOOKUP(D1285,'Jer-Tip-Emp'!B:G,6,0)</f>
        <v>Combo</v>
      </c>
    </row>
    <row r="1286" spans="1:15" ht="27.5" customHeight="1" x14ac:dyDescent="0.2">
      <c r="A1286">
        <v>2025</v>
      </c>
      <c r="B1286" t="s">
        <v>616</v>
      </c>
      <c r="C1286" t="s">
        <v>609</v>
      </c>
      <c r="D1286" s="19" t="s">
        <v>298</v>
      </c>
      <c r="E1286" s="18" t="s">
        <v>153</v>
      </c>
      <c r="F1286" s="18">
        <v>8</v>
      </c>
      <c r="G1286" s="20">
        <v>167200</v>
      </c>
      <c r="H1286" s="18">
        <v>0</v>
      </c>
      <c r="I1286" s="20">
        <v>68168</v>
      </c>
      <c r="J1286" s="8">
        <f t="shared" si="60"/>
        <v>99032</v>
      </c>
      <c r="K1286" s="10">
        <f t="shared" si="61"/>
        <v>0.59229665071770332</v>
      </c>
      <c r="L1286" s="17">
        <f t="shared" si="62"/>
        <v>0</v>
      </c>
      <c r="M1286" t="str">
        <f>VLOOKUP(D1286,'Jer-Tip-Emp'!B:E,4,0)</f>
        <v>Platos mong</v>
      </c>
      <c r="N1286" t="str">
        <f>VLOOKUP(D1286,'Jer-Tip-Emp'!B:F,5,0)</f>
        <v>Personal</v>
      </c>
      <c r="O1286" t="str">
        <f>VLOOKUP(D1286,'Jer-Tip-Emp'!B:G,6,0)</f>
        <v>Caja</v>
      </c>
    </row>
    <row r="1287" spans="1:15" ht="27.5" hidden="1" customHeight="1" x14ac:dyDescent="0.2">
      <c r="A1287">
        <v>2025</v>
      </c>
      <c r="B1287" t="s">
        <v>616</v>
      </c>
      <c r="C1287" t="s">
        <v>609</v>
      </c>
      <c r="D1287" s="19" t="s">
        <v>218</v>
      </c>
      <c r="E1287" s="18" t="s">
        <v>33</v>
      </c>
      <c r="F1287" s="18">
        <v>8</v>
      </c>
      <c r="G1287" s="20">
        <v>62312</v>
      </c>
      <c r="H1287" s="18">
        <v>-888</v>
      </c>
      <c r="I1287" s="18">
        <v>0</v>
      </c>
      <c r="J1287" s="8">
        <f t="shared" si="60"/>
        <v>62312</v>
      </c>
      <c r="K1287" s="10">
        <f t="shared" si="61"/>
        <v>1</v>
      </c>
      <c r="L1287" s="17">
        <f t="shared" si="62"/>
        <v>1.4250866606753114E-2</v>
      </c>
      <c r="M1287" t="str">
        <f>VLOOKUP(D1287,'Jer-Tip-Emp'!B:E,4,0)</f>
        <v>Adición</v>
      </c>
      <c r="N1287" t="str">
        <f>VLOOKUP(D1287,'Jer-Tip-Emp'!B:F,5,0)</f>
        <v>Adición</v>
      </c>
      <c r="O1287" t="str">
        <f>VLOOKUP(D1287,'Jer-Tip-Emp'!B:G,6,0)</f>
        <v>Adición</v>
      </c>
    </row>
    <row r="1288" spans="1:15" ht="27.5" hidden="1" customHeight="1" x14ac:dyDescent="0.2">
      <c r="A1288">
        <v>2025</v>
      </c>
      <c r="B1288" t="s">
        <v>616</v>
      </c>
      <c r="C1288" t="s">
        <v>609</v>
      </c>
      <c r="D1288" s="19" t="s">
        <v>337</v>
      </c>
      <c r="E1288" s="18" t="s">
        <v>58</v>
      </c>
      <c r="F1288" s="18">
        <v>8</v>
      </c>
      <c r="G1288" s="20">
        <v>39200</v>
      </c>
      <c r="H1288" s="18">
        <v>0</v>
      </c>
      <c r="I1288" s="20">
        <v>12480</v>
      </c>
      <c r="J1288" s="8">
        <f t="shared" si="60"/>
        <v>26720</v>
      </c>
      <c r="K1288" s="10">
        <f t="shared" si="61"/>
        <v>0.68163265306122445</v>
      </c>
      <c r="L1288" s="17">
        <f t="shared" si="62"/>
        <v>0</v>
      </c>
      <c r="M1288" t="str">
        <f>VLOOKUP(D1288,'Jer-Tip-Emp'!B:E,4,0)</f>
        <v>Bebidas</v>
      </c>
      <c r="N1288" t="str">
        <f>VLOOKUP(D1288,'Jer-Tip-Emp'!B:F,5,0)</f>
        <v>Bebidas</v>
      </c>
      <c r="O1288" t="str">
        <f>VLOOKUP(D1288,'Jer-Tip-Emp'!B:G,6,0)</f>
        <v>Bebidas</v>
      </c>
    </row>
    <row r="1289" spans="1:15" ht="27.5" hidden="1" customHeight="1" x14ac:dyDescent="0.2">
      <c r="A1289">
        <v>2025</v>
      </c>
      <c r="B1289" t="s">
        <v>616</v>
      </c>
      <c r="C1289" t="s">
        <v>609</v>
      </c>
      <c r="D1289" s="19" t="s">
        <v>339</v>
      </c>
      <c r="E1289" s="18" t="s">
        <v>65</v>
      </c>
      <c r="F1289" s="18">
        <v>8</v>
      </c>
      <c r="G1289" s="20">
        <v>39200</v>
      </c>
      <c r="H1289" s="18">
        <v>0</v>
      </c>
      <c r="I1289" s="20">
        <v>12480</v>
      </c>
      <c r="J1289" s="8">
        <f t="shared" si="60"/>
        <v>26720</v>
      </c>
      <c r="K1289" s="10">
        <f t="shared" si="61"/>
        <v>0.68163265306122445</v>
      </c>
      <c r="L1289" s="17">
        <f t="shared" si="62"/>
        <v>0</v>
      </c>
      <c r="M1289" t="str">
        <f>VLOOKUP(D1289,'Jer-Tip-Emp'!B:E,4,0)</f>
        <v>Bebidas</v>
      </c>
      <c r="N1289" t="str">
        <f>VLOOKUP(D1289,'Jer-Tip-Emp'!B:F,5,0)</f>
        <v>Bebidas</v>
      </c>
      <c r="O1289" t="str">
        <f>VLOOKUP(D1289,'Jer-Tip-Emp'!B:G,6,0)</f>
        <v>Bebidas</v>
      </c>
    </row>
    <row r="1290" spans="1:15" ht="27.5" hidden="1" customHeight="1" x14ac:dyDescent="0.2">
      <c r="A1290">
        <v>2025</v>
      </c>
      <c r="B1290" t="s">
        <v>616</v>
      </c>
      <c r="C1290" t="s">
        <v>609</v>
      </c>
      <c r="D1290" s="19" t="s">
        <v>369</v>
      </c>
      <c r="E1290" s="18" t="s">
        <v>68</v>
      </c>
      <c r="F1290" s="18">
        <v>7</v>
      </c>
      <c r="G1290" s="20">
        <v>29400</v>
      </c>
      <c r="H1290" s="20">
        <v>-4900</v>
      </c>
      <c r="I1290" s="20">
        <v>9310</v>
      </c>
      <c r="J1290" s="8">
        <f t="shared" si="60"/>
        <v>20090</v>
      </c>
      <c r="K1290" s="10">
        <f t="shared" si="61"/>
        <v>0.68333333333333335</v>
      </c>
      <c r="L1290" s="17">
        <f t="shared" si="62"/>
        <v>0.16666666666666666</v>
      </c>
      <c r="M1290" t="str">
        <f>VLOOKUP(D1290,'Jer-Tip-Emp'!B:E,4,0)</f>
        <v>Bebidas</v>
      </c>
      <c r="N1290" t="str">
        <f>VLOOKUP(D1290,'Jer-Tip-Emp'!B:F,5,0)</f>
        <v>Bebidas</v>
      </c>
      <c r="O1290" t="str">
        <f>VLOOKUP(D1290,'Jer-Tip-Emp'!B:G,6,0)</f>
        <v>Bebidas</v>
      </c>
    </row>
    <row r="1291" spans="1:15" ht="27.5" hidden="1" customHeight="1" x14ac:dyDescent="0.2">
      <c r="A1291">
        <v>2025</v>
      </c>
      <c r="B1291" t="s">
        <v>616</v>
      </c>
      <c r="C1291" t="s">
        <v>609</v>
      </c>
      <c r="D1291" s="19" t="s">
        <v>282</v>
      </c>
      <c r="E1291" s="18" t="s">
        <v>19</v>
      </c>
      <c r="F1291" s="18">
        <v>7</v>
      </c>
      <c r="G1291" s="20">
        <v>41300</v>
      </c>
      <c r="H1291" s="18">
        <v>0</v>
      </c>
      <c r="I1291" s="20">
        <v>28686</v>
      </c>
      <c r="J1291" s="8">
        <f t="shared" si="60"/>
        <v>12614</v>
      </c>
      <c r="K1291" s="10">
        <f t="shared" si="61"/>
        <v>0.30542372881355934</v>
      </c>
      <c r="L1291" s="17">
        <f t="shared" si="62"/>
        <v>0</v>
      </c>
      <c r="M1291" t="str">
        <f>VLOOKUP(D1291,'Jer-Tip-Emp'!B:E,4,0)</f>
        <v>Adición</v>
      </c>
      <c r="N1291" t="str">
        <f>VLOOKUP(D1291,'Jer-Tip-Emp'!B:F,5,0)</f>
        <v>Adición</v>
      </c>
      <c r="O1291" t="str">
        <f>VLOOKUP(D1291,'Jer-Tip-Emp'!B:G,6,0)</f>
        <v>Adición</v>
      </c>
    </row>
    <row r="1292" spans="1:15" ht="27.5" hidden="1" customHeight="1" x14ac:dyDescent="0.2">
      <c r="A1292">
        <v>2025</v>
      </c>
      <c r="B1292" t="s">
        <v>616</v>
      </c>
      <c r="C1292" t="s">
        <v>609</v>
      </c>
      <c r="D1292" s="19" t="s">
        <v>183</v>
      </c>
      <c r="E1292" s="18" t="s">
        <v>104</v>
      </c>
      <c r="F1292" s="18">
        <v>7</v>
      </c>
      <c r="G1292" s="20">
        <v>111300</v>
      </c>
      <c r="H1292" s="18">
        <v>0</v>
      </c>
      <c r="I1292" s="20">
        <v>70196</v>
      </c>
      <c r="J1292" s="8">
        <f t="shared" si="60"/>
        <v>41104</v>
      </c>
      <c r="K1292" s="10">
        <f t="shared" si="61"/>
        <v>0.36930817610062894</v>
      </c>
      <c r="L1292" s="17">
        <f t="shared" si="62"/>
        <v>0</v>
      </c>
      <c r="M1292" t="str">
        <f>VLOOKUP(D1292,'Jer-Tip-Emp'!B:E,4,0)</f>
        <v>Entradas</v>
      </c>
      <c r="N1292" t="str">
        <f>VLOOKUP(D1292,'Jer-Tip-Emp'!B:F,5,0)</f>
        <v>Otro</v>
      </c>
      <c r="O1292" t="str">
        <f>VLOOKUP(D1292,'Jer-Tip-Emp'!B:G,6,0)</f>
        <v>Otro</v>
      </c>
    </row>
    <row r="1293" spans="1:15" ht="27.5" customHeight="1" x14ac:dyDescent="0.2">
      <c r="A1293">
        <v>2025</v>
      </c>
      <c r="B1293" t="s">
        <v>616</v>
      </c>
      <c r="C1293" t="s">
        <v>609</v>
      </c>
      <c r="D1293" s="19" t="s">
        <v>202</v>
      </c>
      <c r="E1293" s="18" t="s">
        <v>142</v>
      </c>
      <c r="F1293" s="18">
        <v>6</v>
      </c>
      <c r="G1293" s="20">
        <v>239400</v>
      </c>
      <c r="H1293" s="18">
        <v>0</v>
      </c>
      <c r="I1293" s="20">
        <v>85386</v>
      </c>
      <c r="J1293" s="8">
        <f t="shared" si="60"/>
        <v>154014</v>
      </c>
      <c r="K1293" s="10">
        <f t="shared" si="61"/>
        <v>0.64333333333333331</v>
      </c>
      <c r="L1293" s="17">
        <f t="shared" si="62"/>
        <v>0</v>
      </c>
      <c r="M1293" t="str">
        <f>VLOOKUP(D1293,'Jer-Tip-Emp'!B:E,4,0)</f>
        <v>Platos mong</v>
      </c>
      <c r="N1293" t="str">
        <f>VLOOKUP(D1293,'Jer-Tip-Emp'!B:F,5,0)</f>
        <v>No Personal</v>
      </c>
      <c r="O1293" t="str">
        <f>VLOOKUP(D1293,'Jer-Tip-Emp'!B:G,6,0)</f>
        <v>Caja</v>
      </c>
    </row>
    <row r="1294" spans="1:15" ht="27.5" hidden="1" customHeight="1" x14ac:dyDescent="0.2">
      <c r="A1294">
        <v>2025</v>
      </c>
      <c r="B1294" t="s">
        <v>616</v>
      </c>
      <c r="C1294" t="s">
        <v>609</v>
      </c>
      <c r="D1294" s="19" t="s">
        <v>444</v>
      </c>
      <c r="E1294" s="18" t="s">
        <v>562</v>
      </c>
      <c r="F1294" s="18">
        <v>6</v>
      </c>
      <c r="G1294" s="20">
        <v>9600</v>
      </c>
      <c r="H1294" s="18">
        <v>0</v>
      </c>
      <c r="I1294" s="20">
        <v>9660</v>
      </c>
      <c r="J1294" s="8">
        <f t="shared" si="60"/>
        <v>-60</v>
      </c>
      <c r="K1294" s="10">
        <f t="shared" si="61"/>
        <v>-6.2500000000000003E-3</v>
      </c>
      <c r="L1294" s="17">
        <f t="shared" si="62"/>
        <v>0</v>
      </c>
      <c r="M1294" t="str">
        <f>VLOOKUP(D1294,'Jer-Tip-Emp'!B:E,4,0)</f>
        <v>Bebidas</v>
      </c>
      <c r="N1294" t="str">
        <f>VLOOKUP(D1294,'Jer-Tip-Emp'!B:F,5,0)</f>
        <v>Bebidas Cambio de bebida</v>
      </c>
      <c r="O1294" t="str">
        <f>VLOOKUP(D1294,'Jer-Tip-Emp'!B:G,6,0)</f>
        <v>Bebidas</v>
      </c>
    </row>
    <row r="1295" spans="1:15" ht="27.5" customHeight="1" x14ac:dyDescent="0.2">
      <c r="A1295">
        <v>2025</v>
      </c>
      <c r="B1295" t="s">
        <v>616</v>
      </c>
      <c r="C1295" t="s">
        <v>609</v>
      </c>
      <c r="D1295" s="19" t="s">
        <v>297</v>
      </c>
      <c r="E1295" s="18" t="s">
        <v>131</v>
      </c>
      <c r="F1295" s="18">
        <v>6</v>
      </c>
      <c r="G1295" s="20">
        <v>113400</v>
      </c>
      <c r="H1295" s="18">
        <v>0</v>
      </c>
      <c r="I1295" s="20">
        <v>32766</v>
      </c>
      <c r="J1295" s="8">
        <f t="shared" si="60"/>
        <v>80634</v>
      </c>
      <c r="K1295" s="10">
        <f t="shared" si="61"/>
        <v>0.71105820105820106</v>
      </c>
      <c r="L1295" s="17">
        <f t="shared" si="62"/>
        <v>0</v>
      </c>
      <c r="M1295" t="str">
        <f>VLOOKUP(D1295,'Jer-Tip-Emp'!B:E,4,0)</f>
        <v>Platos mong</v>
      </c>
      <c r="N1295" t="str">
        <f>VLOOKUP(D1295,'Jer-Tip-Emp'!B:F,5,0)</f>
        <v>Personal</v>
      </c>
      <c r="O1295" t="str">
        <f>VLOOKUP(D1295,'Jer-Tip-Emp'!B:G,6,0)</f>
        <v>Caja</v>
      </c>
    </row>
    <row r="1296" spans="1:15" ht="27.5" customHeight="1" x14ac:dyDescent="0.2">
      <c r="A1296">
        <v>2025</v>
      </c>
      <c r="B1296" t="s">
        <v>616</v>
      </c>
      <c r="C1296" t="s">
        <v>609</v>
      </c>
      <c r="D1296" s="19" t="s">
        <v>261</v>
      </c>
      <c r="E1296" s="18" t="s">
        <v>135</v>
      </c>
      <c r="F1296" s="18">
        <v>6</v>
      </c>
      <c r="G1296" s="20">
        <v>107400</v>
      </c>
      <c r="H1296" s="18">
        <v>0</v>
      </c>
      <c r="I1296" s="20">
        <v>32796</v>
      </c>
      <c r="J1296" s="8">
        <f t="shared" si="60"/>
        <v>74604</v>
      </c>
      <c r="K1296" s="10">
        <f t="shared" si="61"/>
        <v>0.69463687150837994</v>
      </c>
      <c r="L1296" s="17">
        <f t="shared" si="62"/>
        <v>0</v>
      </c>
      <c r="M1296" t="str">
        <f>VLOOKUP(D1296,'Jer-Tip-Emp'!B:E,4,0)</f>
        <v>Platos mong</v>
      </c>
      <c r="N1296" t="str">
        <f>VLOOKUP(D1296,'Jer-Tip-Emp'!B:F,5,0)</f>
        <v>Personal</v>
      </c>
      <c r="O1296" t="str">
        <f>VLOOKUP(D1296,'Jer-Tip-Emp'!B:G,6,0)</f>
        <v>Caja</v>
      </c>
    </row>
    <row r="1297" spans="1:15" ht="27.5" hidden="1" customHeight="1" x14ac:dyDescent="0.2">
      <c r="A1297">
        <v>2025</v>
      </c>
      <c r="B1297" t="s">
        <v>616</v>
      </c>
      <c r="C1297" t="s">
        <v>609</v>
      </c>
      <c r="D1297" s="19" t="s">
        <v>350</v>
      </c>
      <c r="E1297" s="18" t="s">
        <v>66</v>
      </c>
      <c r="F1297" s="18">
        <v>6</v>
      </c>
      <c r="G1297" s="20">
        <v>29400</v>
      </c>
      <c r="H1297" s="18">
        <v>0</v>
      </c>
      <c r="I1297" s="20">
        <v>9360</v>
      </c>
      <c r="J1297" s="8">
        <f t="shared" si="60"/>
        <v>20040</v>
      </c>
      <c r="K1297" s="10">
        <f t="shared" si="61"/>
        <v>0.68163265306122445</v>
      </c>
      <c r="L1297" s="17">
        <f t="shared" si="62"/>
        <v>0</v>
      </c>
      <c r="M1297" t="str">
        <f>VLOOKUP(D1297,'Jer-Tip-Emp'!B:E,4,0)</f>
        <v>Bebidas</v>
      </c>
      <c r="N1297" t="str">
        <f>VLOOKUP(D1297,'Jer-Tip-Emp'!B:F,5,0)</f>
        <v>Bebidas</v>
      </c>
      <c r="O1297" t="str">
        <f>VLOOKUP(D1297,'Jer-Tip-Emp'!B:G,6,0)</f>
        <v>Bebidas</v>
      </c>
    </row>
    <row r="1298" spans="1:15" ht="27.5" hidden="1" customHeight="1" x14ac:dyDescent="0.2">
      <c r="A1298">
        <v>2025</v>
      </c>
      <c r="B1298" t="s">
        <v>616</v>
      </c>
      <c r="C1298" t="s">
        <v>609</v>
      </c>
      <c r="D1298" s="19" t="s">
        <v>410</v>
      </c>
      <c r="E1298" s="18" t="s">
        <v>559</v>
      </c>
      <c r="F1298" s="18">
        <v>6</v>
      </c>
      <c r="G1298" s="20">
        <v>13800</v>
      </c>
      <c r="H1298" s="18">
        <v>0</v>
      </c>
      <c r="I1298" s="20">
        <v>13410</v>
      </c>
      <c r="J1298" s="8">
        <f t="shared" si="60"/>
        <v>390</v>
      </c>
      <c r="K1298" s="10">
        <f t="shared" si="61"/>
        <v>2.8260869565217391E-2</v>
      </c>
      <c r="L1298" s="17">
        <f t="shared" si="62"/>
        <v>0</v>
      </c>
      <c r="M1298" t="str">
        <f>VLOOKUP(D1298,'Jer-Tip-Emp'!B:E,4,0)</f>
        <v>Bebidas</v>
      </c>
      <c r="N1298" t="str">
        <f>VLOOKUP(D1298,'Jer-Tip-Emp'!B:F,5,0)</f>
        <v>Bebidas Cambio de bebida</v>
      </c>
      <c r="O1298" t="str">
        <f>VLOOKUP(D1298,'Jer-Tip-Emp'!B:G,6,0)</f>
        <v>Bebidas</v>
      </c>
    </row>
    <row r="1299" spans="1:15" ht="27.5" hidden="1" customHeight="1" x14ac:dyDescent="0.2">
      <c r="A1299">
        <v>2025</v>
      </c>
      <c r="B1299" t="s">
        <v>616</v>
      </c>
      <c r="C1299" t="s">
        <v>609</v>
      </c>
      <c r="D1299" s="19" t="s">
        <v>402</v>
      </c>
      <c r="E1299" s="18" t="s">
        <v>63</v>
      </c>
      <c r="F1299" s="18">
        <v>6</v>
      </c>
      <c r="G1299" s="20">
        <v>29400</v>
      </c>
      <c r="H1299" s="18">
        <v>0</v>
      </c>
      <c r="I1299" s="20">
        <v>9360</v>
      </c>
      <c r="J1299" s="8">
        <f t="shared" si="60"/>
        <v>20040</v>
      </c>
      <c r="K1299" s="10">
        <f t="shared" si="61"/>
        <v>0.68163265306122445</v>
      </c>
      <c r="L1299" s="17">
        <f t="shared" si="62"/>
        <v>0</v>
      </c>
      <c r="M1299" t="str">
        <f>VLOOKUP(D1299,'Jer-Tip-Emp'!B:E,4,0)</f>
        <v>Bebidas</v>
      </c>
      <c r="N1299" t="str">
        <f>VLOOKUP(D1299,'Jer-Tip-Emp'!B:F,5,0)</f>
        <v>Bebidas</v>
      </c>
      <c r="O1299" t="str">
        <f>VLOOKUP(D1299,'Jer-Tip-Emp'!B:G,6,0)</f>
        <v>Bebidas</v>
      </c>
    </row>
    <row r="1300" spans="1:15" ht="27.5" hidden="1" customHeight="1" x14ac:dyDescent="0.2">
      <c r="A1300">
        <v>2025</v>
      </c>
      <c r="B1300" t="s">
        <v>616</v>
      </c>
      <c r="C1300" t="s">
        <v>609</v>
      </c>
      <c r="D1300" s="19" t="s">
        <v>403</v>
      </c>
      <c r="E1300" s="18" t="s">
        <v>45</v>
      </c>
      <c r="F1300" s="18">
        <v>5</v>
      </c>
      <c r="G1300" s="20">
        <v>39600</v>
      </c>
      <c r="H1300" s="20">
        <v>-9900</v>
      </c>
      <c r="I1300" s="20">
        <v>22505</v>
      </c>
      <c r="J1300" s="8">
        <f t="shared" si="60"/>
        <v>17095</v>
      </c>
      <c r="K1300" s="10">
        <f t="shared" si="61"/>
        <v>0.43169191919191918</v>
      </c>
      <c r="L1300" s="17">
        <f t="shared" si="62"/>
        <v>0.25</v>
      </c>
      <c r="M1300" t="str">
        <f>VLOOKUP(D1300,'Jer-Tip-Emp'!B:E,4,0)</f>
        <v>Bebidas</v>
      </c>
      <c r="N1300" t="str">
        <f>VLOOKUP(D1300,'Jer-Tip-Emp'!B:F,5,0)</f>
        <v>Bebidas</v>
      </c>
      <c r="O1300" t="str">
        <f>VLOOKUP(D1300,'Jer-Tip-Emp'!B:G,6,0)</f>
        <v>Bebidas</v>
      </c>
    </row>
    <row r="1301" spans="1:15" ht="27.5" hidden="1" customHeight="1" x14ac:dyDescent="0.2">
      <c r="A1301">
        <v>2025</v>
      </c>
      <c r="B1301" t="s">
        <v>616</v>
      </c>
      <c r="C1301" t="s">
        <v>609</v>
      </c>
      <c r="D1301" s="19" t="s">
        <v>314</v>
      </c>
      <c r="E1301" s="18" t="s">
        <v>67</v>
      </c>
      <c r="F1301" s="18">
        <v>5</v>
      </c>
      <c r="G1301" s="20">
        <v>24500</v>
      </c>
      <c r="H1301" s="18">
        <v>0</v>
      </c>
      <c r="I1301" s="20">
        <v>6650</v>
      </c>
      <c r="J1301" s="8">
        <f t="shared" si="60"/>
        <v>17850</v>
      </c>
      <c r="K1301" s="10">
        <f t="shared" si="61"/>
        <v>0.72857142857142854</v>
      </c>
      <c r="L1301" s="17">
        <f t="shared" si="62"/>
        <v>0</v>
      </c>
      <c r="M1301" t="str">
        <f>VLOOKUP(D1301,'Jer-Tip-Emp'!B:E,4,0)</f>
        <v>Bebidas</v>
      </c>
      <c r="N1301" t="str">
        <f>VLOOKUP(D1301,'Jer-Tip-Emp'!B:F,5,0)</f>
        <v>Bebidas</v>
      </c>
      <c r="O1301" t="str">
        <f>VLOOKUP(D1301,'Jer-Tip-Emp'!B:G,6,0)</f>
        <v>Bebidas</v>
      </c>
    </row>
    <row r="1302" spans="1:15" ht="27.5" customHeight="1" x14ac:dyDescent="0.2">
      <c r="A1302">
        <v>2025</v>
      </c>
      <c r="B1302" t="s">
        <v>616</v>
      </c>
      <c r="C1302" t="s">
        <v>609</v>
      </c>
      <c r="D1302" s="19" t="s">
        <v>232</v>
      </c>
      <c r="E1302" s="18" t="s">
        <v>94</v>
      </c>
      <c r="F1302" s="18">
        <v>5</v>
      </c>
      <c r="G1302" s="20">
        <v>114500</v>
      </c>
      <c r="H1302" s="18">
        <v>0</v>
      </c>
      <c r="I1302" s="20">
        <v>47020</v>
      </c>
      <c r="J1302" s="8">
        <f t="shared" si="60"/>
        <v>67480</v>
      </c>
      <c r="K1302" s="10">
        <f t="shared" si="61"/>
        <v>0.58934497816593889</v>
      </c>
      <c r="L1302" s="17">
        <f t="shared" si="62"/>
        <v>0</v>
      </c>
      <c r="M1302" t="str">
        <f>VLOOKUP(D1302,'Jer-Tip-Emp'!B:E,4,0)</f>
        <v>Platos mong</v>
      </c>
      <c r="N1302" t="str">
        <f>VLOOKUP(D1302,'Jer-Tip-Emp'!B:F,5,0)</f>
        <v>Personal</v>
      </c>
      <c r="O1302" t="str">
        <f>VLOOKUP(D1302,'Jer-Tip-Emp'!B:G,6,0)</f>
        <v>Caja</v>
      </c>
    </row>
    <row r="1303" spans="1:15" ht="27.5" customHeight="1" x14ac:dyDescent="0.2">
      <c r="A1303">
        <v>2025</v>
      </c>
      <c r="B1303" t="s">
        <v>616</v>
      </c>
      <c r="C1303" t="s">
        <v>609</v>
      </c>
      <c r="D1303" s="19" t="s">
        <v>185</v>
      </c>
      <c r="E1303" s="18" t="s">
        <v>137</v>
      </c>
      <c r="F1303" s="18">
        <v>4</v>
      </c>
      <c r="G1303" s="20">
        <v>187600</v>
      </c>
      <c r="H1303" s="18">
        <v>0</v>
      </c>
      <c r="I1303" s="20">
        <v>80212</v>
      </c>
      <c r="J1303" s="8">
        <f t="shared" si="60"/>
        <v>107388</v>
      </c>
      <c r="K1303" s="10">
        <f t="shared" si="61"/>
        <v>0.57243070362473347</v>
      </c>
      <c r="L1303" s="17">
        <f t="shared" si="62"/>
        <v>0</v>
      </c>
      <c r="M1303" t="str">
        <f>VLOOKUP(D1303,'Jer-Tip-Emp'!B:E,4,0)</f>
        <v>Platos mong</v>
      </c>
      <c r="N1303" t="str">
        <f>VLOOKUP(D1303,'Jer-Tip-Emp'!B:F,5,0)</f>
        <v>No Personal</v>
      </c>
      <c r="O1303" t="str">
        <f>VLOOKUP(D1303,'Jer-Tip-Emp'!B:G,6,0)</f>
        <v>Platos Especiales</v>
      </c>
    </row>
    <row r="1304" spans="1:15" ht="27.5" customHeight="1" x14ac:dyDescent="0.2">
      <c r="A1304">
        <v>2025</v>
      </c>
      <c r="B1304" t="s">
        <v>616</v>
      </c>
      <c r="C1304" t="s">
        <v>609</v>
      </c>
      <c r="D1304" s="19" t="s">
        <v>221</v>
      </c>
      <c r="E1304" s="18" t="s">
        <v>27</v>
      </c>
      <c r="F1304" s="18">
        <v>4</v>
      </c>
      <c r="G1304" s="20">
        <v>31600</v>
      </c>
      <c r="H1304" s="18">
        <v>0</v>
      </c>
      <c r="I1304" s="18">
        <v>0</v>
      </c>
      <c r="J1304" s="8">
        <f t="shared" si="60"/>
        <v>31600</v>
      </c>
      <c r="K1304" s="10">
        <f t="shared" si="61"/>
        <v>1</v>
      </c>
      <c r="L1304" s="17">
        <f t="shared" si="62"/>
        <v>0</v>
      </c>
      <c r="M1304" t="str">
        <f>VLOOKUP(D1304,'Jer-Tip-Emp'!B:E,4,0)</f>
        <v>Armalo en combo</v>
      </c>
      <c r="N1304" t="str">
        <f>VLOOKUP(D1304,'Jer-Tip-Emp'!B:F,5,0)</f>
        <v>Personal</v>
      </c>
      <c r="O1304" t="str">
        <f>VLOOKUP(D1304,'Jer-Tip-Emp'!B:G,6,0)</f>
        <v>Combo</v>
      </c>
    </row>
    <row r="1305" spans="1:15" ht="27.5" hidden="1" customHeight="1" x14ac:dyDescent="0.2">
      <c r="A1305">
        <v>2025</v>
      </c>
      <c r="B1305" t="s">
        <v>616</v>
      </c>
      <c r="C1305" t="s">
        <v>609</v>
      </c>
      <c r="D1305" s="19" t="s">
        <v>450</v>
      </c>
      <c r="E1305" s="18" t="s">
        <v>565</v>
      </c>
      <c r="F1305" s="18">
        <v>4</v>
      </c>
      <c r="G1305" s="20">
        <v>4919</v>
      </c>
      <c r="H1305" s="20">
        <v>-1481</v>
      </c>
      <c r="I1305" s="20">
        <v>7496</v>
      </c>
      <c r="J1305" s="8">
        <f t="shared" si="60"/>
        <v>-2577</v>
      </c>
      <c r="K1305" s="10">
        <f t="shared" si="61"/>
        <v>-0.52388696889611708</v>
      </c>
      <c r="L1305" s="17">
        <f t="shared" si="62"/>
        <v>0.30107745476722914</v>
      </c>
      <c r="M1305" t="str">
        <f>VLOOKUP(D1305,'Jer-Tip-Emp'!B:E,4,0)</f>
        <v>Bebidas</v>
      </c>
      <c r="N1305" t="str">
        <f>VLOOKUP(D1305,'Jer-Tip-Emp'!B:F,5,0)</f>
        <v>Bebidas Cambio de bebida</v>
      </c>
      <c r="O1305" t="str">
        <f>VLOOKUP(D1305,'Jer-Tip-Emp'!B:G,6,0)</f>
        <v>Bebidas</v>
      </c>
    </row>
    <row r="1306" spans="1:15" ht="27.5" customHeight="1" x14ac:dyDescent="0.2">
      <c r="A1306">
        <v>2025</v>
      </c>
      <c r="B1306" t="s">
        <v>616</v>
      </c>
      <c r="C1306" t="s">
        <v>609</v>
      </c>
      <c r="D1306" s="19" t="s">
        <v>182</v>
      </c>
      <c r="E1306" s="18" t="s">
        <v>118</v>
      </c>
      <c r="F1306" s="18">
        <v>4</v>
      </c>
      <c r="G1306" s="20">
        <v>111600</v>
      </c>
      <c r="H1306" s="18">
        <v>0</v>
      </c>
      <c r="I1306" s="20">
        <v>37912</v>
      </c>
      <c r="J1306" s="8">
        <f t="shared" si="60"/>
        <v>73688</v>
      </c>
      <c r="K1306" s="10">
        <f t="shared" si="61"/>
        <v>0.66028673835125451</v>
      </c>
      <c r="L1306" s="17">
        <f t="shared" si="62"/>
        <v>0</v>
      </c>
      <c r="M1306" t="str">
        <f>VLOOKUP(D1306,'Jer-Tip-Emp'!B:E,4,0)</f>
        <v>Platos mong</v>
      </c>
      <c r="N1306" t="str">
        <f>VLOOKUP(D1306,'Jer-Tip-Emp'!B:F,5,0)</f>
        <v>Personal</v>
      </c>
      <c r="O1306" t="str">
        <f>VLOOKUP(D1306,'Jer-Tip-Emp'!B:G,6,0)</f>
        <v>Caja</v>
      </c>
    </row>
    <row r="1307" spans="1:15" ht="27.5" customHeight="1" x14ac:dyDescent="0.2">
      <c r="A1307">
        <v>2025</v>
      </c>
      <c r="B1307" t="s">
        <v>616</v>
      </c>
      <c r="C1307" t="s">
        <v>609</v>
      </c>
      <c r="D1307" s="19" t="s">
        <v>198</v>
      </c>
      <c r="E1307" s="18" t="s">
        <v>124</v>
      </c>
      <c r="F1307" s="18">
        <v>4</v>
      </c>
      <c r="G1307" s="20">
        <v>95600</v>
      </c>
      <c r="H1307" s="18">
        <v>0</v>
      </c>
      <c r="I1307" s="20">
        <v>35028</v>
      </c>
      <c r="J1307" s="8">
        <f t="shared" si="60"/>
        <v>60572</v>
      </c>
      <c r="K1307" s="10">
        <f t="shared" si="61"/>
        <v>0.6335983263598326</v>
      </c>
      <c r="L1307" s="17">
        <f t="shared" si="62"/>
        <v>0</v>
      </c>
      <c r="M1307" t="str">
        <f>VLOOKUP(D1307,'Jer-Tip-Emp'!B:E,4,0)</f>
        <v>Platos mong</v>
      </c>
      <c r="N1307" t="str">
        <f>VLOOKUP(D1307,'Jer-Tip-Emp'!B:F,5,0)</f>
        <v>Personal</v>
      </c>
      <c r="O1307" t="str">
        <f>VLOOKUP(D1307,'Jer-Tip-Emp'!B:G,6,0)</f>
        <v>Caja</v>
      </c>
    </row>
    <row r="1308" spans="1:15" ht="27.5" hidden="1" customHeight="1" x14ac:dyDescent="0.2">
      <c r="A1308">
        <v>2025</v>
      </c>
      <c r="B1308" t="s">
        <v>616</v>
      </c>
      <c r="C1308" t="s">
        <v>609</v>
      </c>
      <c r="D1308" s="19" t="s">
        <v>494</v>
      </c>
      <c r="E1308" s="18" t="s">
        <v>568</v>
      </c>
      <c r="F1308" s="18">
        <v>3</v>
      </c>
      <c r="G1308" s="20">
        <v>4800</v>
      </c>
      <c r="H1308" s="18">
        <v>0</v>
      </c>
      <c r="I1308" s="20">
        <v>6417</v>
      </c>
      <c r="J1308" s="8">
        <f t="shared" si="60"/>
        <v>-1617</v>
      </c>
      <c r="K1308" s="10">
        <f t="shared" si="61"/>
        <v>-0.33687499999999998</v>
      </c>
      <c r="L1308" s="17">
        <f t="shared" si="62"/>
        <v>0</v>
      </c>
      <c r="M1308" t="str">
        <f>VLOOKUP(D1308,'Jer-Tip-Emp'!B:E,4,0)</f>
        <v>Bebidas</v>
      </c>
      <c r="N1308" t="str">
        <f>VLOOKUP(D1308,'Jer-Tip-Emp'!B:F,5,0)</f>
        <v>Bebidas Cambio de bebida</v>
      </c>
      <c r="O1308" t="str">
        <f>VLOOKUP(D1308,'Jer-Tip-Emp'!B:G,6,0)</f>
        <v>Bebidas</v>
      </c>
    </row>
    <row r="1309" spans="1:15" ht="27.5" hidden="1" customHeight="1" x14ac:dyDescent="0.2">
      <c r="A1309">
        <v>2025</v>
      </c>
      <c r="B1309" t="s">
        <v>616</v>
      </c>
      <c r="C1309" t="s">
        <v>609</v>
      </c>
      <c r="D1309" s="19" t="s">
        <v>431</v>
      </c>
      <c r="E1309" s="18" t="s">
        <v>560</v>
      </c>
      <c r="F1309" s="18">
        <v>3</v>
      </c>
      <c r="G1309" s="20">
        <v>4800</v>
      </c>
      <c r="H1309" s="18">
        <v>0</v>
      </c>
      <c r="I1309" s="20">
        <v>3990</v>
      </c>
      <c r="J1309" s="8">
        <f t="shared" si="60"/>
        <v>810</v>
      </c>
      <c r="K1309" s="10">
        <f t="shared" si="61"/>
        <v>0.16875000000000001</v>
      </c>
      <c r="L1309" s="17">
        <f t="shared" si="62"/>
        <v>0</v>
      </c>
      <c r="M1309" t="str">
        <f>VLOOKUP(D1309,'Jer-Tip-Emp'!B:E,4,0)</f>
        <v>Bebidas</v>
      </c>
      <c r="N1309" t="str">
        <f>VLOOKUP(D1309,'Jer-Tip-Emp'!B:F,5,0)</f>
        <v>Bebidas Cambio de bebida</v>
      </c>
      <c r="O1309" t="str">
        <f>VLOOKUP(D1309,'Jer-Tip-Emp'!B:G,6,0)</f>
        <v>Bebidas</v>
      </c>
    </row>
    <row r="1310" spans="1:15" ht="27.5" customHeight="1" x14ac:dyDescent="0.2">
      <c r="A1310">
        <v>2025</v>
      </c>
      <c r="B1310" t="s">
        <v>616</v>
      </c>
      <c r="C1310" t="s">
        <v>609</v>
      </c>
      <c r="D1310" s="19" t="s">
        <v>266</v>
      </c>
      <c r="E1310" s="18" t="s">
        <v>85</v>
      </c>
      <c r="F1310" s="18">
        <v>3</v>
      </c>
      <c r="G1310" s="20">
        <v>248700</v>
      </c>
      <c r="H1310" s="18">
        <v>0</v>
      </c>
      <c r="I1310" s="20">
        <v>117663</v>
      </c>
      <c r="J1310" s="8">
        <f t="shared" si="60"/>
        <v>131037</v>
      </c>
      <c r="K1310" s="10">
        <f t="shared" si="61"/>
        <v>0.52688781664656215</v>
      </c>
      <c r="L1310" s="17">
        <f t="shared" si="62"/>
        <v>0</v>
      </c>
      <c r="M1310" t="str">
        <f>VLOOKUP(D1310,'Jer-Tip-Emp'!B:E,4,0)</f>
        <v>Combos para compartir</v>
      </c>
      <c r="N1310" t="str">
        <f>VLOOKUP(D1310,'Jer-Tip-Emp'!B:F,5,0)</f>
        <v>No Personal</v>
      </c>
      <c r="O1310" t="str">
        <f>VLOOKUP(D1310,'Jer-Tip-Emp'!B:G,6,0)</f>
        <v>Combo</v>
      </c>
    </row>
    <row r="1311" spans="1:15" ht="27.5" hidden="1" customHeight="1" x14ac:dyDescent="0.2">
      <c r="A1311">
        <v>2025</v>
      </c>
      <c r="B1311" t="s">
        <v>616</v>
      </c>
      <c r="C1311" t="s">
        <v>609</v>
      </c>
      <c r="D1311" s="19" t="s">
        <v>231</v>
      </c>
      <c r="E1311" s="18" t="s">
        <v>34</v>
      </c>
      <c r="F1311" s="18">
        <v>3</v>
      </c>
      <c r="G1311" s="20">
        <v>26700</v>
      </c>
      <c r="H1311" s="18">
        <v>0</v>
      </c>
      <c r="I1311" s="18">
        <v>0</v>
      </c>
      <c r="J1311" s="8">
        <f t="shared" si="60"/>
        <v>26700</v>
      </c>
      <c r="K1311" s="10">
        <f t="shared" si="61"/>
        <v>1</v>
      </c>
      <c r="L1311" s="17">
        <f t="shared" si="62"/>
        <v>0</v>
      </c>
      <c r="M1311" t="str">
        <f>VLOOKUP(D1311,'Jer-Tip-Emp'!B:E,4,0)</f>
        <v>Adición</v>
      </c>
      <c r="N1311" t="str">
        <f>VLOOKUP(D1311,'Jer-Tip-Emp'!B:F,5,0)</f>
        <v>Adición</v>
      </c>
      <c r="O1311" t="str">
        <f>VLOOKUP(D1311,'Jer-Tip-Emp'!B:G,6,0)</f>
        <v>Adición</v>
      </c>
    </row>
    <row r="1312" spans="1:15" ht="27.5" customHeight="1" x14ac:dyDescent="0.2">
      <c r="A1312">
        <v>2025</v>
      </c>
      <c r="B1312" t="s">
        <v>616</v>
      </c>
      <c r="C1312" t="s">
        <v>609</v>
      </c>
      <c r="D1312" s="19" t="s">
        <v>299</v>
      </c>
      <c r="E1312" s="18" t="s">
        <v>129</v>
      </c>
      <c r="F1312" s="18">
        <v>3</v>
      </c>
      <c r="G1312" s="20">
        <v>140700</v>
      </c>
      <c r="H1312" s="18">
        <v>0</v>
      </c>
      <c r="I1312" s="20">
        <v>33996</v>
      </c>
      <c r="J1312" s="8">
        <f t="shared" si="60"/>
        <v>106704</v>
      </c>
      <c r="K1312" s="10">
        <f t="shared" si="61"/>
        <v>0.7583795309168444</v>
      </c>
      <c r="L1312" s="17">
        <f t="shared" si="62"/>
        <v>0</v>
      </c>
      <c r="M1312" t="str">
        <f>VLOOKUP(D1312,'Jer-Tip-Emp'!B:E,4,0)</f>
        <v>Platos mong</v>
      </c>
      <c r="N1312" t="str">
        <f>VLOOKUP(D1312,'Jer-Tip-Emp'!B:F,5,0)</f>
        <v>No Personal</v>
      </c>
      <c r="O1312" t="str">
        <f>VLOOKUP(D1312,'Jer-Tip-Emp'!B:G,6,0)</f>
        <v>Caja</v>
      </c>
    </row>
    <row r="1313" spans="1:15" ht="27.5" hidden="1" customHeight="1" x14ac:dyDescent="0.2">
      <c r="A1313">
        <v>2025</v>
      </c>
      <c r="B1313" t="s">
        <v>616</v>
      </c>
      <c r="C1313" t="s">
        <v>609</v>
      </c>
      <c r="D1313" s="19" t="s">
        <v>426</v>
      </c>
      <c r="E1313" s="18" t="s">
        <v>561</v>
      </c>
      <c r="F1313" s="18">
        <v>3</v>
      </c>
      <c r="G1313" s="20">
        <v>4800</v>
      </c>
      <c r="H1313" s="18">
        <v>0</v>
      </c>
      <c r="I1313" s="20">
        <v>4548</v>
      </c>
      <c r="J1313" s="8">
        <f t="shared" si="60"/>
        <v>252</v>
      </c>
      <c r="K1313" s="10">
        <f t="shared" si="61"/>
        <v>5.2499999999999998E-2</v>
      </c>
      <c r="L1313" s="17">
        <f t="shared" si="62"/>
        <v>0</v>
      </c>
      <c r="M1313" t="str">
        <f>VLOOKUP(D1313,'Jer-Tip-Emp'!B:E,4,0)</f>
        <v>Bebidas</v>
      </c>
      <c r="N1313" t="str">
        <f>VLOOKUP(D1313,'Jer-Tip-Emp'!B:F,5,0)</f>
        <v>Bebidas Cambio de bebida</v>
      </c>
      <c r="O1313" t="str">
        <f>VLOOKUP(D1313,'Jer-Tip-Emp'!B:G,6,0)</f>
        <v>Bebidas</v>
      </c>
    </row>
    <row r="1314" spans="1:15" ht="27.5" customHeight="1" x14ac:dyDescent="0.2">
      <c r="A1314">
        <v>2025</v>
      </c>
      <c r="B1314" t="s">
        <v>616</v>
      </c>
      <c r="C1314" t="s">
        <v>609</v>
      </c>
      <c r="D1314" s="19" t="s">
        <v>286</v>
      </c>
      <c r="E1314" s="18" t="s">
        <v>144</v>
      </c>
      <c r="F1314" s="18">
        <v>3</v>
      </c>
      <c r="G1314" s="20">
        <v>230700</v>
      </c>
      <c r="H1314" s="18">
        <v>0</v>
      </c>
      <c r="I1314" s="20">
        <v>103965</v>
      </c>
      <c r="J1314" s="8">
        <f t="shared" si="60"/>
        <v>126735</v>
      </c>
      <c r="K1314" s="10">
        <f t="shared" si="61"/>
        <v>0.54934980494148244</v>
      </c>
      <c r="L1314" s="17">
        <f t="shared" si="62"/>
        <v>0</v>
      </c>
      <c r="M1314" t="str">
        <f>VLOOKUP(D1314,'Jer-Tip-Emp'!B:E,4,0)</f>
        <v>Platos mong</v>
      </c>
      <c r="N1314" t="str">
        <f>VLOOKUP(D1314,'Jer-Tip-Emp'!B:F,5,0)</f>
        <v>No Personal</v>
      </c>
      <c r="O1314" t="str">
        <f>VLOOKUP(D1314,'Jer-Tip-Emp'!B:G,6,0)</f>
        <v>Caja</v>
      </c>
    </row>
    <row r="1315" spans="1:15" ht="27.5" customHeight="1" x14ac:dyDescent="0.2">
      <c r="A1315">
        <v>2025</v>
      </c>
      <c r="B1315" t="s">
        <v>616</v>
      </c>
      <c r="C1315" t="s">
        <v>609</v>
      </c>
      <c r="D1315" s="19" t="s">
        <v>290</v>
      </c>
      <c r="E1315" s="18" t="s">
        <v>86</v>
      </c>
      <c r="F1315" s="18">
        <v>3</v>
      </c>
      <c r="G1315" s="20">
        <v>290700</v>
      </c>
      <c r="H1315" s="18">
        <v>0</v>
      </c>
      <c r="I1315" s="20">
        <v>140340</v>
      </c>
      <c r="J1315" s="8">
        <f t="shared" si="60"/>
        <v>150360</v>
      </c>
      <c r="K1315" s="10">
        <f t="shared" si="61"/>
        <v>0.51723426212590295</v>
      </c>
      <c r="L1315" s="17">
        <f t="shared" si="62"/>
        <v>0</v>
      </c>
      <c r="M1315" t="str">
        <f>VLOOKUP(D1315,'Jer-Tip-Emp'!B:E,4,0)</f>
        <v>Combos para compartir</v>
      </c>
      <c r="N1315" t="str">
        <f>VLOOKUP(D1315,'Jer-Tip-Emp'!B:F,5,0)</f>
        <v>No Personal</v>
      </c>
      <c r="O1315" t="str">
        <f>VLOOKUP(D1315,'Jer-Tip-Emp'!B:G,6,0)</f>
        <v>Combo</v>
      </c>
    </row>
    <row r="1316" spans="1:15" ht="27.5" hidden="1" customHeight="1" x14ac:dyDescent="0.2">
      <c r="A1316">
        <v>2025</v>
      </c>
      <c r="B1316" t="s">
        <v>616</v>
      </c>
      <c r="C1316" t="s">
        <v>609</v>
      </c>
      <c r="D1316" s="19" t="s">
        <v>409</v>
      </c>
      <c r="E1316" s="18" t="s">
        <v>64</v>
      </c>
      <c r="F1316" s="18">
        <v>3</v>
      </c>
      <c r="G1316" s="20">
        <v>16000</v>
      </c>
      <c r="H1316" s="20">
        <v>-8000</v>
      </c>
      <c r="I1316" s="18">
        <v>0</v>
      </c>
      <c r="J1316" s="8">
        <f t="shared" si="60"/>
        <v>16000</v>
      </c>
      <c r="K1316" s="10">
        <f t="shared" si="61"/>
        <v>1</v>
      </c>
      <c r="L1316" s="17">
        <f t="shared" si="62"/>
        <v>0.5</v>
      </c>
      <c r="M1316" t="str">
        <f>VLOOKUP(D1316,'Jer-Tip-Emp'!B:E,4,0)</f>
        <v>Bebidas</v>
      </c>
      <c r="N1316" t="str">
        <f>VLOOKUP(D1316,'Jer-Tip-Emp'!B:F,5,0)</f>
        <v>Bebidas</v>
      </c>
      <c r="O1316" t="str">
        <f>VLOOKUP(D1316,'Jer-Tip-Emp'!B:G,6,0)</f>
        <v>Bebidas</v>
      </c>
    </row>
    <row r="1317" spans="1:15" ht="27.5" hidden="1" customHeight="1" x14ac:dyDescent="0.2">
      <c r="A1317">
        <v>2025</v>
      </c>
      <c r="B1317" t="s">
        <v>616</v>
      </c>
      <c r="C1317" t="s">
        <v>609</v>
      </c>
      <c r="D1317" s="19" t="s">
        <v>490</v>
      </c>
      <c r="E1317" s="18" t="s">
        <v>554</v>
      </c>
      <c r="F1317" s="18">
        <v>2</v>
      </c>
      <c r="G1317" s="18">
        <v>0</v>
      </c>
      <c r="H1317" s="18">
        <v>0</v>
      </c>
      <c r="I1317" s="20">
        <v>4098</v>
      </c>
      <c r="J1317" s="8">
        <f t="shared" si="60"/>
        <v>-4098</v>
      </c>
      <c r="K1317" s="10">
        <f t="shared" si="61"/>
        <v>0</v>
      </c>
      <c r="L1317" s="17">
        <f t="shared" si="62"/>
        <v>0</v>
      </c>
      <c r="M1317" t="str">
        <f>VLOOKUP(D1317,'Jer-Tip-Emp'!B:E,4,0)</f>
        <v>Adición</v>
      </c>
      <c r="N1317" t="str">
        <f>VLOOKUP(D1317,'Jer-Tip-Emp'!B:F,5,0)</f>
        <v>Otro</v>
      </c>
      <c r="O1317" t="str">
        <f>VLOOKUP(D1317,'Jer-Tip-Emp'!B:G,6,0)</f>
        <v>Otro</v>
      </c>
    </row>
    <row r="1318" spans="1:15" ht="27.5" customHeight="1" x14ac:dyDescent="0.2">
      <c r="A1318">
        <v>2025</v>
      </c>
      <c r="B1318" t="s">
        <v>616</v>
      </c>
      <c r="C1318" t="s">
        <v>609</v>
      </c>
      <c r="D1318" s="19" t="s">
        <v>252</v>
      </c>
      <c r="E1318" s="18" t="s">
        <v>100</v>
      </c>
      <c r="F1318" s="18">
        <v>2</v>
      </c>
      <c r="G1318" s="20">
        <v>133800</v>
      </c>
      <c r="H1318" s="18">
        <v>0</v>
      </c>
      <c r="I1318" s="20">
        <v>64702</v>
      </c>
      <c r="J1318" s="8">
        <f t="shared" si="60"/>
        <v>69098</v>
      </c>
      <c r="K1318" s="10">
        <f t="shared" si="61"/>
        <v>0.51642750373692081</v>
      </c>
      <c r="L1318" s="17">
        <f t="shared" si="62"/>
        <v>0</v>
      </c>
      <c r="M1318" t="str">
        <f>VLOOKUP(D1318,'Jer-Tip-Emp'!B:E,4,0)</f>
        <v>Platos mong</v>
      </c>
      <c r="N1318" t="str">
        <f>VLOOKUP(D1318,'Jer-Tip-Emp'!B:F,5,0)</f>
        <v>No Personal</v>
      </c>
      <c r="O1318" t="str">
        <f>VLOOKUP(D1318,'Jer-Tip-Emp'!B:G,6,0)</f>
        <v>Caja</v>
      </c>
    </row>
    <row r="1319" spans="1:15" ht="27.5" hidden="1" customHeight="1" x14ac:dyDescent="0.2">
      <c r="A1319">
        <v>2025</v>
      </c>
      <c r="B1319" t="s">
        <v>616</v>
      </c>
      <c r="C1319" t="s">
        <v>609</v>
      </c>
      <c r="D1319" s="19" t="s">
        <v>296</v>
      </c>
      <c r="E1319" s="18" t="s">
        <v>22</v>
      </c>
      <c r="F1319" s="18">
        <v>2</v>
      </c>
      <c r="G1319" s="20">
        <v>13800</v>
      </c>
      <c r="H1319" s="18">
        <v>0</v>
      </c>
      <c r="I1319" s="20">
        <v>1378</v>
      </c>
      <c r="J1319" s="8">
        <f t="shared" si="60"/>
        <v>12422</v>
      </c>
      <c r="K1319" s="10">
        <f t="shared" si="61"/>
        <v>0.90014492753623188</v>
      </c>
      <c r="L1319" s="17">
        <f t="shared" si="62"/>
        <v>0</v>
      </c>
      <c r="M1319" t="str">
        <f>VLOOKUP(D1319,'Jer-Tip-Emp'!B:E,4,0)</f>
        <v>Adición</v>
      </c>
      <c r="N1319" t="str">
        <f>VLOOKUP(D1319,'Jer-Tip-Emp'!B:F,5,0)</f>
        <v>Adición</v>
      </c>
      <c r="O1319" t="str">
        <f>VLOOKUP(D1319,'Jer-Tip-Emp'!B:G,6,0)</f>
        <v>Adición</v>
      </c>
    </row>
    <row r="1320" spans="1:15" ht="27.5" customHeight="1" x14ac:dyDescent="0.2">
      <c r="A1320">
        <v>2025</v>
      </c>
      <c r="B1320" t="s">
        <v>616</v>
      </c>
      <c r="C1320" t="s">
        <v>609</v>
      </c>
      <c r="D1320" s="19" t="s">
        <v>200</v>
      </c>
      <c r="E1320" s="18" t="s">
        <v>149</v>
      </c>
      <c r="F1320" s="18">
        <v>2</v>
      </c>
      <c r="G1320" s="20">
        <v>49800</v>
      </c>
      <c r="H1320" s="18">
        <v>0</v>
      </c>
      <c r="I1320" s="20">
        <v>20962</v>
      </c>
      <c r="J1320" s="8">
        <f t="shared" si="60"/>
        <v>28838</v>
      </c>
      <c r="K1320" s="10">
        <f t="shared" si="61"/>
        <v>0.57907630522088349</v>
      </c>
      <c r="L1320" s="17">
        <f t="shared" si="62"/>
        <v>0</v>
      </c>
      <c r="M1320" t="str">
        <f>VLOOKUP(D1320,'Jer-Tip-Emp'!B:E,4,0)</f>
        <v>Platos mong</v>
      </c>
      <c r="N1320" t="str">
        <f>VLOOKUP(D1320,'Jer-Tip-Emp'!B:F,5,0)</f>
        <v>Personal</v>
      </c>
      <c r="O1320" t="str">
        <f>VLOOKUP(D1320,'Jer-Tip-Emp'!B:G,6,0)</f>
        <v>Caja</v>
      </c>
    </row>
    <row r="1321" spans="1:15" ht="27.5" hidden="1" customHeight="1" x14ac:dyDescent="0.2">
      <c r="A1321">
        <v>2025</v>
      </c>
      <c r="B1321" t="s">
        <v>616</v>
      </c>
      <c r="C1321" t="s">
        <v>609</v>
      </c>
      <c r="D1321" s="19" t="s">
        <v>495</v>
      </c>
      <c r="E1321" s="18" t="s">
        <v>572</v>
      </c>
      <c r="F1321" s="18">
        <v>2</v>
      </c>
      <c r="G1321" s="20">
        <v>3200</v>
      </c>
      <c r="H1321" s="18">
        <v>0</v>
      </c>
      <c r="I1321" s="20">
        <v>3792</v>
      </c>
      <c r="J1321" s="8">
        <f t="shared" si="60"/>
        <v>-592</v>
      </c>
      <c r="K1321" s="10">
        <f t="shared" si="61"/>
        <v>-0.185</v>
      </c>
      <c r="L1321" s="17">
        <f t="shared" si="62"/>
        <v>0</v>
      </c>
      <c r="M1321" t="str">
        <f>VLOOKUP(D1321,'Jer-Tip-Emp'!B:E,4,0)</f>
        <v>Bebidas</v>
      </c>
      <c r="N1321" t="str">
        <f>VLOOKUP(D1321,'Jer-Tip-Emp'!B:F,5,0)</f>
        <v>Bebidas Cambio de bebida</v>
      </c>
      <c r="O1321" t="str">
        <f>VLOOKUP(D1321,'Jer-Tip-Emp'!B:G,6,0)</f>
        <v>Bebidas</v>
      </c>
    </row>
    <row r="1322" spans="1:15" ht="27.5" hidden="1" customHeight="1" x14ac:dyDescent="0.2">
      <c r="A1322">
        <v>2025</v>
      </c>
      <c r="B1322" t="s">
        <v>616</v>
      </c>
      <c r="C1322" t="s">
        <v>609</v>
      </c>
      <c r="D1322" s="19" t="s">
        <v>445</v>
      </c>
      <c r="E1322" s="18" t="s">
        <v>570</v>
      </c>
      <c r="F1322" s="18">
        <v>2</v>
      </c>
      <c r="G1322" s="20">
        <v>3200</v>
      </c>
      <c r="H1322" s="18">
        <v>0</v>
      </c>
      <c r="I1322" s="20">
        <v>3422</v>
      </c>
      <c r="J1322" s="8">
        <f t="shared" si="60"/>
        <v>-222</v>
      </c>
      <c r="K1322" s="10">
        <f t="shared" si="61"/>
        <v>-6.9375000000000006E-2</v>
      </c>
      <c r="L1322" s="17">
        <f t="shared" si="62"/>
        <v>0</v>
      </c>
      <c r="M1322" t="str">
        <f>VLOOKUP(D1322,'Jer-Tip-Emp'!B:E,4,0)</f>
        <v>Bebidas</v>
      </c>
      <c r="N1322" t="str">
        <f>VLOOKUP(D1322,'Jer-Tip-Emp'!B:F,5,0)</f>
        <v>Bebidas Cambio de bebida</v>
      </c>
      <c r="O1322" t="str">
        <f>VLOOKUP(D1322,'Jer-Tip-Emp'!B:G,6,0)</f>
        <v>Bebidas</v>
      </c>
    </row>
    <row r="1323" spans="1:15" ht="27.5" hidden="1" customHeight="1" x14ac:dyDescent="0.2">
      <c r="A1323">
        <v>2025</v>
      </c>
      <c r="B1323" t="s">
        <v>616</v>
      </c>
      <c r="C1323" t="s">
        <v>609</v>
      </c>
      <c r="D1323" s="19" t="s">
        <v>193</v>
      </c>
      <c r="E1323" s="18" t="s">
        <v>18</v>
      </c>
      <c r="F1323" s="18">
        <v>2</v>
      </c>
      <c r="G1323" s="20">
        <v>13800</v>
      </c>
      <c r="H1323" s="18">
        <v>0</v>
      </c>
      <c r="I1323" s="20">
        <v>6216</v>
      </c>
      <c r="J1323" s="8">
        <f t="shared" si="60"/>
        <v>7584</v>
      </c>
      <c r="K1323" s="10">
        <f t="shared" si="61"/>
        <v>0.54956521739130437</v>
      </c>
      <c r="L1323" s="17">
        <f t="shared" si="62"/>
        <v>0</v>
      </c>
      <c r="M1323" t="str">
        <f>VLOOKUP(D1323,'Jer-Tip-Emp'!B:E,4,0)</f>
        <v>Adición</v>
      </c>
      <c r="N1323" t="str">
        <f>VLOOKUP(D1323,'Jer-Tip-Emp'!B:F,5,0)</f>
        <v>Adición</v>
      </c>
      <c r="O1323" t="str">
        <f>VLOOKUP(D1323,'Jer-Tip-Emp'!B:G,6,0)</f>
        <v>Adición</v>
      </c>
    </row>
    <row r="1324" spans="1:15" ht="27.5" hidden="1" customHeight="1" x14ac:dyDescent="0.2">
      <c r="A1324">
        <v>2025</v>
      </c>
      <c r="B1324" t="s">
        <v>616</v>
      </c>
      <c r="C1324" t="s">
        <v>609</v>
      </c>
      <c r="D1324" s="19" t="s">
        <v>275</v>
      </c>
      <c r="E1324" s="18" t="s">
        <v>16</v>
      </c>
      <c r="F1324" s="18">
        <v>2</v>
      </c>
      <c r="G1324" s="20">
        <v>13800</v>
      </c>
      <c r="H1324" s="18">
        <v>0</v>
      </c>
      <c r="I1324" s="20">
        <v>4490</v>
      </c>
      <c r="J1324" s="8">
        <f t="shared" si="60"/>
        <v>9310</v>
      </c>
      <c r="K1324" s="10">
        <f t="shared" si="61"/>
        <v>0.67463768115942024</v>
      </c>
      <c r="L1324" s="17">
        <f t="shared" si="62"/>
        <v>0</v>
      </c>
      <c r="M1324" t="str">
        <f>VLOOKUP(D1324,'Jer-Tip-Emp'!B:E,4,0)</f>
        <v>Adición</v>
      </c>
      <c r="N1324" t="str">
        <f>VLOOKUP(D1324,'Jer-Tip-Emp'!B:F,5,0)</f>
        <v>Adición</v>
      </c>
      <c r="O1324" t="str">
        <f>VLOOKUP(D1324,'Jer-Tip-Emp'!B:G,6,0)</f>
        <v>Adición</v>
      </c>
    </row>
    <row r="1325" spans="1:15" ht="27.5" hidden="1" customHeight="1" x14ac:dyDescent="0.2">
      <c r="A1325">
        <v>2025</v>
      </c>
      <c r="B1325" t="s">
        <v>616</v>
      </c>
      <c r="C1325" t="s">
        <v>609</v>
      </c>
      <c r="D1325" s="19" t="s">
        <v>308</v>
      </c>
      <c r="E1325" s="18" t="s">
        <v>606</v>
      </c>
      <c r="F1325" s="18">
        <v>2</v>
      </c>
      <c r="G1325" s="20">
        <v>4000</v>
      </c>
      <c r="H1325" s="18">
        <v>0</v>
      </c>
      <c r="I1325" s="18">
        <v>0</v>
      </c>
      <c r="J1325" s="8">
        <f t="shared" si="60"/>
        <v>4000</v>
      </c>
      <c r="K1325" s="10">
        <f t="shared" si="61"/>
        <v>1</v>
      </c>
      <c r="L1325" s="17">
        <f t="shared" si="62"/>
        <v>0</v>
      </c>
      <c r="M1325" t="str">
        <f>VLOOKUP(D1325,'Jer-Tip-Emp'!B:E,4,0)</f>
        <v>Bebidas</v>
      </c>
      <c r="N1325" t="str">
        <f>VLOOKUP(D1325,'Jer-Tip-Emp'!B:F,5,0)</f>
        <v>Bebidas Cambio de bebida</v>
      </c>
      <c r="O1325" t="str">
        <f>VLOOKUP(D1325,'Jer-Tip-Emp'!B:G,6,0)</f>
        <v>Bebidas</v>
      </c>
    </row>
    <row r="1326" spans="1:15" ht="27.5" hidden="1" customHeight="1" x14ac:dyDescent="0.2">
      <c r="A1326">
        <v>2025</v>
      </c>
      <c r="B1326" t="s">
        <v>616</v>
      </c>
      <c r="C1326" t="s">
        <v>609</v>
      </c>
      <c r="D1326" s="19" t="s">
        <v>365</v>
      </c>
      <c r="E1326" s="18" t="s">
        <v>558</v>
      </c>
      <c r="F1326" s="18">
        <v>2</v>
      </c>
      <c r="G1326" s="20">
        <v>1000</v>
      </c>
      <c r="H1326" s="18">
        <v>0</v>
      </c>
      <c r="I1326" s="20">
        <v>3138</v>
      </c>
      <c r="J1326" s="8">
        <f t="shared" si="60"/>
        <v>-2138</v>
      </c>
      <c r="K1326" s="10">
        <f t="shared" si="61"/>
        <v>-2.1379999999999999</v>
      </c>
      <c r="L1326" s="17">
        <f t="shared" si="62"/>
        <v>0</v>
      </c>
      <c r="M1326" t="str">
        <f>VLOOKUP(D1326,'Jer-Tip-Emp'!B:E,4,0)</f>
        <v>Adición</v>
      </c>
      <c r="N1326" t="str">
        <f>VLOOKUP(D1326,'Jer-Tip-Emp'!B:F,5,0)</f>
        <v>Otro</v>
      </c>
      <c r="O1326" t="str">
        <f>VLOOKUP(D1326,'Jer-Tip-Emp'!B:G,6,0)</f>
        <v>Otro</v>
      </c>
    </row>
    <row r="1327" spans="1:15" ht="27.5" hidden="1" customHeight="1" x14ac:dyDescent="0.2">
      <c r="A1327">
        <v>2025</v>
      </c>
      <c r="B1327" t="s">
        <v>616</v>
      </c>
      <c r="C1327" t="s">
        <v>609</v>
      </c>
      <c r="D1327" s="19" t="s">
        <v>492</v>
      </c>
      <c r="E1327" s="18" t="s">
        <v>577</v>
      </c>
      <c r="F1327" s="18">
        <v>2</v>
      </c>
      <c r="G1327" s="20">
        <v>3200</v>
      </c>
      <c r="H1327" s="18">
        <v>0</v>
      </c>
      <c r="I1327" s="20">
        <v>3790</v>
      </c>
      <c r="J1327" s="8">
        <f t="shared" si="60"/>
        <v>-590</v>
      </c>
      <c r="K1327" s="10">
        <f t="shared" si="61"/>
        <v>-0.18437500000000001</v>
      </c>
      <c r="L1327" s="17">
        <f t="shared" si="62"/>
        <v>0</v>
      </c>
      <c r="M1327" t="str">
        <f>VLOOKUP(D1327,'Jer-Tip-Emp'!B:E,4,0)</f>
        <v>Bebidas</v>
      </c>
      <c r="N1327" t="str">
        <f>VLOOKUP(D1327,'Jer-Tip-Emp'!B:F,5,0)</f>
        <v>Bebidas Cambio de bebida</v>
      </c>
      <c r="O1327" t="str">
        <f>VLOOKUP(D1327,'Jer-Tip-Emp'!B:G,6,0)</f>
        <v>Bebidas</v>
      </c>
    </row>
    <row r="1328" spans="1:15" ht="27.5" customHeight="1" x14ac:dyDescent="0.2">
      <c r="A1328">
        <v>2025</v>
      </c>
      <c r="B1328" t="s">
        <v>616</v>
      </c>
      <c r="C1328" t="s">
        <v>609</v>
      </c>
      <c r="D1328" s="19" t="s">
        <v>265</v>
      </c>
      <c r="E1328" s="18" t="s">
        <v>140</v>
      </c>
      <c r="F1328" s="18">
        <v>1</v>
      </c>
      <c r="G1328" s="20">
        <v>85900</v>
      </c>
      <c r="H1328" s="18">
        <v>0</v>
      </c>
      <c r="I1328" s="20">
        <v>32179</v>
      </c>
      <c r="J1328" s="8">
        <f t="shared" si="60"/>
        <v>53721</v>
      </c>
      <c r="K1328" s="10">
        <f t="shared" si="61"/>
        <v>0.62538998835855641</v>
      </c>
      <c r="L1328" s="17">
        <f t="shared" si="62"/>
        <v>0</v>
      </c>
      <c r="M1328" t="str">
        <f>VLOOKUP(D1328,'Jer-Tip-Emp'!B:E,4,0)</f>
        <v>Platos mong</v>
      </c>
      <c r="N1328" t="str">
        <f>VLOOKUP(D1328,'Jer-Tip-Emp'!B:F,5,0)</f>
        <v>No Personal</v>
      </c>
      <c r="O1328" t="str">
        <f>VLOOKUP(D1328,'Jer-Tip-Emp'!B:G,6,0)</f>
        <v>Caja</v>
      </c>
    </row>
    <row r="1329" spans="1:15" ht="27.5" hidden="1" customHeight="1" x14ac:dyDescent="0.2">
      <c r="A1329">
        <v>2025</v>
      </c>
      <c r="B1329" t="s">
        <v>616</v>
      </c>
      <c r="C1329" t="s">
        <v>609</v>
      </c>
      <c r="D1329" s="19" t="s">
        <v>496</v>
      </c>
      <c r="E1329" s="18" t="s">
        <v>581</v>
      </c>
      <c r="F1329" s="18">
        <v>1</v>
      </c>
      <c r="G1329" s="20">
        <v>1600</v>
      </c>
      <c r="H1329" s="18">
        <v>0</v>
      </c>
      <c r="I1329" s="20">
        <v>1896</v>
      </c>
      <c r="J1329" s="8">
        <f t="shared" si="60"/>
        <v>-296</v>
      </c>
      <c r="K1329" s="10">
        <f t="shared" si="61"/>
        <v>-0.185</v>
      </c>
      <c r="L1329" s="17">
        <f t="shared" si="62"/>
        <v>0</v>
      </c>
      <c r="M1329" t="str">
        <f>VLOOKUP(D1329,'Jer-Tip-Emp'!B:E,4,0)</f>
        <v>Bebidas</v>
      </c>
      <c r="N1329" t="str">
        <f>VLOOKUP(D1329,'Jer-Tip-Emp'!B:F,5,0)</f>
        <v>Bebidas Cambio de bebida</v>
      </c>
      <c r="O1329" t="str">
        <f>VLOOKUP(D1329,'Jer-Tip-Emp'!B:G,6,0)</f>
        <v>Bebidas</v>
      </c>
    </row>
    <row r="1330" spans="1:15" ht="27.5" customHeight="1" x14ac:dyDescent="0.2">
      <c r="A1330">
        <v>2025</v>
      </c>
      <c r="B1330" t="s">
        <v>616</v>
      </c>
      <c r="C1330" t="s">
        <v>609</v>
      </c>
      <c r="D1330" s="19" t="s">
        <v>241</v>
      </c>
      <c r="E1330" s="18" t="s">
        <v>107</v>
      </c>
      <c r="F1330" s="18">
        <v>1</v>
      </c>
      <c r="G1330" s="20">
        <v>94900</v>
      </c>
      <c r="H1330" s="18">
        <v>0</v>
      </c>
      <c r="I1330" s="20">
        <v>42704</v>
      </c>
      <c r="J1330" s="8">
        <f t="shared" si="60"/>
        <v>52196</v>
      </c>
      <c r="K1330" s="10">
        <f t="shared" si="61"/>
        <v>0.55001053740779771</v>
      </c>
      <c r="L1330" s="17">
        <f t="shared" si="62"/>
        <v>0</v>
      </c>
      <c r="M1330" t="str">
        <f>VLOOKUP(D1330,'Jer-Tip-Emp'!B:E,4,0)</f>
        <v>Platos mong</v>
      </c>
      <c r="N1330" t="str">
        <f>VLOOKUP(D1330,'Jer-Tip-Emp'!B:F,5,0)</f>
        <v>No Personal</v>
      </c>
      <c r="O1330" t="str">
        <f>VLOOKUP(D1330,'Jer-Tip-Emp'!B:G,6,0)</f>
        <v>Caja</v>
      </c>
    </row>
    <row r="1331" spans="1:15" ht="27.5" customHeight="1" x14ac:dyDescent="0.2">
      <c r="A1331">
        <v>2025</v>
      </c>
      <c r="B1331" t="s">
        <v>616</v>
      </c>
      <c r="C1331" t="s">
        <v>609</v>
      </c>
      <c r="D1331" s="19" t="s">
        <v>293</v>
      </c>
      <c r="E1331" s="18" t="s">
        <v>127</v>
      </c>
      <c r="F1331" s="18">
        <v>1</v>
      </c>
      <c r="G1331" s="20">
        <v>77900</v>
      </c>
      <c r="H1331" s="18">
        <v>0</v>
      </c>
      <c r="I1331" s="20">
        <v>28057</v>
      </c>
      <c r="J1331" s="8">
        <f t="shared" si="60"/>
        <v>49843</v>
      </c>
      <c r="K1331" s="10">
        <f t="shared" si="61"/>
        <v>0.63983311938382537</v>
      </c>
      <c r="L1331" s="17">
        <f t="shared" si="62"/>
        <v>0</v>
      </c>
      <c r="M1331" t="str">
        <f>VLOOKUP(D1331,'Jer-Tip-Emp'!B:E,4,0)</f>
        <v>Platos mong</v>
      </c>
      <c r="N1331" t="str">
        <f>VLOOKUP(D1331,'Jer-Tip-Emp'!B:F,5,0)</f>
        <v>No Personal</v>
      </c>
      <c r="O1331" t="str">
        <f>VLOOKUP(D1331,'Jer-Tip-Emp'!B:G,6,0)</f>
        <v>Caja</v>
      </c>
    </row>
    <row r="1332" spans="1:15" ht="27.5" hidden="1" customHeight="1" x14ac:dyDescent="0.2">
      <c r="A1332">
        <v>2025</v>
      </c>
      <c r="B1332" t="s">
        <v>616</v>
      </c>
      <c r="C1332" t="s">
        <v>609</v>
      </c>
      <c r="D1332" s="19" t="s">
        <v>411</v>
      </c>
      <c r="E1332" s="18" t="s">
        <v>569</v>
      </c>
      <c r="F1332" s="18">
        <v>1</v>
      </c>
      <c r="G1332" s="20">
        <v>1600</v>
      </c>
      <c r="H1332" s="18">
        <v>0</v>
      </c>
      <c r="I1332" s="20">
        <v>2235</v>
      </c>
      <c r="J1332" s="8">
        <f t="shared" si="60"/>
        <v>-635</v>
      </c>
      <c r="K1332" s="10">
        <f t="shared" si="61"/>
        <v>-0.39687499999999998</v>
      </c>
      <c r="L1332" s="17">
        <f t="shared" si="62"/>
        <v>0</v>
      </c>
      <c r="M1332" t="str">
        <f>VLOOKUP(D1332,'Jer-Tip-Emp'!B:E,4,0)</f>
        <v>Bebidas</v>
      </c>
      <c r="N1332" t="str">
        <f>VLOOKUP(D1332,'Jer-Tip-Emp'!B:F,5,0)</f>
        <v>Bebidas Cambio de bebida</v>
      </c>
      <c r="O1332" t="str">
        <f>VLOOKUP(D1332,'Jer-Tip-Emp'!B:G,6,0)</f>
        <v>Bebidas</v>
      </c>
    </row>
    <row r="1333" spans="1:15" ht="27.5" hidden="1" customHeight="1" x14ac:dyDescent="0.2">
      <c r="A1333">
        <v>2025</v>
      </c>
      <c r="B1333" t="s">
        <v>616</v>
      </c>
      <c r="C1333" t="s">
        <v>609</v>
      </c>
      <c r="D1333" s="19" t="s">
        <v>463</v>
      </c>
      <c r="E1333" s="18" t="s">
        <v>575</v>
      </c>
      <c r="F1333" s="18">
        <v>1</v>
      </c>
      <c r="G1333" s="20">
        <v>1600</v>
      </c>
      <c r="H1333" s="18">
        <v>0</v>
      </c>
      <c r="I1333" s="18">
        <v>950</v>
      </c>
      <c r="J1333" s="8">
        <f t="shared" si="60"/>
        <v>650</v>
      </c>
      <c r="K1333" s="10">
        <f t="shared" si="61"/>
        <v>0.40625</v>
      </c>
      <c r="L1333" s="17">
        <f t="shared" si="62"/>
        <v>0</v>
      </c>
      <c r="M1333" t="str">
        <f>VLOOKUP(D1333,'Jer-Tip-Emp'!B:E,4,0)</f>
        <v>Bebidas</v>
      </c>
      <c r="N1333" t="str">
        <f>VLOOKUP(D1333,'Jer-Tip-Emp'!B:F,5,0)</f>
        <v>Bebidas Cambio de bebida</v>
      </c>
      <c r="O1333" t="str">
        <f>VLOOKUP(D1333,'Jer-Tip-Emp'!B:G,6,0)</f>
        <v>Bebidas</v>
      </c>
    </row>
    <row r="1334" spans="1:15" ht="27.5" customHeight="1" x14ac:dyDescent="0.2">
      <c r="A1334">
        <v>2025</v>
      </c>
      <c r="B1334" t="s">
        <v>616</v>
      </c>
      <c r="C1334" t="s">
        <v>609</v>
      </c>
      <c r="D1334" s="19" t="s">
        <v>240</v>
      </c>
      <c r="E1334" s="18" t="s">
        <v>139</v>
      </c>
      <c r="F1334" s="18">
        <v>1</v>
      </c>
      <c r="G1334" s="20">
        <v>55900</v>
      </c>
      <c r="H1334" s="18">
        <v>0</v>
      </c>
      <c r="I1334" s="20">
        <v>24255</v>
      </c>
      <c r="J1334" s="8">
        <f t="shared" si="60"/>
        <v>31645</v>
      </c>
      <c r="K1334" s="10">
        <f t="shared" si="61"/>
        <v>0.5661001788908766</v>
      </c>
      <c r="L1334" s="17">
        <f t="shared" si="62"/>
        <v>0</v>
      </c>
      <c r="M1334" t="str">
        <f>VLOOKUP(D1334,'Jer-Tip-Emp'!B:E,4,0)</f>
        <v>Platos mong</v>
      </c>
      <c r="N1334" t="str">
        <f>VLOOKUP(D1334,'Jer-Tip-Emp'!B:F,5,0)</f>
        <v>No Personal</v>
      </c>
      <c r="O1334" t="str">
        <f>VLOOKUP(D1334,'Jer-Tip-Emp'!B:G,6,0)</f>
        <v>Caja</v>
      </c>
    </row>
    <row r="1335" spans="1:15" ht="27.5" hidden="1" customHeight="1" x14ac:dyDescent="0.2">
      <c r="A1335">
        <v>2025</v>
      </c>
      <c r="B1335" t="s">
        <v>616</v>
      </c>
      <c r="C1335" t="s">
        <v>609</v>
      </c>
      <c r="D1335" s="19" t="s">
        <v>452</v>
      </c>
      <c r="E1335" s="18" t="s">
        <v>573</v>
      </c>
      <c r="F1335" s="18">
        <v>1</v>
      </c>
      <c r="G1335" s="20">
        <v>1600</v>
      </c>
      <c r="H1335" s="18">
        <v>0</v>
      </c>
      <c r="I1335" s="20">
        <v>1874</v>
      </c>
      <c r="J1335" s="8">
        <f t="shared" si="60"/>
        <v>-274</v>
      </c>
      <c r="K1335" s="10">
        <f t="shared" si="61"/>
        <v>-0.17125000000000001</v>
      </c>
      <c r="L1335" s="17">
        <f t="shared" si="62"/>
        <v>0</v>
      </c>
      <c r="M1335" t="str">
        <f>VLOOKUP(D1335,'Jer-Tip-Emp'!B:E,4,0)</f>
        <v>Bebidas</v>
      </c>
      <c r="N1335" t="str">
        <f>VLOOKUP(D1335,'Jer-Tip-Emp'!B:F,5,0)</f>
        <v>Bebidas Cambio de bebida</v>
      </c>
      <c r="O1335" t="str">
        <f>VLOOKUP(D1335,'Jer-Tip-Emp'!B:G,6,0)</f>
        <v>Bebidas</v>
      </c>
    </row>
    <row r="1336" spans="1:15" ht="27.5" customHeight="1" x14ac:dyDescent="0.2">
      <c r="A1336">
        <v>2025</v>
      </c>
      <c r="B1336" t="s">
        <v>616</v>
      </c>
      <c r="C1336" t="s">
        <v>609</v>
      </c>
      <c r="D1336" s="19" t="s">
        <v>204</v>
      </c>
      <c r="E1336" s="18" t="s">
        <v>154</v>
      </c>
      <c r="F1336" s="18">
        <v>1</v>
      </c>
      <c r="G1336" s="20">
        <v>45900</v>
      </c>
      <c r="H1336" s="18">
        <v>0</v>
      </c>
      <c r="I1336" s="20">
        <v>19441</v>
      </c>
      <c r="J1336" s="8">
        <f t="shared" si="60"/>
        <v>26459</v>
      </c>
      <c r="K1336" s="10">
        <f t="shared" si="61"/>
        <v>0.57644880174291935</v>
      </c>
      <c r="L1336" s="17">
        <f t="shared" si="62"/>
        <v>0</v>
      </c>
      <c r="M1336" t="str">
        <f>VLOOKUP(D1336,'Jer-Tip-Emp'!B:E,4,0)</f>
        <v>Platos mong</v>
      </c>
      <c r="N1336" t="str">
        <f>VLOOKUP(D1336,'Jer-Tip-Emp'!B:F,5,0)</f>
        <v>No Personal</v>
      </c>
      <c r="O1336" t="str">
        <f>VLOOKUP(D1336,'Jer-Tip-Emp'!B:G,6,0)</f>
        <v>Caja</v>
      </c>
    </row>
    <row r="1337" spans="1:15" ht="27.5" customHeight="1" x14ac:dyDescent="0.2">
      <c r="A1337">
        <v>2025</v>
      </c>
      <c r="B1337" t="s">
        <v>616</v>
      </c>
      <c r="C1337" t="s">
        <v>609</v>
      </c>
      <c r="D1337" s="19" t="s">
        <v>208</v>
      </c>
      <c r="E1337" s="18" t="s">
        <v>30</v>
      </c>
      <c r="F1337" s="18">
        <v>1</v>
      </c>
      <c r="G1337" s="20">
        <v>7900</v>
      </c>
      <c r="H1337" s="18">
        <v>0</v>
      </c>
      <c r="I1337" s="20">
        <v>2917</v>
      </c>
      <c r="J1337" s="8">
        <f t="shared" si="60"/>
        <v>4983</v>
      </c>
      <c r="K1337" s="10">
        <f t="shared" si="61"/>
        <v>0.63075949367088613</v>
      </c>
      <c r="L1337" s="17">
        <f t="shared" si="62"/>
        <v>0</v>
      </c>
      <c r="M1337" t="str">
        <f>VLOOKUP(D1337,'Jer-Tip-Emp'!B:E,4,0)</f>
        <v>Armalo en combo</v>
      </c>
      <c r="N1337" t="str">
        <f>VLOOKUP(D1337,'Jer-Tip-Emp'!B:F,5,0)</f>
        <v>Personal</v>
      </c>
      <c r="O1337" t="str">
        <f>VLOOKUP(D1337,'Jer-Tip-Emp'!B:G,6,0)</f>
        <v>Combo</v>
      </c>
    </row>
    <row r="1338" spans="1:15" ht="27.5" customHeight="1" x14ac:dyDescent="0.2">
      <c r="A1338">
        <v>2025</v>
      </c>
      <c r="B1338" t="s">
        <v>616</v>
      </c>
      <c r="C1338" t="s">
        <v>609</v>
      </c>
      <c r="D1338" s="19" t="s">
        <v>279</v>
      </c>
      <c r="E1338" s="18" t="s">
        <v>132</v>
      </c>
      <c r="F1338" s="18">
        <v>1</v>
      </c>
      <c r="G1338" s="20">
        <v>41900</v>
      </c>
      <c r="H1338" s="18">
        <v>0</v>
      </c>
      <c r="I1338" s="20">
        <v>11217</v>
      </c>
      <c r="J1338" s="8">
        <f t="shared" si="60"/>
        <v>30683</v>
      </c>
      <c r="K1338" s="10">
        <f t="shared" si="61"/>
        <v>0.73229116945107398</v>
      </c>
      <c r="L1338" s="17">
        <f t="shared" si="62"/>
        <v>0</v>
      </c>
      <c r="M1338" t="str">
        <f>VLOOKUP(D1338,'Jer-Tip-Emp'!B:E,4,0)</f>
        <v>Platos mong</v>
      </c>
      <c r="N1338" t="str">
        <f>VLOOKUP(D1338,'Jer-Tip-Emp'!B:F,5,0)</f>
        <v>No Personal</v>
      </c>
      <c r="O1338" t="str">
        <f>VLOOKUP(D1338,'Jer-Tip-Emp'!B:G,6,0)</f>
        <v>Caja</v>
      </c>
    </row>
    <row r="1339" spans="1:15" ht="27.5" hidden="1" customHeight="1" x14ac:dyDescent="0.2">
      <c r="A1339">
        <v>2025</v>
      </c>
      <c r="B1339" t="s">
        <v>616</v>
      </c>
      <c r="C1339" t="s">
        <v>609</v>
      </c>
      <c r="D1339" s="19" t="s">
        <v>300</v>
      </c>
      <c r="E1339" s="18" t="s">
        <v>26</v>
      </c>
      <c r="F1339" s="18">
        <v>1</v>
      </c>
      <c r="G1339" s="20">
        <v>7900</v>
      </c>
      <c r="H1339" s="18">
        <v>0</v>
      </c>
      <c r="I1339" s="18">
        <v>0</v>
      </c>
      <c r="J1339" s="8">
        <f t="shared" si="60"/>
        <v>7900</v>
      </c>
      <c r="K1339" s="10">
        <f t="shared" si="61"/>
        <v>1</v>
      </c>
      <c r="L1339" s="17">
        <f t="shared" si="62"/>
        <v>0</v>
      </c>
      <c r="M1339" t="str">
        <f>VLOOKUP(D1339,'Jer-Tip-Emp'!B:E,4,0)</f>
        <v>Adición</v>
      </c>
      <c r="N1339" t="str">
        <f>VLOOKUP(D1339,'Jer-Tip-Emp'!B:F,5,0)</f>
        <v>Adición</v>
      </c>
      <c r="O1339" t="str">
        <f>VLOOKUP(D1339,'Jer-Tip-Emp'!B:G,6,0)</f>
        <v>Adición</v>
      </c>
    </row>
    <row r="1340" spans="1:15" ht="27.5" hidden="1" customHeight="1" x14ac:dyDescent="0.2">
      <c r="A1340">
        <v>2025</v>
      </c>
      <c r="B1340" t="s">
        <v>616</v>
      </c>
      <c r="C1340" t="s">
        <v>609</v>
      </c>
      <c r="D1340" s="19" t="s">
        <v>254</v>
      </c>
      <c r="E1340" s="18" t="s">
        <v>20</v>
      </c>
      <c r="F1340" s="18">
        <v>1</v>
      </c>
      <c r="G1340" s="20">
        <v>4900</v>
      </c>
      <c r="H1340" s="18">
        <v>0</v>
      </c>
      <c r="I1340" s="20">
        <v>3010</v>
      </c>
      <c r="J1340" s="8">
        <f t="shared" si="60"/>
        <v>1890</v>
      </c>
      <c r="K1340" s="10">
        <f t="shared" si="61"/>
        <v>0.38571428571428573</v>
      </c>
      <c r="L1340" s="17">
        <f t="shared" si="62"/>
        <v>0</v>
      </c>
      <c r="M1340" t="str">
        <f>VLOOKUP(D1340,'Jer-Tip-Emp'!B:E,4,0)</f>
        <v>Adición</v>
      </c>
      <c r="N1340" t="str">
        <f>VLOOKUP(D1340,'Jer-Tip-Emp'!B:F,5,0)</f>
        <v>Adición</v>
      </c>
      <c r="O1340" t="str">
        <f>VLOOKUP(D1340,'Jer-Tip-Emp'!B:G,6,0)</f>
        <v>Adición</v>
      </c>
    </row>
    <row r="1341" spans="1:15" ht="27.5" customHeight="1" x14ac:dyDescent="0.2">
      <c r="A1341">
        <v>2025</v>
      </c>
      <c r="B1341" t="s">
        <v>616</v>
      </c>
      <c r="C1341" t="s">
        <v>609</v>
      </c>
      <c r="D1341" s="19" t="s">
        <v>260</v>
      </c>
      <c r="E1341" s="18" t="s">
        <v>97</v>
      </c>
      <c r="F1341" s="18">
        <v>1</v>
      </c>
      <c r="G1341" s="20">
        <v>56900</v>
      </c>
      <c r="H1341" s="18">
        <v>0</v>
      </c>
      <c r="I1341" s="20">
        <v>20911</v>
      </c>
      <c r="J1341" s="8">
        <f t="shared" si="60"/>
        <v>35989</v>
      </c>
      <c r="K1341" s="10">
        <f t="shared" si="61"/>
        <v>0.63249560632688928</v>
      </c>
      <c r="L1341" s="17">
        <f t="shared" si="62"/>
        <v>0</v>
      </c>
      <c r="M1341" t="str">
        <f>VLOOKUP(D1341,'Jer-Tip-Emp'!B:E,4,0)</f>
        <v>Platos mong</v>
      </c>
      <c r="N1341" t="str">
        <f>VLOOKUP(D1341,'Jer-Tip-Emp'!B:F,5,0)</f>
        <v>No Personal</v>
      </c>
      <c r="O1341" t="str">
        <f>VLOOKUP(D1341,'Jer-Tip-Emp'!B:G,6,0)</f>
        <v>Caja</v>
      </c>
    </row>
    <row r="1342" spans="1:15" ht="27.5" customHeight="1" x14ac:dyDescent="0.2">
      <c r="A1342">
        <v>2025</v>
      </c>
      <c r="B1342" t="s">
        <v>616</v>
      </c>
      <c r="C1342" t="s">
        <v>609</v>
      </c>
      <c r="D1342" s="19" t="s">
        <v>181</v>
      </c>
      <c r="E1342" s="18" t="s">
        <v>121</v>
      </c>
      <c r="F1342" s="18">
        <v>1</v>
      </c>
      <c r="G1342" s="20">
        <v>19900</v>
      </c>
      <c r="H1342" s="18">
        <v>0</v>
      </c>
      <c r="I1342" s="20">
        <v>6138</v>
      </c>
      <c r="J1342" s="8">
        <f t="shared" si="60"/>
        <v>13762</v>
      </c>
      <c r="K1342" s="10">
        <f t="shared" si="61"/>
        <v>0.69155778894472364</v>
      </c>
      <c r="L1342" s="17">
        <f t="shared" si="62"/>
        <v>0</v>
      </c>
      <c r="M1342" t="str">
        <f>VLOOKUP(D1342,'Jer-Tip-Emp'!B:E,4,0)</f>
        <v>Platos mong</v>
      </c>
      <c r="N1342" t="str">
        <f>VLOOKUP(D1342,'Jer-Tip-Emp'!B:F,5,0)</f>
        <v>Personal</v>
      </c>
      <c r="O1342" t="str">
        <f>VLOOKUP(D1342,'Jer-Tip-Emp'!B:G,6,0)</f>
        <v>Caja</v>
      </c>
    </row>
    <row r="1343" spans="1:15" ht="27.5" hidden="1" customHeight="1" x14ac:dyDescent="0.2">
      <c r="A1343">
        <v>2025</v>
      </c>
      <c r="B1343" t="s">
        <v>616</v>
      </c>
      <c r="C1343" t="s">
        <v>594</v>
      </c>
      <c r="D1343" s="19" t="s">
        <v>173</v>
      </c>
      <c r="E1343" s="18" t="s">
        <v>542</v>
      </c>
      <c r="F1343" s="18">
        <v>58</v>
      </c>
      <c r="G1343" s="18">
        <v>0</v>
      </c>
      <c r="H1343" s="18">
        <v>0</v>
      </c>
      <c r="I1343" s="18">
        <v>0</v>
      </c>
      <c r="J1343" s="8">
        <f t="shared" si="60"/>
        <v>0</v>
      </c>
      <c r="K1343" s="10">
        <f t="shared" si="61"/>
        <v>0</v>
      </c>
      <c r="L1343" s="17">
        <f t="shared" si="62"/>
        <v>0</v>
      </c>
      <c r="M1343" t="str">
        <f>VLOOKUP(D1343,'Jer-Tip-Emp'!B:E,4,0)</f>
        <v>Bebidas</v>
      </c>
      <c r="N1343" t="str">
        <f>VLOOKUP(D1343,'Jer-Tip-Emp'!B:F,5,0)</f>
        <v>Bebidas Cambio de bebida</v>
      </c>
      <c r="O1343" t="str">
        <f>VLOOKUP(D1343,'Jer-Tip-Emp'!B:G,6,0)</f>
        <v>Bebidas</v>
      </c>
    </row>
    <row r="1344" spans="1:15" ht="27.5" customHeight="1" x14ac:dyDescent="0.2">
      <c r="A1344">
        <v>2025</v>
      </c>
      <c r="B1344" t="s">
        <v>616</v>
      </c>
      <c r="C1344" t="s">
        <v>594</v>
      </c>
      <c r="D1344" s="19" t="s">
        <v>207</v>
      </c>
      <c r="E1344" s="18" t="s">
        <v>92</v>
      </c>
      <c r="F1344" s="18">
        <v>38</v>
      </c>
      <c r="G1344" s="20">
        <v>1047900</v>
      </c>
      <c r="H1344" s="20">
        <v>-164300</v>
      </c>
      <c r="I1344" s="20">
        <v>365826</v>
      </c>
      <c r="J1344" s="8">
        <f t="shared" si="60"/>
        <v>682074</v>
      </c>
      <c r="K1344" s="10">
        <f t="shared" si="61"/>
        <v>0.65089607787002579</v>
      </c>
      <c r="L1344" s="17">
        <f t="shared" si="62"/>
        <v>0.15678977001622293</v>
      </c>
      <c r="M1344" t="str">
        <f>VLOOKUP(D1344,'Jer-Tip-Emp'!B:E,4,0)</f>
        <v>Combos personales</v>
      </c>
      <c r="N1344" t="str">
        <f>VLOOKUP(D1344,'Jer-Tip-Emp'!B:F,5,0)</f>
        <v>Personal</v>
      </c>
      <c r="O1344" t="str">
        <f>VLOOKUP(D1344,'Jer-Tip-Emp'!B:G,6,0)</f>
        <v>Combo</v>
      </c>
    </row>
    <row r="1345" spans="1:15" ht="27.5" customHeight="1" x14ac:dyDescent="0.2">
      <c r="A1345">
        <v>2025</v>
      </c>
      <c r="B1345" t="s">
        <v>616</v>
      </c>
      <c r="C1345" t="s">
        <v>594</v>
      </c>
      <c r="D1345" s="19" t="s">
        <v>184</v>
      </c>
      <c r="E1345" s="18" t="s">
        <v>162</v>
      </c>
      <c r="F1345" s="18">
        <v>33</v>
      </c>
      <c r="G1345" s="20">
        <v>805750</v>
      </c>
      <c r="H1345" s="20">
        <v>-81950</v>
      </c>
      <c r="I1345" s="18">
        <v>0</v>
      </c>
      <c r="J1345" s="8">
        <f t="shared" ref="J1345:J1408" si="63">G1345-I1345</f>
        <v>805750</v>
      </c>
      <c r="K1345" s="10">
        <f t="shared" ref="K1345:K1408" si="64">IFERROR(J1345/G1345,0)</f>
        <v>1</v>
      </c>
      <c r="L1345" s="17">
        <f t="shared" ref="L1345:L1408" si="65">IFERROR((H1345/G1345)*-1,0)</f>
        <v>0.10170648464163823</v>
      </c>
      <c r="M1345" t="str">
        <f>VLOOKUP(D1345,'Jer-Tip-Emp'!B:E,4,0)</f>
        <v>Combos personales</v>
      </c>
      <c r="N1345" t="str">
        <f>VLOOKUP(D1345,'Jer-Tip-Emp'!B:F,5,0)</f>
        <v>Personal</v>
      </c>
      <c r="O1345" t="str">
        <f>VLOOKUP(D1345,'Jer-Tip-Emp'!B:G,6,0)</f>
        <v>Caja</v>
      </c>
    </row>
    <row r="1346" spans="1:15" ht="27.5" hidden="1" customHeight="1" x14ac:dyDescent="0.2">
      <c r="A1346">
        <v>2025</v>
      </c>
      <c r="B1346" t="s">
        <v>616</v>
      </c>
      <c r="C1346" t="s">
        <v>594</v>
      </c>
      <c r="D1346" s="19" t="s">
        <v>346</v>
      </c>
      <c r="E1346" s="18" t="s">
        <v>551</v>
      </c>
      <c r="F1346" s="18">
        <v>18</v>
      </c>
      <c r="G1346" s="18">
        <v>0</v>
      </c>
      <c r="H1346" s="18">
        <v>0</v>
      </c>
      <c r="I1346" s="18">
        <v>0</v>
      </c>
      <c r="J1346" s="8">
        <f t="shared" si="63"/>
        <v>0</v>
      </c>
      <c r="K1346" s="10">
        <f t="shared" si="64"/>
        <v>0</v>
      </c>
      <c r="L1346" s="17">
        <f t="shared" si="65"/>
        <v>0</v>
      </c>
      <c r="M1346" t="str">
        <f>VLOOKUP(D1346,'Jer-Tip-Emp'!B:E,4,0)</f>
        <v>Adición</v>
      </c>
      <c r="N1346" t="str">
        <f>VLOOKUP(D1346,'Jer-Tip-Emp'!B:F,5,0)</f>
        <v>Adición</v>
      </c>
      <c r="O1346" t="str">
        <f>VLOOKUP(D1346,'Jer-Tip-Emp'!B:G,6,0)</f>
        <v>Adición</v>
      </c>
    </row>
    <row r="1347" spans="1:15" ht="27.5" hidden="1" customHeight="1" x14ac:dyDescent="0.2">
      <c r="A1347">
        <v>2025</v>
      </c>
      <c r="B1347" t="s">
        <v>616</v>
      </c>
      <c r="C1347" t="s">
        <v>594</v>
      </c>
      <c r="D1347" s="19" t="s">
        <v>438</v>
      </c>
      <c r="E1347" s="18" t="s">
        <v>563</v>
      </c>
      <c r="F1347" s="18">
        <v>12</v>
      </c>
      <c r="G1347" s="20">
        <v>91200</v>
      </c>
      <c r="H1347" s="18">
        <v>0</v>
      </c>
      <c r="I1347" s="20">
        <v>34188</v>
      </c>
      <c r="J1347" s="8">
        <f t="shared" si="63"/>
        <v>57012</v>
      </c>
      <c r="K1347" s="10">
        <f t="shared" si="64"/>
        <v>0.62513157894736837</v>
      </c>
      <c r="L1347" s="17">
        <f t="shared" si="65"/>
        <v>0</v>
      </c>
      <c r="M1347" t="str">
        <f>VLOOKUP(D1347,'Jer-Tip-Emp'!B:E,4,0)</f>
        <v>Adición</v>
      </c>
      <c r="N1347" t="str">
        <f>VLOOKUP(D1347,'Jer-Tip-Emp'!B:F,5,0)</f>
        <v>Adición</v>
      </c>
      <c r="O1347" t="str">
        <f>VLOOKUP(D1347,'Jer-Tip-Emp'!B:G,6,0)</f>
        <v>Adición</v>
      </c>
    </row>
    <row r="1348" spans="1:15" ht="27.5" customHeight="1" x14ac:dyDescent="0.2">
      <c r="A1348">
        <v>2025</v>
      </c>
      <c r="B1348" t="s">
        <v>616</v>
      </c>
      <c r="C1348" t="s">
        <v>594</v>
      </c>
      <c r="D1348" s="19" t="s">
        <v>212</v>
      </c>
      <c r="E1348" s="18" t="s">
        <v>160</v>
      </c>
      <c r="F1348" s="18">
        <v>11</v>
      </c>
      <c r="G1348" s="20">
        <v>360850</v>
      </c>
      <c r="H1348" s="20">
        <v>-67050</v>
      </c>
      <c r="I1348" s="20">
        <v>123783</v>
      </c>
      <c r="J1348" s="8">
        <f t="shared" si="63"/>
        <v>237067</v>
      </c>
      <c r="K1348" s="10">
        <f t="shared" si="64"/>
        <v>0.65696826936400166</v>
      </c>
      <c r="L1348" s="17">
        <f t="shared" si="65"/>
        <v>0.18581127892476099</v>
      </c>
      <c r="M1348" t="str">
        <f>VLOOKUP(D1348,'Jer-Tip-Emp'!B:E,4,0)</f>
        <v>Combos personales</v>
      </c>
      <c r="N1348" t="str">
        <f>VLOOKUP(D1348,'Jer-Tip-Emp'!B:F,5,0)</f>
        <v>Personal</v>
      </c>
      <c r="O1348" t="str">
        <f>VLOOKUP(D1348,'Jer-Tip-Emp'!B:G,6,0)</f>
        <v>Combo</v>
      </c>
    </row>
    <row r="1349" spans="1:15" ht="27.5" hidden="1" customHeight="1" x14ac:dyDescent="0.2">
      <c r="A1349">
        <v>2025</v>
      </c>
      <c r="B1349" t="s">
        <v>616</v>
      </c>
      <c r="C1349" t="s">
        <v>594</v>
      </c>
      <c r="D1349" s="19" t="s">
        <v>284</v>
      </c>
      <c r="E1349" s="18" t="s">
        <v>106</v>
      </c>
      <c r="F1349" s="18">
        <v>9</v>
      </c>
      <c r="G1349" s="20">
        <v>116100</v>
      </c>
      <c r="H1349" s="18">
        <v>0</v>
      </c>
      <c r="I1349" s="20">
        <v>28251</v>
      </c>
      <c r="J1349" s="8">
        <f t="shared" si="63"/>
        <v>87849</v>
      </c>
      <c r="K1349" s="10">
        <f t="shared" si="64"/>
        <v>0.75666666666666671</v>
      </c>
      <c r="L1349" s="17">
        <f t="shared" si="65"/>
        <v>0</v>
      </c>
      <c r="M1349" t="str">
        <f>VLOOKUP(D1349,'Jer-Tip-Emp'!B:E,4,0)</f>
        <v>Entradas</v>
      </c>
      <c r="N1349" t="str">
        <f>VLOOKUP(D1349,'Jer-Tip-Emp'!B:F,5,0)</f>
        <v>Otro</v>
      </c>
      <c r="O1349" t="str">
        <f>VLOOKUP(D1349,'Jer-Tip-Emp'!B:G,6,0)</f>
        <v>Otro</v>
      </c>
    </row>
    <row r="1350" spans="1:15" ht="27.5" customHeight="1" x14ac:dyDescent="0.2">
      <c r="A1350">
        <v>2025</v>
      </c>
      <c r="B1350" t="s">
        <v>616</v>
      </c>
      <c r="C1350" t="s">
        <v>594</v>
      </c>
      <c r="D1350" s="19" t="s">
        <v>196</v>
      </c>
      <c r="E1350" s="18" t="s">
        <v>159</v>
      </c>
      <c r="F1350" s="18">
        <v>8</v>
      </c>
      <c r="G1350" s="20">
        <v>254000</v>
      </c>
      <c r="H1350" s="20">
        <v>-25200</v>
      </c>
      <c r="I1350" s="20">
        <v>76008</v>
      </c>
      <c r="J1350" s="8">
        <f t="shared" si="63"/>
        <v>177992</v>
      </c>
      <c r="K1350" s="10">
        <f t="shared" si="64"/>
        <v>0.70075590551181099</v>
      </c>
      <c r="L1350" s="17">
        <f t="shared" si="65"/>
        <v>9.9212598425196849E-2</v>
      </c>
      <c r="M1350" t="str">
        <f>VLOOKUP(D1350,'Jer-Tip-Emp'!B:E,4,0)</f>
        <v>Combos personales</v>
      </c>
      <c r="N1350" t="str">
        <f>VLOOKUP(D1350,'Jer-Tip-Emp'!B:F,5,0)</f>
        <v>Personal</v>
      </c>
      <c r="O1350" t="str">
        <f>VLOOKUP(D1350,'Jer-Tip-Emp'!B:G,6,0)</f>
        <v>Combo</v>
      </c>
    </row>
    <row r="1351" spans="1:15" ht="27.5" hidden="1" customHeight="1" x14ac:dyDescent="0.2">
      <c r="A1351">
        <v>2025</v>
      </c>
      <c r="B1351" t="s">
        <v>616</v>
      </c>
      <c r="C1351" t="s">
        <v>594</v>
      </c>
      <c r="D1351" s="19" t="s">
        <v>365</v>
      </c>
      <c r="E1351" s="18" t="s">
        <v>558</v>
      </c>
      <c r="F1351" s="18">
        <v>6</v>
      </c>
      <c r="G1351" s="20">
        <v>5400</v>
      </c>
      <c r="H1351" s="18">
        <v>0</v>
      </c>
      <c r="I1351" s="20">
        <v>9414</v>
      </c>
      <c r="J1351" s="8">
        <f t="shared" si="63"/>
        <v>-4014</v>
      </c>
      <c r="K1351" s="10">
        <f t="shared" si="64"/>
        <v>-0.74333333333333329</v>
      </c>
      <c r="L1351" s="17">
        <f t="shared" si="65"/>
        <v>0</v>
      </c>
      <c r="M1351" t="str">
        <f>VLOOKUP(D1351,'Jer-Tip-Emp'!B:E,4,0)</f>
        <v>Adición</v>
      </c>
      <c r="N1351" t="str">
        <f>VLOOKUP(D1351,'Jer-Tip-Emp'!B:F,5,0)</f>
        <v>Otro</v>
      </c>
      <c r="O1351" t="str">
        <f>VLOOKUP(D1351,'Jer-Tip-Emp'!B:G,6,0)</f>
        <v>Otro</v>
      </c>
    </row>
    <row r="1352" spans="1:15" ht="27.5" hidden="1" customHeight="1" x14ac:dyDescent="0.2">
      <c r="A1352">
        <v>2025</v>
      </c>
      <c r="B1352" t="s">
        <v>616</v>
      </c>
      <c r="C1352" t="s">
        <v>594</v>
      </c>
      <c r="D1352" s="19" t="s">
        <v>176</v>
      </c>
      <c r="E1352" s="18" t="s">
        <v>544</v>
      </c>
      <c r="F1352" s="18">
        <v>6</v>
      </c>
      <c r="G1352" s="20">
        <v>6000</v>
      </c>
      <c r="H1352" s="18">
        <v>0</v>
      </c>
      <c r="I1352" s="20">
        <v>11670</v>
      </c>
      <c r="J1352" s="8">
        <f t="shared" si="63"/>
        <v>-5670</v>
      </c>
      <c r="K1352" s="10">
        <f t="shared" si="64"/>
        <v>-0.94499999999999995</v>
      </c>
      <c r="L1352" s="17">
        <f t="shared" si="65"/>
        <v>0</v>
      </c>
      <c r="M1352" t="str">
        <f>VLOOKUP(D1352,'Jer-Tip-Emp'!B:E,4,0)</f>
        <v>Bebidas</v>
      </c>
      <c r="N1352" t="str">
        <f>VLOOKUP(D1352,'Jer-Tip-Emp'!B:F,5,0)</f>
        <v>Bebidas Cambio de bebida</v>
      </c>
      <c r="O1352" t="str">
        <f>VLOOKUP(D1352,'Jer-Tip-Emp'!B:G,6,0)</f>
        <v>Bebidas</v>
      </c>
    </row>
    <row r="1353" spans="1:15" ht="27.5" customHeight="1" x14ac:dyDescent="0.2">
      <c r="A1353">
        <v>2025</v>
      </c>
      <c r="B1353" t="s">
        <v>616</v>
      </c>
      <c r="C1353" t="s">
        <v>594</v>
      </c>
      <c r="D1353" s="19" t="s">
        <v>213</v>
      </c>
      <c r="E1353" s="18" t="s">
        <v>101</v>
      </c>
      <c r="F1353" s="18">
        <v>6</v>
      </c>
      <c r="G1353" s="20">
        <v>219450</v>
      </c>
      <c r="H1353" s="20">
        <v>-19950</v>
      </c>
      <c r="I1353" s="20">
        <v>196806</v>
      </c>
      <c r="J1353" s="8">
        <f t="shared" si="63"/>
        <v>22644</v>
      </c>
      <c r="K1353" s="10">
        <f t="shared" si="64"/>
        <v>0.10318523581681477</v>
      </c>
      <c r="L1353" s="17">
        <f t="shared" si="65"/>
        <v>9.0909090909090912E-2</v>
      </c>
      <c r="M1353" t="str">
        <f>VLOOKUP(D1353,'Jer-Tip-Emp'!B:E,4,0)</f>
        <v>Combos personales</v>
      </c>
      <c r="N1353" t="str">
        <f>VLOOKUP(D1353,'Jer-Tip-Emp'!B:F,5,0)</f>
        <v>Personal</v>
      </c>
      <c r="O1353" t="str">
        <f>VLOOKUP(D1353,'Jer-Tip-Emp'!B:G,6,0)</f>
        <v>Combo</v>
      </c>
    </row>
    <row r="1354" spans="1:15" ht="27.5" hidden="1" customHeight="1" x14ac:dyDescent="0.2">
      <c r="A1354">
        <v>2025</v>
      </c>
      <c r="B1354" t="s">
        <v>616</v>
      </c>
      <c r="C1354" t="s">
        <v>594</v>
      </c>
      <c r="D1354" s="19" t="s">
        <v>400</v>
      </c>
      <c r="E1354" s="18" t="s">
        <v>564</v>
      </c>
      <c r="F1354" s="18">
        <v>6</v>
      </c>
      <c r="G1354" s="20">
        <v>28800</v>
      </c>
      <c r="H1354" s="18">
        <v>0</v>
      </c>
      <c r="I1354" s="20">
        <v>7692</v>
      </c>
      <c r="J1354" s="8">
        <f t="shared" si="63"/>
        <v>21108</v>
      </c>
      <c r="K1354" s="10">
        <f t="shared" si="64"/>
        <v>0.73291666666666666</v>
      </c>
      <c r="L1354" s="17">
        <f t="shared" si="65"/>
        <v>0</v>
      </c>
      <c r="M1354" t="str">
        <f>VLOOKUP(D1354,'Jer-Tip-Emp'!B:E,4,0)</f>
        <v>Adición</v>
      </c>
      <c r="N1354" t="str">
        <f>VLOOKUP(D1354,'Jer-Tip-Emp'!B:F,5,0)</f>
        <v>Adición</v>
      </c>
      <c r="O1354" t="str">
        <f>VLOOKUP(D1354,'Jer-Tip-Emp'!B:G,6,0)</f>
        <v>Adición</v>
      </c>
    </row>
    <row r="1355" spans="1:15" ht="27.5" customHeight="1" x14ac:dyDescent="0.2">
      <c r="A1355">
        <v>2025</v>
      </c>
      <c r="B1355" t="s">
        <v>616</v>
      </c>
      <c r="C1355" t="s">
        <v>594</v>
      </c>
      <c r="D1355" s="19" t="s">
        <v>294</v>
      </c>
      <c r="E1355" s="18" t="s">
        <v>108</v>
      </c>
      <c r="F1355" s="18">
        <v>5</v>
      </c>
      <c r="G1355" s="20">
        <v>115600</v>
      </c>
      <c r="H1355" s="20">
        <v>-18900</v>
      </c>
      <c r="I1355" s="20">
        <v>40915</v>
      </c>
      <c r="J1355" s="8">
        <f t="shared" si="63"/>
        <v>74685</v>
      </c>
      <c r="K1355" s="10">
        <f t="shared" si="64"/>
        <v>0.64606401384083045</v>
      </c>
      <c r="L1355" s="17">
        <f t="shared" si="65"/>
        <v>0.16349480968858132</v>
      </c>
      <c r="M1355" t="str">
        <f>VLOOKUP(D1355,'Jer-Tip-Emp'!B:E,4,0)</f>
        <v>Mong Express</v>
      </c>
      <c r="N1355" t="str">
        <f>VLOOKUP(D1355,'Jer-Tip-Emp'!B:F,5,0)</f>
        <v>Personal</v>
      </c>
      <c r="O1355" t="str">
        <f>VLOOKUP(D1355,'Jer-Tip-Emp'!B:G,6,0)</f>
        <v>Caja</v>
      </c>
    </row>
    <row r="1356" spans="1:15" ht="27.5" hidden="1" customHeight="1" x14ac:dyDescent="0.2">
      <c r="A1356">
        <v>2025</v>
      </c>
      <c r="B1356" t="s">
        <v>616</v>
      </c>
      <c r="C1356" t="s">
        <v>594</v>
      </c>
      <c r="D1356" s="19" t="s">
        <v>500</v>
      </c>
      <c r="E1356" s="18" t="s">
        <v>546</v>
      </c>
      <c r="F1356" s="18">
        <v>5</v>
      </c>
      <c r="G1356" s="18">
        <v>0</v>
      </c>
      <c r="H1356" s="18">
        <v>0</v>
      </c>
      <c r="I1356" s="20">
        <v>4340</v>
      </c>
      <c r="J1356" s="8">
        <f t="shared" si="63"/>
        <v>-4340</v>
      </c>
      <c r="K1356" s="10">
        <f t="shared" si="64"/>
        <v>0</v>
      </c>
      <c r="L1356" s="17">
        <f t="shared" si="65"/>
        <v>0</v>
      </c>
      <c r="M1356" t="str">
        <f>VLOOKUP(D1356,'Jer-Tip-Emp'!B:E,4,0)</f>
        <v>Bebidas</v>
      </c>
      <c r="N1356" t="str">
        <f>VLOOKUP(D1356,'Jer-Tip-Emp'!B:F,5,0)</f>
        <v>Bebidas Cambio de bebida</v>
      </c>
      <c r="O1356" t="str">
        <f>VLOOKUP(D1356,'Jer-Tip-Emp'!B:G,6,0)</f>
        <v>Bebidas</v>
      </c>
    </row>
    <row r="1357" spans="1:15" ht="27.5" customHeight="1" x14ac:dyDescent="0.2">
      <c r="A1357">
        <v>2025</v>
      </c>
      <c r="B1357" t="s">
        <v>616</v>
      </c>
      <c r="C1357" t="s">
        <v>594</v>
      </c>
      <c r="D1357" s="19" t="s">
        <v>177</v>
      </c>
      <c r="E1357" s="18" t="s">
        <v>99</v>
      </c>
      <c r="F1357" s="18">
        <v>5</v>
      </c>
      <c r="G1357" s="20">
        <v>147700</v>
      </c>
      <c r="H1357" s="20">
        <v>-46800</v>
      </c>
      <c r="I1357" s="18">
        <v>0</v>
      </c>
      <c r="J1357" s="8">
        <f t="shared" si="63"/>
        <v>147700</v>
      </c>
      <c r="K1357" s="10">
        <f t="shared" si="64"/>
        <v>1</v>
      </c>
      <c r="L1357" s="17">
        <f t="shared" si="65"/>
        <v>0.31685849695328366</v>
      </c>
      <c r="M1357" t="str">
        <f>VLOOKUP(D1357,'Jer-Tip-Emp'!B:E,4,0)</f>
        <v>Combos personales</v>
      </c>
      <c r="N1357" t="str">
        <f>VLOOKUP(D1357,'Jer-Tip-Emp'!B:F,5,0)</f>
        <v>Personal</v>
      </c>
      <c r="O1357" t="str">
        <f>VLOOKUP(D1357,'Jer-Tip-Emp'!B:G,6,0)</f>
        <v>Combo</v>
      </c>
    </row>
    <row r="1358" spans="1:15" ht="27.5" customHeight="1" x14ac:dyDescent="0.2">
      <c r="A1358">
        <v>2025</v>
      </c>
      <c r="B1358" t="s">
        <v>616</v>
      </c>
      <c r="C1358" t="s">
        <v>594</v>
      </c>
      <c r="D1358" s="19" t="s">
        <v>290</v>
      </c>
      <c r="E1358" s="18" t="s">
        <v>86</v>
      </c>
      <c r="F1358" s="18">
        <v>4</v>
      </c>
      <c r="G1358" s="20">
        <v>467300</v>
      </c>
      <c r="H1358" s="20">
        <v>-56300</v>
      </c>
      <c r="I1358" s="20">
        <v>187120</v>
      </c>
      <c r="J1358" s="8">
        <f t="shared" si="63"/>
        <v>280180</v>
      </c>
      <c r="K1358" s="10">
        <f t="shared" si="64"/>
        <v>0.59957200941579281</v>
      </c>
      <c r="L1358" s="17">
        <f t="shared" si="65"/>
        <v>0.120479349454312</v>
      </c>
      <c r="M1358" t="str">
        <f>VLOOKUP(D1358,'Jer-Tip-Emp'!B:E,4,0)</f>
        <v>Combos para compartir</v>
      </c>
      <c r="N1358" t="str">
        <f>VLOOKUP(D1358,'Jer-Tip-Emp'!B:F,5,0)</f>
        <v>No Personal</v>
      </c>
      <c r="O1358" t="str">
        <f>VLOOKUP(D1358,'Jer-Tip-Emp'!B:G,6,0)</f>
        <v>Combo</v>
      </c>
    </row>
    <row r="1359" spans="1:15" ht="27.5" hidden="1" customHeight="1" x14ac:dyDescent="0.2">
      <c r="A1359">
        <v>2025</v>
      </c>
      <c r="B1359" t="s">
        <v>616</v>
      </c>
      <c r="C1359" t="s">
        <v>594</v>
      </c>
      <c r="D1359" s="19" t="s">
        <v>490</v>
      </c>
      <c r="E1359" s="18" t="s">
        <v>554</v>
      </c>
      <c r="F1359" s="18">
        <v>4</v>
      </c>
      <c r="G1359" s="18">
        <v>0</v>
      </c>
      <c r="H1359" s="18">
        <v>0</v>
      </c>
      <c r="I1359" s="20">
        <v>8196</v>
      </c>
      <c r="J1359" s="8">
        <f t="shared" si="63"/>
        <v>-8196</v>
      </c>
      <c r="K1359" s="10">
        <f t="shared" si="64"/>
        <v>0</v>
      </c>
      <c r="L1359" s="17">
        <f t="shared" si="65"/>
        <v>0</v>
      </c>
      <c r="M1359" t="str">
        <f>VLOOKUP(D1359,'Jer-Tip-Emp'!B:E,4,0)</f>
        <v>Adición</v>
      </c>
      <c r="N1359" t="str">
        <f>VLOOKUP(D1359,'Jer-Tip-Emp'!B:F,5,0)</f>
        <v>Otro</v>
      </c>
      <c r="O1359" t="str">
        <f>VLOOKUP(D1359,'Jer-Tip-Emp'!B:G,6,0)</f>
        <v>Otro</v>
      </c>
    </row>
    <row r="1360" spans="1:15" ht="27.5" customHeight="1" x14ac:dyDescent="0.2">
      <c r="A1360">
        <v>2025</v>
      </c>
      <c r="B1360" t="s">
        <v>616</v>
      </c>
      <c r="C1360" t="s">
        <v>594</v>
      </c>
      <c r="D1360" s="19" t="s">
        <v>228</v>
      </c>
      <c r="E1360" s="18" t="s">
        <v>96</v>
      </c>
      <c r="F1360" s="18">
        <v>4</v>
      </c>
      <c r="G1360" s="20">
        <v>137300</v>
      </c>
      <c r="H1360" s="20">
        <v>-18300</v>
      </c>
      <c r="I1360" s="20">
        <v>40988</v>
      </c>
      <c r="J1360" s="8">
        <f t="shared" si="63"/>
        <v>96312</v>
      </c>
      <c r="K1360" s="10">
        <f t="shared" si="64"/>
        <v>0.70147123088128183</v>
      </c>
      <c r="L1360" s="17">
        <f t="shared" si="65"/>
        <v>0.13328477785870357</v>
      </c>
      <c r="M1360" t="str">
        <f>VLOOKUP(D1360,'Jer-Tip-Emp'!B:E,4,0)</f>
        <v>Combos personales</v>
      </c>
      <c r="N1360" t="str">
        <f>VLOOKUP(D1360,'Jer-Tip-Emp'!B:F,5,0)</f>
        <v>Personal</v>
      </c>
      <c r="O1360" t="str">
        <f>VLOOKUP(D1360,'Jer-Tip-Emp'!B:G,6,0)</f>
        <v>Combo</v>
      </c>
    </row>
    <row r="1361" spans="1:15" ht="27.5" customHeight="1" x14ac:dyDescent="0.2">
      <c r="A1361">
        <v>2025</v>
      </c>
      <c r="B1361" t="s">
        <v>616</v>
      </c>
      <c r="C1361" t="s">
        <v>594</v>
      </c>
      <c r="D1361" s="19" t="s">
        <v>186</v>
      </c>
      <c r="E1361" s="18" t="s">
        <v>95</v>
      </c>
      <c r="F1361" s="18">
        <v>4</v>
      </c>
      <c r="G1361" s="20">
        <v>137300</v>
      </c>
      <c r="H1361" s="20">
        <v>-18300</v>
      </c>
      <c r="I1361" s="20">
        <v>38280</v>
      </c>
      <c r="J1361" s="8">
        <f t="shared" si="63"/>
        <v>99020</v>
      </c>
      <c r="K1361" s="10">
        <f t="shared" si="64"/>
        <v>0.72119446467589221</v>
      </c>
      <c r="L1361" s="17">
        <f t="shared" si="65"/>
        <v>0.13328477785870357</v>
      </c>
      <c r="M1361" t="str">
        <f>VLOOKUP(D1361,'Jer-Tip-Emp'!B:E,4,0)</f>
        <v>Combos personales</v>
      </c>
      <c r="N1361" t="str">
        <f>VLOOKUP(D1361,'Jer-Tip-Emp'!B:F,5,0)</f>
        <v>Personal</v>
      </c>
      <c r="O1361" t="str">
        <f>VLOOKUP(D1361,'Jer-Tip-Emp'!B:G,6,0)</f>
        <v>Combo</v>
      </c>
    </row>
    <row r="1362" spans="1:15" ht="27.5" hidden="1" customHeight="1" x14ac:dyDescent="0.2">
      <c r="A1362">
        <v>2025</v>
      </c>
      <c r="B1362" t="s">
        <v>616</v>
      </c>
      <c r="C1362" t="s">
        <v>594</v>
      </c>
      <c r="D1362" s="19" t="s">
        <v>342</v>
      </c>
      <c r="E1362" s="18" t="s">
        <v>556</v>
      </c>
      <c r="F1362" s="18">
        <v>4</v>
      </c>
      <c r="G1362" s="20">
        <v>30400</v>
      </c>
      <c r="H1362" s="18">
        <v>0</v>
      </c>
      <c r="I1362" s="20">
        <v>12432</v>
      </c>
      <c r="J1362" s="8">
        <f t="shared" si="63"/>
        <v>17968</v>
      </c>
      <c r="K1362" s="10">
        <f t="shared" si="64"/>
        <v>0.59105263157894739</v>
      </c>
      <c r="L1362" s="17">
        <f t="shared" si="65"/>
        <v>0</v>
      </c>
      <c r="M1362" t="str">
        <f>VLOOKUP(D1362,'Jer-Tip-Emp'!B:E,4,0)</f>
        <v>Adición</v>
      </c>
      <c r="N1362" t="str">
        <f>VLOOKUP(D1362,'Jer-Tip-Emp'!B:F,5,0)</f>
        <v>Adición</v>
      </c>
      <c r="O1362" t="str">
        <f>VLOOKUP(D1362,'Jer-Tip-Emp'!B:G,6,0)</f>
        <v>Adición</v>
      </c>
    </row>
    <row r="1363" spans="1:15" ht="27.5" customHeight="1" x14ac:dyDescent="0.2">
      <c r="A1363">
        <v>2025</v>
      </c>
      <c r="B1363" t="s">
        <v>616</v>
      </c>
      <c r="C1363" t="s">
        <v>594</v>
      </c>
      <c r="D1363" s="19" t="s">
        <v>313</v>
      </c>
      <c r="E1363" s="18" t="s">
        <v>540</v>
      </c>
      <c r="F1363" s="18">
        <v>4</v>
      </c>
      <c r="G1363" s="18">
        <v>0</v>
      </c>
      <c r="H1363" s="18">
        <v>0</v>
      </c>
      <c r="I1363" s="20">
        <v>21964</v>
      </c>
      <c r="J1363" s="8">
        <f t="shared" si="63"/>
        <v>-21964</v>
      </c>
      <c r="K1363" s="10">
        <f t="shared" si="64"/>
        <v>0</v>
      </c>
      <c r="L1363" s="17">
        <f t="shared" si="65"/>
        <v>0</v>
      </c>
      <c r="M1363" t="str">
        <f>VLOOKUP(D1363,'Jer-Tip-Emp'!B:E,4,0)</f>
        <v>Arma tu plato</v>
      </c>
      <c r="N1363" t="str">
        <f>VLOOKUP(D1363,'Jer-Tip-Emp'!B:F,5,0)</f>
        <v>Personal</v>
      </c>
      <c r="O1363" t="str">
        <f>VLOOKUP(D1363,'Jer-Tip-Emp'!B:G,6,0)</f>
        <v>Caja</v>
      </c>
    </row>
    <row r="1364" spans="1:15" ht="27.5" customHeight="1" x14ac:dyDescent="0.2">
      <c r="A1364">
        <v>2025</v>
      </c>
      <c r="B1364" t="s">
        <v>616</v>
      </c>
      <c r="C1364" t="s">
        <v>594</v>
      </c>
      <c r="D1364" s="19" t="s">
        <v>278</v>
      </c>
      <c r="E1364" s="18" t="s">
        <v>84</v>
      </c>
      <c r="F1364" s="18">
        <v>3</v>
      </c>
      <c r="G1364" s="20">
        <v>89700</v>
      </c>
      <c r="H1364" s="18">
        <v>0</v>
      </c>
      <c r="I1364" s="20">
        <v>23919</v>
      </c>
      <c r="J1364" s="8">
        <f t="shared" si="63"/>
        <v>65781</v>
      </c>
      <c r="K1364" s="10">
        <f t="shared" si="64"/>
        <v>0.73334448160535115</v>
      </c>
      <c r="L1364" s="17">
        <f t="shared" si="65"/>
        <v>0</v>
      </c>
      <c r="M1364" t="str">
        <f>VLOOKUP(D1364,'Jer-Tip-Emp'!B:E,4,0)</f>
        <v>Combos para compartir</v>
      </c>
      <c r="N1364" t="str">
        <f>VLOOKUP(D1364,'Jer-Tip-Emp'!B:F,5,0)</f>
        <v>No Personal</v>
      </c>
      <c r="O1364" t="str">
        <f>VLOOKUP(D1364,'Jer-Tip-Emp'!B:G,6,0)</f>
        <v>Combo</v>
      </c>
    </row>
    <row r="1365" spans="1:15" ht="27.5" hidden="1" customHeight="1" x14ac:dyDescent="0.2">
      <c r="A1365">
        <v>2025</v>
      </c>
      <c r="B1365" t="s">
        <v>616</v>
      </c>
      <c r="C1365" t="s">
        <v>594</v>
      </c>
      <c r="D1365" s="19" t="s">
        <v>328</v>
      </c>
      <c r="E1365" s="18" t="s">
        <v>555</v>
      </c>
      <c r="F1365" s="18">
        <v>3</v>
      </c>
      <c r="G1365" s="20">
        <v>3000</v>
      </c>
      <c r="H1365" s="18">
        <v>0</v>
      </c>
      <c r="I1365" s="18">
        <v>177</v>
      </c>
      <c r="J1365" s="8">
        <f t="shared" si="63"/>
        <v>2823</v>
      </c>
      <c r="K1365" s="10">
        <f t="shared" si="64"/>
        <v>0.94099999999999995</v>
      </c>
      <c r="L1365" s="17">
        <f t="shared" si="65"/>
        <v>0</v>
      </c>
      <c r="M1365" t="str">
        <f>VLOOKUP(D1365,'Jer-Tip-Emp'!B:E,4,0)</f>
        <v>Adición</v>
      </c>
      <c r="N1365" t="str">
        <f>VLOOKUP(D1365,'Jer-Tip-Emp'!B:F,5,0)</f>
        <v>Adición</v>
      </c>
      <c r="O1365" t="str">
        <f>VLOOKUP(D1365,'Jer-Tip-Emp'!B:G,6,0)</f>
        <v>Adición</v>
      </c>
    </row>
    <row r="1366" spans="1:15" ht="27.5" hidden="1" customHeight="1" x14ac:dyDescent="0.2">
      <c r="A1366">
        <v>2025</v>
      </c>
      <c r="B1366" t="s">
        <v>616</v>
      </c>
      <c r="C1366" t="s">
        <v>594</v>
      </c>
      <c r="D1366" s="19" t="s">
        <v>410</v>
      </c>
      <c r="E1366" s="18" t="s">
        <v>559</v>
      </c>
      <c r="F1366" s="18">
        <v>3</v>
      </c>
      <c r="G1366" s="20">
        <v>7800</v>
      </c>
      <c r="H1366" s="18">
        <v>0</v>
      </c>
      <c r="I1366" s="20">
        <v>6705</v>
      </c>
      <c r="J1366" s="8">
        <f t="shared" si="63"/>
        <v>1095</v>
      </c>
      <c r="K1366" s="10">
        <f t="shared" si="64"/>
        <v>0.14038461538461539</v>
      </c>
      <c r="L1366" s="17">
        <f t="shared" si="65"/>
        <v>0</v>
      </c>
      <c r="M1366" t="str">
        <f>VLOOKUP(D1366,'Jer-Tip-Emp'!B:E,4,0)</f>
        <v>Bebidas</v>
      </c>
      <c r="N1366" t="str">
        <f>VLOOKUP(D1366,'Jer-Tip-Emp'!B:F,5,0)</f>
        <v>Bebidas Cambio de bebida</v>
      </c>
      <c r="O1366" t="str">
        <f>VLOOKUP(D1366,'Jer-Tip-Emp'!B:G,6,0)</f>
        <v>Bebidas</v>
      </c>
    </row>
    <row r="1367" spans="1:15" ht="27.5" hidden="1" customHeight="1" x14ac:dyDescent="0.2">
      <c r="A1367">
        <v>2025</v>
      </c>
      <c r="B1367" t="s">
        <v>616</v>
      </c>
      <c r="C1367" t="s">
        <v>594</v>
      </c>
      <c r="D1367" s="19" t="s">
        <v>431</v>
      </c>
      <c r="E1367" s="18" t="s">
        <v>560</v>
      </c>
      <c r="F1367" s="18">
        <v>3</v>
      </c>
      <c r="G1367" s="20">
        <v>6000</v>
      </c>
      <c r="H1367" s="18">
        <v>0</v>
      </c>
      <c r="I1367" s="20">
        <v>3990</v>
      </c>
      <c r="J1367" s="8">
        <f t="shared" si="63"/>
        <v>2010</v>
      </c>
      <c r="K1367" s="10">
        <f t="shared" si="64"/>
        <v>0.33500000000000002</v>
      </c>
      <c r="L1367" s="17">
        <f t="shared" si="65"/>
        <v>0</v>
      </c>
      <c r="M1367" t="str">
        <f>VLOOKUP(D1367,'Jer-Tip-Emp'!B:E,4,0)</f>
        <v>Bebidas</v>
      </c>
      <c r="N1367" t="str">
        <f>VLOOKUP(D1367,'Jer-Tip-Emp'!B:F,5,0)</f>
        <v>Bebidas Cambio de bebida</v>
      </c>
      <c r="O1367" t="str">
        <f>VLOOKUP(D1367,'Jer-Tip-Emp'!B:G,6,0)</f>
        <v>Bebidas</v>
      </c>
    </row>
    <row r="1368" spans="1:15" ht="27.5" hidden="1" customHeight="1" x14ac:dyDescent="0.2">
      <c r="A1368">
        <v>2025</v>
      </c>
      <c r="B1368" t="s">
        <v>616</v>
      </c>
      <c r="C1368" t="s">
        <v>594</v>
      </c>
      <c r="D1368" s="19" t="s">
        <v>189</v>
      </c>
      <c r="E1368" s="18" t="s">
        <v>21</v>
      </c>
      <c r="F1368" s="18">
        <v>2</v>
      </c>
      <c r="G1368" s="20">
        <v>17800</v>
      </c>
      <c r="H1368" s="18">
        <v>0</v>
      </c>
      <c r="I1368" s="20">
        <v>4928</v>
      </c>
      <c r="J1368" s="8">
        <f t="shared" si="63"/>
        <v>12872</v>
      </c>
      <c r="K1368" s="10">
        <f t="shared" si="64"/>
        <v>0.72314606741573029</v>
      </c>
      <c r="L1368" s="17">
        <f t="shared" si="65"/>
        <v>0</v>
      </c>
      <c r="M1368" t="str">
        <f>VLOOKUP(D1368,'Jer-Tip-Emp'!B:E,4,0)</f>
        <v>Adición</v>
      </c>
      <c r="N1368" t="str">
        <f>VLOOKUP(D1368,'Jer-Tip-Emp'!B:F,5,0)</f>
        <v>Adición</v>
      </c>
      <c r="O1368" t="str">
        <f>VLOOKUP(D1368,'Jer-Tip-Emp'!B:G,6,0)</f>
        <v>Adición</v>
      </c>
    </row>
    <row r="1369" spans="1:15" ht="27.5" hidden="1" customHeight="1" x14ac:dyDescent="0.2">
      <c r="A1369">
        <v>2025</v>
      </c>
      <c r="B1369" t="s">
        <v>616</v>
      </c>
      <c r="C1369" t="s">
        <v>594</v>
      </c>
      <c r="D1369" s="19" t="s">
        <v>282</v>
      </c>
      <c r="E1369" s="18" t="s">
        <v>19</v>
      </c>
      <c r="F1369" s="18">
        <v>2</v>
      </c>
      <c r="G1369" s="20">
        <v>15800</v>
      </c>
      <c r="H1369" s="18">
        <v>0</v>
      </c>
      <c r="I1369" s="20">
        <v>8196</v>
      </c>
      <c r="J1369" s="8">
        <f t="shared" si="63"/>
        <v>7604</v>
      </c>
      <c r="K1369" s="10">
        <f t="shared" si="64"/>
        <v>0.48126582278481012</v>
      </c>
      <c r="L1369" s="17">
        <f t="shared" si="65"/>
        <v>0</v>
      </c>
      <c r="M1369" t="str">
        <f>VLOOKUP(D1369,'Jer-Tip-Emp'!B:E,4,0)</f>
        <v>Adición</v>
      </c>
      <c r="N1369" t="str">
        <f>VLOOKUP(D1369,'Jer-Tip-Emp'!B:F,5,0)</f>
        <v>Adición</v>
      </c>
      <c r="O1369" t="str">
        <f>VLOOKUP(D1369,'Jer-Tip-Emp'!B:G,6,0)</f>
        <v>Adición</v>
      </c>
    </row>
    <row r="1370" spans="1:15" ht="27.5" hidden="1" customHeight="1" x14ac:dyDescent="0.2">
      <c r="A1370">
        <v>2025</v>
      </c>
      <c r="B1370" t="s">
        <v>616</v>
      </c>
      <c r="C1370" t="s">
        <v>594</v>
      </c>
      <c r="D1370" s="19" t="s">
        <v>367</v>
      </c>
      <c r="E1370" s="18" t="s">
        <v>566</v>
      </c>
      <c r="F1370" s="18">
        <v>2</v>
      </c>
      <c r="G1370" s="20">
        <v>2000</v>
      </c>
      <c r="H1370" s="18">
        <v>0</v>
      </c>
      <c r="I1370" s="18">
        <v>0</v>
      </c>
      <c r="J1370" s="8">
        <f t="shared" si="63"/>
        <v>2000</v>
      </c>
      <c r="K1370" s="10">
        <f t="shared" si="64"/>
        <v>1</v>
      </c>
      <c r="L1370" s="17">
        <f t="shared" si="65"/>
        <v>0</v>
      </c>
      <c r="M1370" t="str">
        <f>VLOOKUP(D1370,'Jer-Tip-Emp'!B:E,4,0)</f>
        <v>Adición</v>
      </c>
      <c r="N1370" t="str">
        <f>VLOOKUP(D1370,'Jer-Tip-Emp'!B:F,5,0)</f>
        <v>Adición</v>
      </c>
      <c r="O1370" t="str">
        <f>VLOOKUP(D1370,'Jer-Tip-Emp'!B:G,6,0)</f>
        <v>Adición</v>
      </c>
    </row>
    <row r="1371" spans="1:15" ht="27.5" hidden="1" customHeight="1" x14ac:dyDescent="0.2">
      <c r="A1371">
        <v>2025</v>
      </c>
      <c r="B1371" t="s">
        <v>616</v>
      </c>
      <c r="C1371" t="s">
        <v>594</v>
      </c>
      <c r="D1371" s="19" t="s">
        <v>465</v>
      </c>
      <c r="E1371" s="18" t="s">
        <v>578</v>
      </c>
      <c r="F1371" s="18">
        <v>2</v>
      </c>
      <c r="G1371" s="20">
        <v>5200</v>
      </c>
      <c r="H1371" s="18">
        <v>0</v>
      </c>
      <c r="I1371" s="20">
        <v>4478</v>
      </c>
      <c r="J1371" s="8">
        <f t="shared" si="63"/>
        <v>722</v>
      </c>
      <c r="K1371" s="10">
        <f t="shared" si="64"/>
        <v>0.13884615384615384</v>
      </c>
      <c r="L1371" s="17">
        <f t="shared" si="65"/>
        <v>0</v>
      </c>
      <c r="M1371" t="str">
        <f>VLOOKUP(D1371,'Jer-Tip-Emp'!B:E,4,0)</f>
        <v>Bebidas</v>
      </c>
      <c r="N1371" t="str">
        <f>VLOOKUP(D1371,'Jer-Tip-Emp'!B:F,5,0)</f>
        <v>Bebidas Cambio de bebida</v>
      </c>
      <c r="O1371" t="str">
        <f>VLOOKUP(D1371,'Jer-Tip-Emp'!B:G,6,0)</f>
        <v>Bebidas</v>
      </c>
    </row>
    <row r="1372" spans="1:15" ht="27.5" customHeight="1" x14ac:dyDescent="0.2">
      <c r="A1372">
        <v>2025</v>
      </c>
      <c r="B1372" t="s">
        <v>616</v>
      </c>
      <c r="C1372" t="s">
        <v>594</v>
      </c>
      <c r="D1372" s="19" t="s">
        <v>354</v>
      </c>
      <c r="E1372" s="18" t="s">
        <v>548</v>
      </c>
      <c r="F1372" s="18">
        <v>2</v>
      </c>
      <c r="G1372" s="18">
        <v>0</v>
      </c>
      <c r="H1372" s="18">
        <v>0</v>
      </c>
      <c r="I1372" s="20">
        <v>5268</v>
      </c>
      <c r="J1372" s="8">
        <f t="shared" si="63"/>
        <v>-5268</v>
      </c>
      <c r="K1372" s="10">
        <f t="shared" si="64"/>
        <v>0</v>
      </c>
      <c r="L1372" s="17">
        <f t="shared" si="65"/>
        <v>0</v>
      </c>
      <c r="M1372" t="str">
        <f>VLOOKUP(D1372,'Jer-Tip-Emp'!B:E,4,0)</f>
        <v>Arma tu plato</v>
      </c>
      <c r="N1372" t="str">
        <f>VLOOKUP(D1372,'Jer-Tip-Emp'!B:F,5,0)</f>
        <v>Personal</v>
      </c>
      <c r="O1372" t="str">
        <f>VLOOKUP(D1372,'Jer-Tip-Emp'!B:G,6,0)</f>
        <v>Caja</v>
      </c>
    </row>
    <row r="1373" spans="1:15" ht="27.5" customHeight="1" x14ac:dyDescent="0.2">
      <c r="A1373">
        <v>2025</v>
      </c>
      <c r="B1373" t="s">
        <v>616</v>
      </c>
      <c r="C1373" t="s">
        <v>594</v>
      </c>
      <c r="D1373" s="19" t="s">
        <v>206</v>
      </c>
      <c r="E1373" s="18" t="s">
        <v>117</v>
      </c>
      <c r="F1373" s="18">
        <v>2</v>
      </c>
      <c r="G1373" s="20">
        <v>34800</v>
      </c>
      <c r="H1373" s="20">
        <v>-5000</v>
      </c>
      <c r="I1373" s="20">
        <v>14250</v>
      </c>
      <c r="J1373" s="8">
        <f t="shared" si="63"/>
        <v>20550</v>
      </c>
      <c r="K1373" s="10">
        <f t="shared" si="64"/>
        <v>0.59051724137931039</v>
      </c>
      <c r="L1373" s="17">
        <f t="shared" si="65"/>
        <v>0.14367816091954022</v>
      </c>
      <c r="M1373" t="str">
        <f>VLOOKUP(D1373,'Jer-Tip-Emp'!B:E,4,0)</f>
        <v>Platos especiales</v>
      </c>
      <c r="N1373" t="str">
        <f>VLOOKUP(D1373,'Jer-Tip-Emp'!B:F,5,0)</f>
        <v>Personal</v>
      </c>
      <c r="O1373" t="str">
        <f>VLOOKUP(D1373,'Jer-Tip-Emp'!B:G,6,0)</f>
        <v>Platos especiales</v>
      </c>
    </row>
    <row r="1374" spans="1:15" ht="27.5" customHeight="1" x14ac:dyDescent="0.2">
      <c r="A1374">
        <v>2025</v>
      </c>
      <c r="B1374" t="s">
        <v>616</v>
      </c>
      <c r="C1374" t="s">
        <v>594</v>
      </c>
      <c r="D1374" s="19" t="s">
        <v>214</v>
      </c>
      <c r="E1374" s="18" t="s">
        <v>81</v>
      </c>
      <c r="F1374" s="18">
        <v>2</v>
      </c>
      <c r="G1374" s="20">
        <v>141550</v>
      </c>
      <c r="H1374" s="20">
        <v>-20250</v>
      </c>
      <c r="I1374" s="20">
        <v>47276</v>
      </c>
      <c r="J1374" s="8">
        <f t="shared" si="63"/>
        <v>94274</v>
      </c>
      <c r="K1374" s="10">
        <f t="shared" si="64"/>
        <v>0.66601200989049802</v>
      </c>
      <c r="L1374" s="17">
        <f t="shared" si="65"/>
        <v>0.14305898975626988</v>
      </c>
      <c r="M1374" t="str">
        <f>VLOOKUP(D1374,'Jer-Tip-Emp'!B:E,4,0)</f>
        <v>Combos para compartir</v>
      </c>
      <c r="N1374" t="str">
        <f>VLOOKUP(D1374,'Jer-Tip-Emp'!B:F,5,0)</f>
        <v>No Personal</v>
      </c>
      <c r="O1374" t="str">
        <f>VLOOKUP(D1374,'Jer-Tip-Emp'!B:G,6,0)</f>
        <v>Combo</v>
      </c>
    </row>
    <row r="1375" spans="1:15" ht="27.5" hidden="1" customHeight="1" x14ac:dyDescent="0.2">
      <c r="A1375">
        <v>2025</v>
      </c>
      <c r="B1375" t="s">
        <v>616</v>
      </c>
      <c r="C1375" t="s">
        <v>594</v>
      </c>
      <c r="D1375" s="19" t="s">
        <v>411</v>
      </c>
      <c r="E1375" s="18" t="s">
        <v>569</v>
      </c>
      <c r="F1375" s="18">
        <v>2</v>
      </c>
      <c r="G1375" s="20">
        <v>4000</v>
      </c>
      <c r="H1375" s="18">
        <v>0</v>
      </c>
      <c r="I1375" s="20">
        <v>4470</v>
      </c>
      <c r="J1375" s="8">
        <f t="shared" si="63"/>
        <v>-470</v>
      </c>
      <c r="K1375" s="10">
        <f t="shared" si="64"/>
        <v>-0.11749999999999999</v>
      </c>
      <c r="L1375" s="17">
        <f t="shared" si="65"/>
        <v>0</v>
      </c>
      <c r="M1375" t="str">
        <f>VLOOKUP(D1375,'Jer-Tip-Emp'!B:E,4,0)</f>
        <v>Bebidas</v>
      </c>
      <c r="N1375" t="str">
        <f>VLOOKUP(D1375,'Jer-Tip-Emp'!B:F,5,0)</f>
        <v>Bebidas Cambio de bebida</v>
      </c>
      <c r="O1375" t="str">
        <f>VLOOKUP(D1375,'Jer-Tip-Emp'!B:G,6,0)</f>
        <v>Bebidas</v>
      </c>
    </row>
    <row r="1376" spans="1:15" ht="27.5" customHeight="1" x14ac:dyDescent="0.2">
      <c r="A1376">
        <v>2025</v>
      </c>
      <c r="B1376" t="s">
        <v>616</v>
      </c>
      <c r="C1376" t="s">
        <v>594</v>
      </c>
      <c r="D1376" s="19" t="s">
        <v>393</v>
      </c>
      <c r="E1376" s="18" t="s">
        <v>549</v>
      </c>
      <c r="F1376" s="18">
        <v>2</v>
      </c>
      <c r="G1376" s="20">
        <v>4000</v>
      </c>
      <c r="H1376" s="18">
        <v>0</v>
      </c>
      <c r="I1376" s="20">
        <v>4070</v>
      </c>
      <c r="J1376" s="8">
        <f t="shared" si="63"/>
        <v>-70</v>
      </c>
      <c r="K1376" s="10">
        <f t="shared" si="64"/>
        <v>-1.7500000000000002E-2</v>
      </c>
      <c r="L1376" s="17">
        <f t="shared" si="65"/>
        <v>0</v>
      </c>
      <c r="M1376" t="str">
        <f>VLOOKUP(D1376,'Jer-Tip-Emp'!B:E,4,0)</f>
        <v>Arma tu plato</v>
      </c>
      <c r="N1376" t="str">
        <f>VLOOKUP(D1376,'Jer-Tip-Emp'!B:F,5,0)</f>
        <v>Personal</v>
      </c>
      <c r="O1376" t="str">
        <f>VLOOKUP(D1376,'Jer-Tip-Emp'!B:G,6,0)</f>
        <v>Caja</v>
      </c>
    </row>
    <row r="1377" spans="1:15" ht="27.5" customHeight="1" x14ac:dyDescent="0.2">
      <c r="A1377">
        <v>2025</v>
      </c>
      <c r="B1377" t="s">
        <v>616</v>
      </c>
      <c r="C1377" t="s">
        <v>594</v>
      </c>
      <c r="D1377" s="19" t="s">
        <v>448</v>
      </c>
      <c r="E1377" s="18" t="s">
        <v>552</v>
      </c>
      <c r="F1377" s="18">
        <v>2</v>
      </c>
      <c r="G1377" s="18">
        <v>0</v>
      </c>
      <c r="H1377" s="18">
        <v>0</v>
      </c>
      <c r="I1377" s="20">
        <v>10526</v>
      </c>
      <c r="J1377" s="8">
        <f t="shared" si="63"/>
        <v>-10526</v>
      </c>
      <c r="K1377" s="10">
        <f t="shared" si="64"/>
        <v>0</v>
      </c>
      <c r="L1377" s="17">
        <f t="shared" si="65"/>
        <v>0</v>
      </c>
      <c r="M1377" t="str">
        <f>VLOOKUP(D1377,'Jer-Tip-Emp'!B:E,4,0)</f>
        <v>Arma tu plato</v>
      </c>
      <c r="N1377" t="str">
        <f>VLOOKUP(D1377,'Jer-Tip-Emp'!B:F,5,0)</f>
        <v>Personal</v>
      </c>
      <c r="O1377" t="str">
        <f>VLOOKUP(D1377,'Jer-Tip-Emp'!B:G,6,0)</f>
        <v>Caja</v>
      </c>
    </row>
    <row r="1378" spans="1:15" ht="27.5" hidden="1" customHeight="1" x14ac:dyDescent="0.2">
      <c r="A1378">
        <v>2025</v>
      </c>
      <c r="B1378" t="s">
        <v>616</v>
      </c>
      <c r="C1378" t="s">
        <v>594</v>
      </c>
      <c r="D1378" s="19" t="s">
        <v>296</v>
      </c>
      <c r="E1378" s="18" t="s">
        <v>22</v>
      </c>
      <c r="F1378" s="18">
        <v>2</v>
      </c>
      <c r="G1378" s="20">
        <v>17800</v>
      </c>
      <c r="H1378" s="18">
        <v>0</v>
      </c>
      <c r="I1378" s="20">
        <v>1378</v>
      </c>
      <c r="J1378" s="8">
        <f t="shared" si="63"/>
        <v>16422</v>
      </c>
      <c r="K1378" s="10">
        <f t="shared" si="64"/>
        <v>0.9225842696629214</v>
      </c>
      <c r="L1378" s="17">
        <f t="shared" si="65"/>
        <v>0</v>
      </c>
      <c r="M1378" t="str">
        <f>VLOOKUP(D1378,'Jer-Tip-Emp'!B:E,4,0)</f>
        <v>Adición</v>
      </c>
      <c r="N1378" t="str">
        <f>VLOOKUP(D1378,'Jer-Tip-Emp'!B:F,5,0)</f>
        <v>Adición</v>
      </c>
      <c r="O1378" t="str">
        <f>VLOOKUP(D1378,'Jer-Tip-Emp'!B:G,6,0)</f>
        <v>Adición</v>
      </c>
    </row>
    <row r="1379" spans="1:15" ht="27.5" hidden="1" customHeight="1" x14ac:dyDescent="0.2">
      <c r="A1379">
        <v>2025</v>
      </c>
      <c r="B1379" t="s">
        <v>616</v>
      </c>
      <c r="C1379" t="s">
        <v>594</v>
      </c>
      <c r="D1379" s="19" t="s">
        <v>348</v>
      </c>
      <c r="E1379" s="18" t="s">
        <v>567</v>
      </c>
      <c r="F1379" s="18">
        <v>2</v>
      </c>
      <c r="G1379" s="20">
        <v>16000</v>
      </c>
      <c r="H1379" s="18">
        <v>0</v>
      </c>
      <c r="I1379" s="20">
        <v>3494</v>
      </c>
      <c r="J1379" s="8">
        <f t="shared" si="63"/>
        <v>12506</v>
      </c>
      <c r="K1379" s="10">
        <f t="shared" si="64"/>
        <v>0.78162500000000001</v>
      </c>
      <c r="L1379" s="17">
        <f t="shared" si="65"/>
        <v>0</v>
      </c>
      <c r="M1379" t="str">
        <f>VLOOKUP(D1379,'Jer-Tip-Emp'!B:E,4,0)</f>
        <v>Adición</v>
      </c>
      <c r="N1379" t="str">
        <f>VLOOKUP(D1379,'Jer-Tip-Emp'!B:F,5,0)</f>
        <v>Adición</v>
      </c>
      <c r="O1379" t="str">
        <f>VLOOKUP(D1379,'Jer-Tip-Emp'!B:G,6,0)</f>
        <v>Adición</v>
      </c>
    </row>
    <row r="1380" spans="1:15" ht="27.5" hidden="1" customHeight="1" x14ac:dyDescent="0.2">
      <c r="A1380">
        <v>2025</v>
      </c>
      <c r="B1380" t="s">
        <v>616</v>
      </c>
      <c r="C1380" t="s">
        <v>594</v>
      </c>
      <c r="D1380" s="19" t="s">
        <v>457</v>
      </c>
      <c r="E1380" s="18" t="s">
        <v>602</v>
      </c>
      <c r="F1380" s="18">
        <v>2</v>
      </c>
      <c r="G1380" s="20">
        <v>13400</v>
      </c>
      <c r="H1380" s="18">
        <v>0</v>
      </c>
      <c r="I1380" s="18">
        <v>14</v>
      </c>
      <c r="J1380" s="8">
        <f t="shared" si="63"/>
        <v>13386</v>
      </c>
      <c r="K1380" s="10">
        <f t="shared" si="64"/>
        <v>0.99895522388059699</v>
      </c>
      <c r="L1380" s="17">
        <f t="shared" si="65"/>
        <v>0</v>
      </c>
      <c r="M1380" t="str">
        <f>VLOOKUP(D1380,'Jer-Tip-Emp'!B:E,4,0)</f>
        <v>Adición</v>
      </c>
      <c r="N1380" t="str">
        <f>VLOOKUP(D1380,'Jer-Tip-Emp'!B:F,5,0)</f>
        <v>Adición</v>
      </c>
      <c r="O1380" t="str">
        <f>VLOOKUP(D1380,'Jer-Tip-Emp'!B:G,6,0)</f>
        <v>Adición</v>
      </c>
    </row>
    <row r="1381" spans="1:15" ht="27.5" hidden="1" customHeight="1" x14ac:dyDescent="0.2">
      <c r="A1381">
        <v>2025</v>
      </c>
      <c r="B1381" t="s">
        <v>616</v>
      </c>
      <c r="C1381" t="s">
        <v>594</v>
      </c>
      <c r="D1381" s="19" t="s">
        <v>275</v>
      </c>
      <c r="E1381" s="18" t="s">
        <v>16</v>
      </c>
      <c r="F1381" s="18">
        <v>1</v>
      </c>
      <c r="G1381" s="20">
        <v>8899</v>
      </c>
      <c r="H1381" s="18">
        <v>0</v>
      </c>
      <c r="I1381" s="20">
        <v>2245</v>
      </c>
      <c r="J1381" s="8">
        <f t="shared" si="63"/>
        <v>6654</v>
      </c>
      <c r="K1381" s="10">
        <f t="shared" si="64"/>
        <v>0.74772446342285648</v>
      </c>
      <c r="L1381" s="17">
        <f t="shared" si="65"/>
        <v>0</v>
      </c>
      <c r="M1381" t="str">
        <f>VLOOKUP(D1381,'Jer-Tip-Emp'!B:E,4,0)</f>
        <v>Adición</v>
      </c>
      <c r="N1381" t="str">
        <f>VLOOKUP(D1381,'Jer-Tip-Emp'!B:F,5,0)</f>
        <v>Adición</v>
      </c>
      <c r="O1381" t="str">
        <f>VLOOKUP(D1381,'Jer-Tip-Emp'!B:G,6,0)</f>
        <v>Adición</v>
      </c>
    </row>
    <row r="1382" spans="1:15" ht="27.5" hidden="1" customHeight="1" x14ac:dyDescent="0.2">
      <c r="A1382">
        <v>2025</v>
      </c>
      <c r="B1382" t="s">
        <v>616</v>
      </c>
      <c r="C1382" t="s">
        <v>594</v>
      </c>
      <c r="D1382" s="19" t="s">
        <v>444</v>
      </c>
      <c r="E1382" s="18" t="s">
        <v>562</v>
      </c>
      <c r="F1382" s="18">
        <v>1</v>
      </c>
      <c r="G1382" s="20">
        <v>2000</v>
      </c>
      <c r="H1382" s="18">
        <v>0</v>
      </c>
      <c r="I1382" s="20">
        <v>1610</v>
      </c>
      <c r="J1382" s="8">
        <f t="shared" si="63"/>
        <v>390</v>
      </c>
      <c r="K1382" s="10">
        <f t="shared" si="64"/>
        <v>0.19500000000000001</v>
      </c>
      <c r="L1382" s="17">
        <f t="shared" si="65"/>
        <v>0</v>
      </c>
      <c r="M1382" t="str">
        <f>VLOOKUP(D1382,'Jer-Tip-Emp'!B:E,4,0)</f>
        <v>Bebidas</v>
      </c>
      <c r="N1382" t="str">
        <f>VLOOKUP(D1382,'Jer-Tip-Emp'!B:F,5,0)</f>
        <v>Bebidas Cambio de bebida</v>
      </c>
      <c r="O1382" t="str">
        <f>VLOOKUP(D1382,'Jer-Tip-Emp'!B:G,6,0)</f>
        <v>Bebidas</v>
      </c>
    </row>
    <row r="1383" spans="1:15" ht="27.5" hidden="1" customHeight="1" x14ac:dyDescent="0.2">
      <c r="A1383">
        <v>2025</v>
      </c>
      <c r="B1383" t="s">
        <v>616</v>
      </c>
      <c r="C1383" t="s">
        <v>594</v>
      </c>
      <c r="D1383" s="19" t="s">
        <v>445</v>
      </c>
      <c r="E1383" s="18" t="s">
        <v>570</v>
      </c>
      <c r="F1383" s="18">
        <v>1</v>
      </c>
      <c r="G1383" s="20">
        <v>2000</v>
      </c>
      <c r="H1383" s="18">
        <v>0</v>
      </c>
      <c r="I1383" s="20">
        <v>1711</v>
      </c>
      <c r="J1383" s="8">
        <f t="shared" si="63"/>
        <v>289</v>
      </c>
      <c r="K1383" s="10">
        <f t="shared" si="64"/>
        <v>0.14449999999999999</v>
      </c>
      <c r="L1383" s="17">
        <f t="shared" si="65"/>
        <v>0</v>
      </c>
      <c r="M1383" t="str">
        <f>VLOOKUP(D1383,'Jer-Tip-Emp'!B:E,4,0)</f>
        <v>Bebidas</v>
      </c>
      <c r="N1383" t="str">
        <f>VLOOKUP(D1383,'Jer-Tip-Emp'!B:F,5,0)</f>
        <v>Bebidas Cambio de bebida</v>
      </c>
      <c r="O1383" t="str">
        <f>VLOOKUP(D1383,'Jer-Tip-Emp'!B:G,6,0)</f>
        <v>Bebidas</v>
      </c>
    </row>
    <row r="1384" spans="1:15" ht="27.5" hidden="1" customHeight="1" x14ac:dyDescent="0.2">
      <c r="A1384">
        <v>2025</v>
      </c>
      <c r="B1384" t="s">
        <v>616</v>
      </c>
      <c r="C1384" t="s">
        <v>594</v>
      </c>
      <c r="D1384" s="19" t="s">
        <v>310</v>
      </c>
      <c r="E1384" s="18" t="s">
        <v>53</v>
      </c>
      <c r="F1384" s="18">
        <v>1</v>
      </c>
      <c r="G1384" s="20">
        <v>6500</v>
      </c>
      <c r="H1384" s="18">
        <v>0</v>
      </c>
      <c r="I1384" s="20">
        <v>1695</v>
      </c>
      <c r="J1384" s="8">
        <f t="shared" si="63"/>
        <v>4805</v>
      </c>
      <c r="K1384" s="10">
        <f t="shared" si="64"/>
        <v>0.73923076923076925</v>
      </c>
      <c r="L1384" s="17">
        <f t="shared" si="65"/>
        <v>0</v>
      </c>
      <c r="M1384" t="str">
        <f>VLOOKUP(D1384,'Jer-Tip-Emp'!B:E,4,0)</f>
        <v>Bebidas</v>
      </c>
      <c r="N1384" t="str">
        <f>VLOOKUP(D1384,'Jer-Tip-Emp'!B:F,5,0)</f>
        <v>Bebidas</v>
      </c>
      <c r="O1384" t="str">
        <f>VLOOKUP(D1384,'Jer-Tip-Emp'!B:G,6,0)</f>
        <v>Bebidas</v>
      </c>
    </row>
    <row r="1385" spans="1:15" ht="27.5" hidden="1" customHeight="1" x14ac:dyDescent="0.2">
      <c r="A1385">
        <v>2025</v>
      </c>
      <c r="B1385" t="s">
        <v>616</v>
      </c>
      <c r="C1385" t="s">
        <v>594</v>
      </c>
      <c r="D1385" s="19" t="s">
        <v>450</v>
      </c>
      <c r="E1385" s="18" t="s">
        <v>565</v>
      </c>
      <c r="F1385" s="18">
        <v>1</v>
      </c>
      <c r="G1385" s="20">
        <v>2000</v>
      </c>
      <c r="H1385" s="18">
        <v>0</v>
      </c>
      <c r="I1385" s="20">
        <v>1874</v>
      </c>
      <c r="J1385" s="8">
        <f t="shared" si="63"/>
        <v>126</v>
      </c>
      <c r="K1385" s="10">
        <f t="shared" si="64"/>
        <v>6.3E-2</v>
      </c>
      <c r="L1385" s="17">
        <f t="shared" si="65"/>
        <v>0</v>
      </c>
      <c r="M1385" t="str">
        <f>VLOOKUP(D1385,'Jer-Tip-Emp'!B:E,4,0)</f>
        <v>Bebidas</v>
      </c>
      <c r="N1385" t="str">
        <f>VLOOKUP(D1385,'Jer-Tip-Emp'!B:F,5,0)</f>
        <v>Bebidas Cambio de bebida</v>
      </c>
      <c r="O1385" t="str">
        <f>VLOOKUP(D1385,'Jer-Tip-Emp'!B:G,6,0)</f>
        <v>Bebidas</v>
      </c>
    </row>
    <row r="1386" spans="1:15" ht="27.5" hidden="1" customHeight="1" x14ac:dyDescent="0.2">
      <c r="A1386">
        <v>2025</v>
      </c>
      <c r="B1386" t="s">
        <v>616</v>
      </c>
      <c r="C1386" t="s">
        <v>594</v>
      </c>
      <c r="D1386" s="19" t="s">
        <v>335</v>
      </c>
      <c r="E1386" s="18" t="s">
        <v>40</v>
      </c>
      <c r="F1386" s="18">
        <v>1</v>
      </c>
      <c r="G1386" s="20">
        <v>5900</v>
      </c>
      <c r="H1386" s="18">
        <v>0</v>
      </c>
      <c r="I1386" s="20">
        <v>1373</v>
      </c>
      <c r="J1386" s="8">
        <f t="shared" si="63"/>
        <v>4527</v>
      </c>
      <c r="K1386" s="10">
        <f t="shared" si="64"/>
        <v>0.76728813559322029</v>
      </c>
      <c r="L1386" s="17">
        <f t="shared" si="65"/>
        <v>0</v>
      </c>
      <c r="M1386" t="str">
        <f>VLOOKUP(D1386,'Jer-Tip-Emp'!B:E,4,0)</f>
        <v>Bebidas</v>
      </c>
      <c r="N1386" t="str">
        <f>VLOOKUP(D1386,'Jer-Tip-Emp'!B:F,5,0)</f>
        <v>Bebidas</v>
      </c>
      <c r="O1386" t="str">
        <f>VLOOKUP(D1386,'Jer-Tip-Emp'!B:G,6,0)</f>
        <v>Bebidas</v>
      </c>
    </row>
    <row r="1387" spans="1:15" ht="27.5" hidden="1" customHeight="1" x14ac:dyDescent="0.2">
      <c r="A1387">
        <v>2025</v>
      </c>
      <c r="B1387" t="s">
        <v>616</v>
      </c>
      <c r="C1387" t="s">
        <v>594</v>
      </c>
      <c r="D1387" s="19" t="s">
        <v>426</v>
      </c>
      <c r="E1387" s="18" t="s">
        <v>561</v>
      </c>
      <c r="F1387" s="18">
        <v>1</v>
      </c>
      <c r="G1387" s="20">
        <v>2000</v>
      </c>
      <c r="H1387" s="18">
        <v>0</v>
      </c>
      <c r="I1387" s="20">
        <v>1516</v>
      </c>
      <c r="J1387" s="8">
        <f t="shared" si="63"/>
        <v>484</v>
      </c>
      <c r="K1387" s="10">
        <f t="shared" si="64"/>
        <v>0.24199999999999999</v>
      </c>
      <c r="L1387" s="17">
        <f t="shared" si="65"/>
        <v>0</v>
      </c>
      <c r="M1387" t="str">
        <f>VLOOKUP(D1387,'Jer-Tip-Emp'!B:E,4,0)</f>
        <v>Bebidas</v>
      </c>
      <c r="N1387" t="str">
        <f>VLOOKUP(D1387,'Jer-Tip-Emp'!B:F,5,0)</f>
        <v>Bebidas Cambio de bebida</v>
      </c>
      <c r="O1387" t="str">
        <f>VLOOKUP(D1387,'Jer-Tip-Emp'!B:G,6,0)</f>
        <v>Bebidas</v>
      </c>
    </row>
    <row r="1388" spans="1:15" ht="27.5" hidden="1" customHeight="1" x14ac:dyDescent="0.2">
      <c r="A1388">
        <v>2025</v>
      </c>
      <c r="B1388" t="s">
        <v>616</v>
      </c>
      <c r="C1388" t="s">
        <v>594</v>
      </c>
      <c r="D1388" s="19" t="s">
        <v>397</v>
      </c>
      <c r="E1388" s="18" t="s">
        <v>61</v>
      </c>
      <c r="F1388" s="18">
        <v>1</v>
      </c>
      <c r="G1388" s="20">
        <v>5900</v>
      </c>
      <c r="H1388" s="18">
        <v>0</v>
      </c>
      <c r="I1388" s="20">
        <v>1896</v>
      </c>
      <c r="J1388" s="8">
        <f t="shared" si="63"/>
        <v>4004</v>
      </c>
      <c r="K1388" s="10">
        <f t="shared" si="64"/>
        <v>0.67864406779661013</v>
      </c>
      <c r="L1388" s="17">
        <f t="shared" si="65"/>
        <v>0</v>
      </c>
      <c r="M1388" t="str">
        <f>VLOOKUP(D1388,'Jer-Tip-Emp'!B:E,4,0)</f>
        <v>Bebidas</v>
      </c>
      <c r="N1388" t="str">
        <f>VLOOKUP(D1388,'Jer-Tip-Emp'!B:F,5,0)</f>
        <v>Bebidas</v>
      </c>
      <c r="O1388" t="str">
        <f>VLOOKUP(D1388,'Jer-Tip-Emp'!B:G,6,0)</f>
        <v>Bebidas</v>
      </c>
    </row>
    <row r="1389" spans="1:15" ht="27.5" hidden="1" customHeight="1" x14ac:dyDescent="0.2">
      <c r="A1389">
        <v>2025</v>
      </c>
      <c r="B1389" t="s">
        <v>616</v>
      </c>
      <c r="C1389" t="s">
        <v>594</v>
      </c>
      <c r="D1389" s="19" t="s">
        <v>369</v>
      </c>
      <c r="E1389" s="18" t="s">
        <v>68</v>
      </c>
      <c r="F1389" s="18">
        <v>1</v>
      </c>
      <c r="G1389" s="20">
        <v>5900</v>
      </c>
      <c r="H1389" s="18">
        <v>0</v>
      </c>
      <c r="I1389" s="20">
        <v>1330</v>
      </c>
      <c r="J1389" s="8">
        <f t="shared" si="63"/>
        <v>4570</v>
      </c>
      <c r="K1389" s="10">
        <f t="shared" si="64"/>
        <v>0.77457627118644068</v>
      </c>
      <c r="L1389" s="17">
        <f t="shared" si="65"/>
        <v>0</v>
      </c>
      <c r="M1389" t="str">
        <f>VLOOKUP(D1389,'Jer-Tip-Emp'!B:E,4,0)</f>
        <v>Bebidas</v>
      </c>
      <c r="N1389" t="str">
        <f>VLOOKUP(D1389,'Jer-Tip-Emp'!B:F,5,0)</f>
        <v>Bebidas</v>
      </c>
      <c r="O1389" t="str">
        <f>VLOOKUP(D1389,'Jer-Tip-Emp'!B:G,6,0)</f>
        <v>Bebidas</v>
      </c>
    </row>
    <row r="1390" spans="1:15" ht="27.5" hidden="1" customHeight="1" x14ac:dyDescent="0.2">
      <c r="A1390">
        <v>2025</v>
      </c>
      <c r="B1390" t="s">
        <v>616</v>
      </c>
      <c r="C1390" t="s">
        <v>594</v>
      </c>
      <c r="D1390" s="19" t="s">
        <v>494</v>
      </c>
      <c r="E1390" s="18" t="s">
        <v>568</v>
      </c>
      <c r="F1390" s="18">
        <v>1</v>
      </c>
      <c r="G1390" s="20">
        <v>2000</v>
      </c>
      <c r="H1390" s="18">
        <v>0</v>
      </c>
      <c r="I1390" s="20">
        <v>2139</v>
      </c>
      <c r="J1390" s="8">
        <f t="shared" si="63"/>
        <v>-139</v>
      </c>
      <c r="K1390" s="10">
        <f t="shared" si="64"/>
        <v>-6.9500000000000006E-2</v>
      </c>
      <c r="L1390" s="17">
        <f t="shared" si="65"/>
        <v>0</v>
      </c>
      <c r="M1390" t="str">
        <f>VLOOKUP(D1390,'Jer-Tip-Emp'!B:E,4,0)</f>
        <v>Bebidas</v>
      </c>
      <c r="N1390" t="str">
        <f>VLOOKUP(D1390,'Jer-Tip-Emp'!B:F,5,0)</f>
        <v>Bebidas Cambio de bebida</v>
      </c>
      <c r="O1390" t="str">
        <f>VLOOKUP(D1390,'Jer-Tip-Emp'!B:G,6,0)</f>
        <v>Bebidas</v>
      </c>
    </row>
    <row r="1391" spans="1:15" ht="27.5" hidden="1" customHeight="1" x14ac:dyDescent="0.2">
      <c r="A1391">
        <v>2025</v>
      </c>
      <c r="B1391" t="s">
        <v>616</v>
      </c>
      <c r="C1391" t="s">
        <v>594</v>
      </c>
      <c r="D1391" s="19" t="s">
        <v>495</v>
      </c>
      <c r="E1391" s="18" t="s">
        <v>572</v>
      </c>
      <c r="F1391" s="18">
        <v>1</v>
      </c>
      <c r="G1391" s="20">
        <v>2000</v>
      </c>
      <c r="H1391" s="18">
        <v>0</v>
      </c>
      <c r="I1391" s="20">
        <v>1896</v>
      </c>
      <c r="J1391" s="8">
        <f t="shared" si="63"/>
        <v>104</v>
      </c>
      <c r="K1391" s="10">
        <f t="shared" si="64"/>
        <v>5.1999999999999998E-2</v>
      </c>
      <c r="L1391" s="17">
        <f t="shared" si="65"/>
        <v>0</v>
      </c>
      <c r="M1391" t="str">
        <f>VLOOKUP(D1391,'Jer-Tip-Emp'!B:E,4,0)</f>
        <v>Bebidas</v>
      </c>
      <c r="N1391" t="str">
        <f>VLOOKUP(D1391,'Jer-Tip-Emp'!B:F,5,0)</f>
        <v>Bebidas Cambio de bebida</v>
      </c>
      <c r="O1391" t="str">
        <f>VLOOKUP(D1391,'Jer-Tip-Emp'!B:G,6,0)</f>
        <v>Bebidas</v>
      </c>
    </row>
    <row r="1392" spans="1:15" ht="27.5" hidden="1" customHeight="1" x14ac:dyDescent="0.2">
      <c r="A1392">
        <v>2025</v>
      </c>
      <c r="B1392" t="s">
        <v>616</v>
      </c>
      <c r="C1392" t="s">
        <v>594</v>
      </c>
      <c r="D1392" s="19" t="s">
        <v>339</v>
      </c>
      <c r="E1392" s="18" t="s">
        <v>65</v>
      </c>
      <c r="F1392" s="18">
        <v>1</v>
      </c>
      <c r="G1392" s="20">
        <v>5900</v>
      </c>
      <c r="H1392" s="18">
        <v>0</v>
      </c>
      <c r="I1392" s="20">
        <v>1560</v>
      </c>
      <c r="J1392" s="8">
        <f t="shared" si="63"/>
        <v>4340</v>
      </c>
      <c r="K1392" s="10">
        <f t="shared" si="64"/>
        <v>0.735593220338983</v>
      </c>
      <c r="L1392" s="17">
        <f t="shared" si="65"/>
        <v>0</v>
      </c>
      <c r="M1392" t="str">
        <f>VLOOKUP(D1392,'Jer-Tip-Emp'!B:E,4,0)</f>
        <v>Bebidas</v>
      </c>
      <c r="N1392" t="str">
        <f>VLOOKUP(D1392,'Jer-Tip-Emp'!B:F,5,0)</f>
        <v>Bebidas</v>
      </c>
      <c r="O1392" t="str">
        <f>VLOOKUP(D1392,'Jer-Tip-Emp'!B:G,6,0)</f>
        <v>Bebidas</v>
      </c>
    </row>
    <row r="1393" spans="1:15" ht="27.5" customHeight="1" x14ac:dyDescent="0.2">
      <c r="A1393">
        <v>2025</v>
      </c>
      <c r="B1393" t="s">
        <v>616</v>
      </c>
      <c r="C1393" t="s">
        <v>594</v>
      </c>
      <c r="D1393" s="19" t="s">
        <v>389</v>
      </c>
      <c r="E1393" s="18" t="s">
        <v>541</v>
      </c>
      <c r="F1393" s="18">
        <v>1</v>
      </c>
      <c r="G1393" s="18">
        <v>0</v>
      </c>
      <c r="H1393" s="18">
        <v>0</v>
      </c>
      <c r="I1393" s="20">
        <v>5467</v>
      </c>
      <c r="J1393" s="8">
        <f t="shared" si="63"/>
        <v>-5467</v>
      </c>
      <c r="K1393" s="10">
        <f t="shared" si="64"/>
        <v>0</v>
      </c>
      <c r="L1393" s="17">
        <f t="shared" si="65"/>
        <v>0</v>
      </c>
      <c r="M1393" t="str">
        <f>VLOOKUP(D1393,'Jer-Tip-Emp'!B:E,4,0)</f>
        <v>Arma tu plato</v>
      </c>
      <c r="N1393" t="str">
        <f>VLOOKUP(D1393,'Jer-Tip-Emp'!B:F,5,0)</f>
        <v>Personal</v>
      </c>
      <c r="O1393" t="str">
        <f>VLOOKUP(D1393,'Jer-Tip-Emp'!B:G,6,0)</f>
        <v>Caja</v>
      </c>
    </row>
    <row r="1394" spans="1:15" ht="27.5" customHeight="1" x14ac:dyDescent="0.2">
      <c r="A1394">
        <v>2025</v>
      </c>
      <c r="B1394" t="s">
        <v>616</v>
      </c>
      <c r="C1394" t="s">
        <v>594</v>
      </c>
      <c r="D1394" s="19" t="s">
        <v>266</v>
      </c>
      <c r="E1394" s="18" t="s">
        <v>85</v>
      </c>
      <c r="F1394" s="18">
        <v>1</v>
      </c>
      <c r="G1394" s="20">
        <v>83900</v>
      </c>
      <c r="H1394" s="20">
        <v>-28000</v>
      </c>
      <c r="I1394" s="20">
        <v>39221</v>
      </c>
      <c r="J1394" s="8">
        <f t="shared" si="63"/>
        <v>44679</v>
      </c>
      <c r="K1394" s="10">
        <f t="shared" si="64"/>
        <v>0.53252681764004772</v>
      </c>
      <c r="L1394" s="17">
        <f t="shared" si="65"/>
        <v>0.33373063170441003</v>
      </c>
      <c r="M1394" t="str">
        <f>VLOOKUP(D1394,'Jer-Tip-Emp'!B:E,4,0)</f>
        <v>Combos para compartir</v>
      </c>
      <c r="N1394" t="str">
        <f>VLOOKUP(D1394,'Jer-Tip-Emp'!B:F,5,0)</f>
        <v>No Personal</v>
      </c>
      <c r="O1394" t="str">
        <f>VLOOKUP(D1394,'Jer-Tip-Emp'!B:G,6,0)</f>
        <v>Combo</v>
      </c>
    </row>
    <row r="1395" spans="1:15" ht="27.5" hidden="1" customHeight="1" x14ac:dyDescent="0.2">
      <c r="A1395">
        <v>2025</v>
      </c>
      <c r="B1395" t="s">
        <v>616</v>
      </c>
      <c r="C1395" t="s">
        <v>594</v>
      </c>
      <c r="D1395" s="19" t="s">
        <v>418</v>
      </c>
      <c r="E1395" s="18" t="s">
        <v>557</v>
      </c>
      <c r="F1395" s="18">
        <v>1</v>
      </c>
      <c r="G1395" s="20">
        <v>1000</v>
      </c>
      <c r="H1395" s="18">
        <v>0</v>
      </c>
      <c r="I1395" s="18">
        <v>0</v>
      </c>
      <c r="J1395" s="8">
        <f t="shared" si="63"/>
        <v>1000</v>
      </c>
      <c r="K1395" s="10">
        <f t="shared" si="64"/>
        <v>1</v>
      </c>
      <c r="L1395" s="17">
        <f t="shared" si="65"/>
        <v>0</v>
      </c>
      <c r="M1395" t="str">
        <f>VLOOKUP(D1395,'Jer-Tip-Emp'!B:E,4,0)</f>
        <v>Adición</v>
      </c>
      <c r="N1395" t="str">
        <f>VLOOKUP(D1395,'Jer-Tip-Emp'!B:F,5,0)</f>
        <v>Adición</v>
      </c>
      <c r="O1395" t="str">
        <f>VLOOKUP(D1395,'Jer-Tip-Emp'!B:G,6,0)</f>
        <v>Adición</v>
      </c>
    </row>
    <row r="1396" spans="1:15" ht="27.5" hidden="1" customHeight="1" x14ac:dyDescent="0.2">
      <c r="A1396">
        <v>2025</v>
      </c>
      <c r="B1396" t="s">
        <v>616</v>
      </c>
      <c r="C1396" t="s">
        <v>594</v>
      </c>
      <c r="D1396" s="19" t="s">
        <v>496</v>
      </c>
      <c r="E1396" s="18" t="s">
        <v>581</v>
      </c>
      <c r="F1396" s="18">
        <v>1</v>
      </c>
      <c r="G1396" s="20">
        <v>2000</v>
      </c>
      <c r="H1396" s="18">
        <v>0</v>
      </c>
      <c r="I1396" s="20">
        <v>1896</v>
      </c>
      <c r="J1396" s="8">
        <f t="shared" si="63"/>
        <v>104</v>
      </c>
      <c r="K1396" s="10">
        <f t="shared" si="64"/>
        <v>5.1999999999999998E-2</v>
      </c>
      <c r="L1396" s="17">
        <f t="shared" si="65"/>
        <v>0</v>
      </c>
      <c r="M1396" t="str">
        <f>VLOOKUP(D1396,'Jer-Tip-Emp'!B:E,4,0)</f>
        <v>Bebidas</v>
      </c>
      <c r="N1396" t="str">
        <f>VLOOKUP(D1396,'Jer-Tip-Emp'!B:F,5,0)</f>
        <v>Bebidas Cambio de bebida</v>
      </c>
      <c r="O1396" t="str">
        <f>VLOOKUP(D1396,'Jer-Tip-Emp'!B:G,6,0)</f>
        <v>Bebidas</v>
      </c>
    </row>
    <row r="1397" spans="1:15" ht="27.5" hidden="1" customHeight="1" x14ac:dyDescent="0.2">
      <c r="A1397">
        <v>2025</v>
      </c>
      <c r="B1397" t="s">
        <v>616</v>
      </c>
      <c r="C1397" t="s">
        <v>594</v>
      </c>
      <c r="D1397" s="19" t="s">
        <v>254</v>
      </c>
      <c r="E1397" s="18" t="s">
        <v>20</v>
      </c>
      <c r="F1397" s="18">
        <v>1</v>
      </c>
      <c r="G1397" s="20">
        <v>5900</v>
      </c>
      <c r="H1397" s="18">
        <v>0</v>
      </c>
      <c r="I1397" s="20">
        <v>3010</v>
      </c>
      <c r="J1397" s="8">
        <f t="shared" si="63"/>
        <v>2890</v>
      </c>
      <c r="K1397" s="10">
        <f t="shared" si="64"/>
        <v>0.48983050847457626</v>
      </c>
      <c r="L1397" s="17">
        <f t="shared" si="65"/>
        <v>0</v>
      </c>
      <c r="M1397" t="str">
        <f>VLOOKUP(D1397,'Jer-Tip-Emp'!B:E,4,0)</f>
        <v>Adición</v>
      </c>
      <c r="N1397" t="str">
        <f>VLOOKUP(D1397,'Jer-Tip-Emp'!B:F,5,0)</f>
        <v>Adición</v>
      </c>
      <c r="O1397" t="str">
        <f>VLOOKUP(D1397,'Jer-Tip-Emp'!B:G,6,0)</f>
        <v>Adición</v>
      </c>
    </row>
    <row r="1398" spans="1:15" ht="27.5" hidden="1" customHeight="1" x14ac:dyDescent="0.2">
      <c r="A1398">
        <v>2025</v>
      </c>
      <c r="B1398" t="s">
        <v>616</v>
      </c>
      <c r="C1398" t="s">
        <v>594</v>
      </c>
      <c r="D1398" s="19" t="s">
        <v>218</v>
      </c>
      <c r="E1398" s="18" t="s">
        <v>33</v>
      </c>
      <c r="F1398" s="18">
        <v>1</v>
      </c>
      <c r="G1398" s="20">
        <v>9900</v>
      </c>
      <c r="H1398" s="18">
        <v>0</v>
      </c>
      <c r="I1398" s="18">
        <v>0</v>
      </c>
      <c r="J1398" s="8">
        <f t="shared" si="63"/>
        <v>9900</v>
      </c>
      <c r="K1398" s="10">
        <f t="shared" si="64"/>
        <v>1</v>
      </c>
      <c r="L1398" s="17">
        <f t="shared" si="65"/>
        <v>0</v>
      </c>
      <c r="M1398" t="str">
        <f>VLOOKUP(D1398,'Jer-Tip-Emp'!B:E,4,0)</f>
        <v>Adición</v>
      </c>
      <c r="N1398" t="str">
        <f>VLOOKUP(D1398,'Jer-Tip-Emp'!B:F,5,0)</f>
        <v>Adición</v>
      </c>
      <c r="O1398" t="str">
        <f>VLOOKUP(D1398,'Jer-Tip-Emp'!B:G,6,0)</f>
        <v>Adición</v>
      </c>
    </row>
    <row r="1399" spans="1:15" ht="27.5" customHeight="1" x14ac:dyDescent="0.2">
      <c r="A1399">
        <v>2025</v>
      </c>
      <c r="B1399" t="s">
        <v>616</v>
      </c>
      <c r="C1399" t="s">
        <v>594</v>
      </c>
      <c r="D1399" s="19" t="s">
        <v>470</v>
      </c>
      <c r="E1399" s="18" t="s">
        <v>550</v>
      </c>
      <c r="F1399" s="18">
        <v>1</v>
      </c>
      <c r="G1399" s="18">
        <v>0</v>
      </c>
      <c r="H1399" s="18">
        <v>0</v>
      </c>
      <c r="I1399" s="20">
        <v>3097</v>
      </c>
      <c r="J1399" s="8">
        <f t="shared" si="63"/>
        <v>-3097</v>
      </c>
      <c r="K1399" s="10">
        <f t="shared" si="64"/>
        <v>0</v>
      </c>
      <c r="L1399" s="17">
        <f t="shared" si="65"/>
        <v>0</v>
      </c>
      <c r="M1399" t="str">
        <f>VLOOKUP(D1399,'Jer-Tip-Emp'!B:E,4,0)</f>
        <v>Arma tu plato</v>
      </c>
      <c r="N1399" t="str">
        <f>VLOOKUP(D1399,'Jer-Tip-Emp'!B:F,5,0)</f>
        <v>Personal</v>
      </c>
      <c r="O1399" t="str">
        <f>VLOOKUP(D1399,'Jer-Tip-Emp'!B:G,6,0)</f>
        <v>Caja</v>
      </c>
    </row>
    <row r="1400" spans="1:15" ht="27.5" customHeight="1" x14ac:dyDescent="0.2">
      <c r="A1400">
        <v>2025</v>
      </c>
      <c r="B1400" t="s">
        <v>616</v>
      </c>
      <c r="C1400" t="s">
        <v>594</v>
      </c>
      <c r="D1400" s="19" t="s">
        <v>474</v>
      </c>
      <c r="E1400" s="18" t="s">
        <v>553</v>
      </c>
      <c r="F1400" s="18">
        <v>1</v>
      </c>
      <c r="G1400" s="18">
        <v>0</v>
      </c>
      <c r="H1400" s="18">
        <v>0</v>
      </c>
      <c r="I1400" s="20">
        <v>2849</v>
      </c>
      <c r="J1400" s="8">
        <f t="shared" si="63"/>
        <v>-2849</v>
      </c>
      <c r="K1400" s="10">
        <f t="shared" si="64"/>
        <v>0</v>
      </c>
      <c r="L1400" s="17">
        <f t="shared" si="65"/>
        <v>0</v>
      </c>
      <c r="M1400" t="str">
        <f>VLOOKUP(D1400,'Jer-Tip-Emp'!B:E,4,0)</f>
        <v>Arma tu plato</v>
      </c>
      <c r="N1400" t="str">
        <f>VLOOKUP(D1400,'Jer-Tip-Emp'!B:F,5,0)</f>
        <v>Personal</v>
      </c>
      <c r="O1400" t="str">
        <f>VLOOKUP(D1400,'Jer-Tip-Emp'!B:G,6,0)</f>
        <v>Caja</v>
      </c>
    </row>
    <row r="1401" spans="1:15" ht="27.5" hidden="1" customHeight="1" x14ac:dyDescent="0.2">
      <c r="A1401">
        <v>2025</v>
      </c>
      <c r="B1401" t="s">
        <v>616</v>
      </c>
      <c r="C1401" t="s">
        <v>594</v>
      </c>
      <c r="D1401" s="19" t="s">
        <v>268</v>
      </c>
      <c r="E1401" s="18" t="s">
        <v>17</v>
      </c>
      <c r="F1401" s="18">
        <v>1</v>
      </c>
      <c r="G1401" s="20">
        <v>7900</v>
      </c>
      <c r="H1401" s="18">
        <v>0</v>
      </c>
      <c r="I1401" s="20">
        <v>1282</v>
      </c>
      <c r="J1401" s="8">
        <f t="shared" si="63"/>
        <v>6618</v>
      </c>
      <c r="K1401" s="10">
        <f t="shared" si="64"/>
        <v>0.83772151898734182</v>
      </c>
      <c r="L1401" s="17">
        <f t="shared" si="65"/>
        <v>0</v>
      </c>
      <c r="M1401" t="str">
        <f>VLOOKUP(D1401,'Jer-Tip-Emp'!B:E,4,0)</f>
        <v>Adición</v>
      </c>
      <c r="N1401" t="str">
        <f>VLOOKUP(D1401,'Jer-Tip-Emp'!B:F,5,0)</f>
        <v>Adición</v>
      </c>
      <c r="O1401" t="str">
        <f>VLOOKUP(D1401,'Jer-Tip-Emp'!B:G,6,0)</f>
        <v>Adición</v>
      </c>
    </row>
    <row r="1402" spans="1:15" ht="27.5" hidden="1" customHeight="1" x14ac:dyDescent="0.2">
      <c r="A1402">
        <v>2025</v>
      </c>
      <c r="B1402" t="s">
        <v>616</v>
      </c>
      <c r="C1402" t="s">
        <v>594</v>
      </c>
      <c r="D1402" s="19" t="s">
        <v>193</v>
      </c>
      <c r="E1402" s="18" t="s">
        <v>18</v>
      </c>
      <c r="F1402" s="18">
        <v>1</v>
      </c>
      <c r="G1402" s="20">
        <v>8900</v>
      </c>
      <c r="H1402" s="18">
        <v>0</v>
      </c>
      <c r="I1402" s="20">
        <v>3108</v>
      </c>
      <c r="J1402" s="8">
        <f t="shared" si="63"/>
        <v>5792</v>
      </c>
      <c r="K1402" s="10">
        <f t="shared" si="64"/>
        <v>0.65078651685393263</v>
      </c>
      <c r="L1402" s="17">
        <f t="shared" si="65"/>
        <v>0</v>
      </c>
      <c r="M1402" t="str">
        <f>VLOOKUP(D1402,'Jer-Tip-Emp'!B:E,4,0)</f>
        <v>Adición</v>
      </c>
      <c r="N1402" t="str">
        <f>VLOOKUP(D1402,'Jer-Tip-Emp'!B:F,5,0)</f>
        <v>Adición</v>
      </c>
      <c r="O1402" t="str">
        <f>VLOOKUP(D1402,'Jer-Tip-Emp'!B:G,6,0)</f>
        <v>Adición</v>
      </c>
    </row>
    <row r="1403" spans="1:15" ht="27.5" hidden="1" customHeight="1" x14ac:dyDescent="0.2">
      <c r="A1403">
        <v>2025</v>
      </c>
      <c r="B1403" t="s">
        <v>616</v>
      </c>
      <c r="C1403" t="s">
        <v>595</v>
      </c>
      <c r="D1403" s="19" t="s">
        <v>284</v>
      </c>
      <c r="E1403" s="18" t="s">
        <v>106</v>
      </c>
      <c r="F1403" s="18">
        <v>47</v>
      </c>
      <c r="G1403" s="20">
        <v>407821</v>
      </c>
      <c r="H1403" s="20">
        <v>-10479</v>
      </c>
      <c r="I1403" s="20">
        <v>147533</v>
      </c>
      <c r="J1403" s="8">
        <f t="shared" si="63"/>
        <v>260288</v>
      </c>
      <c r="K1403" s="10">
        <f t="shared" si="64"/>
        <v>0.63824079682017354</v>
      </c>
      <c r="L1403" s="17">
        <f t="shared" si="65"/>
        <v>2.5695096623273447E-2</v>
      </c>
      <c r="M1403" t="str">
        <f>VLOOKUP(D1403,'Jer-Tip-Emp'!B:E,4,0)</f>
        <v>Entradas</v>
      </c>
      <c r="N1403" t="str">
        <f>VLOOKUP(D1403,'Jer-Tip-Emp'!B:F,5,0)</f>
        <v>Otro</v>
      </c>
      <c r="O1403" t="str">
        <f>VLOOKUP(D1403,'Jer-Tip-Emp'!B:G,6,0)</f>
        <v>Otro</v>
      </c>
    </row>
    <row r="1404" spans="1:15" ht="27.5" customHeight="1" x14ac:dyDescent="0.2">
      <c r="A1404">
        <v>2025</v>
      </c>
      <c r="B1404" t="s">
        <v>616</v>
      </c>
      <c r="C1404" t="s">
        <v>595</v>
      </c>
      <c r="D1404" s="19" t="s">
        <v>207</v>
      </c>
      <c r="E1404" s="18" t="s">
        <v>92</v>
      </c>
      <c r="F1404" s="18">
        <v>44</v>
      </c>
      <c r="G1404" s="20">
        <v>1042449</v>
      </c>
      <c r="H1404" s="20">
        <v>-9151</v>
      </c>
      <c r="I1404" s="20">
        <v>423588</v>
      </c>
      <c r="J1404" s="8">
        <f t="shared" si="63"/>
        <v>618861</v>
      </c>
      <c r="K1404" s="10">
        <f t="shared" si="64"/>
        <v>0.59366069707007252</v>
      </c>
      <c r="L1404" s="17">
        <f t="shared" si="65"/>
        <v>8.7783670951768391E-3</v>
      </c>
      <c r="M1404" t="str">
        <f>VLOOKUP(D1404,'Jer-Tip-Emp'!B:E,4,0)</f>
        <v>Combos personales</v>
      </c>
      <c r="N1404" t="str">
        <f>VLOOKUP(D1404,'Jer-Tip-Emp'!B:F,5,0)</f>
        <v>Personal</v>
      </c>
      <c r="O1404" t="str">
        <f>VLOOKUP(D1404,'Jer-Tip-Emp'!B:G,6,0)</f>
        <v>Combo</v>
      </c>
    </row>
    <row r="1405" spans="1:15" ht="27.5" customHeight="1" x14ac:dyDescent="0.2">
      <c r="A1405">
        <v>2025</v>
      </c>
      <c r="B1405" t="s">
        <v>616</v>
      </c>
      <c r="C1405" t="s">
        <v>595</v>
      </c>
      <c r="D1405" s="19" t="s">
        <v>299</v>
      </c>
      <c r="E1405" s="18" t="s">
        <v>129</v>
      </c>
      <c r="F1405" s="18">
        <v>34</v>
      </c>
      <c r="G1405" s="20">
        <v>1374706</v>
      </c>
      <c r="H1405" s="20">
        <v>-83894</v>
      </c>
      <c r="I1405" s="20">
        <v>385288</v>
      </c>
      <c r="J1405" s="8">
        <f t="shared" si="63"/>
        <v>989418</v>
      </c>
      <c r="K1405" s="10">
        <f t="shared" si="64"/>
        <v>0.71973061876503053</v>
      </c>
      <c r="L1405" s="17">
        <f t="shared" si="65"/>
        <v>6.1026866835527015E-2</v>
      </c>
      <c r="M1405" t="str">
        <f>VLOOKUP(D1405,'Jer-Tip-Emp'!B:E,4,0)</f>
        <v>Platos mong</v>
      </c>
      <c r="N1405" t="str">
        <f>VLOOKUP(D1405,'Jer-Tip-Emp'!B:F,5,0)</f>
        <v>No Personal</v>
      </c>
      <c r="O1405" t="str">
        <f>VLOOKUP(D1405,'Jer-Tip-Emp'!B:G,6,0)</f>
        <v>Caja</v>
      </c>
    </row>
    <row r="1406" spans="1:15" ht="27.5" hidden="1" customHeight="1" x14ac:dyDescent="0.2">
      <c r="A1406">
        <v>2025</v>
      </c>
      <c r="B1406" t="s">
        <v>616</v>
      </c>
      <c r="C1406" t="s">
        <v>595</v>
      </c>
      <c r="D1406" s="19" t="s">
        <v>253</v>
      </c>
      <c r="E1406" s="18" t="s">
        <v>105</v>
      </c>
      <c r="F1406" s="18">
        <v>31</v>
      </c>
      <c r="G1406" s="20">
        <v>140151</v>
      </c>
      <c r="H1406" s="20">
        <v>-14849</v>
      </c>
      <c r="I1406" s="20">
        <v>48639</v>
      </c>
      <c r="J1406" s="8">
        <f t="shared" si="63"/>
        <v>91512</v>
      </c>
      <c r="K1406" s="10">
        <f t="shared" si="64"/>
        <v>0.65295288652952888</v>
      </c>
      <c r="L1406" s="17">
        <f t="shared" si="65"/>
        <v>0.10595001105950011</v>
      </c>
      <c r="M1406" t="str">
        <f>VLOOKUP(D1406,'Jer-Tip-Emp'!B:E,4,0)</f>
        <v>Entradas</v>
      </c>
      <c r="N1406" t="str">
        <f>VLOOKUP(D1406,'Jer-Tip-Emp'!B:F,5,0)</f>
        <v>Otro</v>
      </c>
      <c r="O1406" t="str">
        <f>VLOOKUP(D1406,'Jer-Tip-Emp'!B:G,6,0)</f>
        <v>Otro</v>
      </c>
    </row>
    <row r="1407" spans="1:15" ht="27.5" customHeight="1" x14ac:dyDescent="0.2">
      <c r="A1407">
        <v>2025</v>
      </c>
      <c r="B1407" t="s">
        <v>616</v>
      </c>
      <c r="C1407" t="s">
        <v>595</v>
      </c>
      <c r="D1407" s="19" t="s">
        <v>294</v>
      </c>
      <c r="E1407" s="18" t="s">
        <v>108</v>
      </c>
      <c r="F1407" s="18">
        <v>25</v>
      </c>
      <c r="G1407" s="20">
        <v>487500</v>
      </c>
      <c r="H1407" s="20">
        <v>-10000</v>
      </c>
      <c r="I1407" s="20">
        <v>204575</v>
      </c>
      <c r="J1407" s="8">
        <f t="shared" si="63"/>
        <v>282925</v>
      </c>
      <c r="K1407" s="10">
        <f t="shared" si="64"/>
        <v>0.58035897435897432</v>
      </c>
      <c r="L1407" s="17">
        <f t="shared" si="65"/>
        <v>2.0512820512820513E-2</v>
      </c>
      <c r="M1407" t="str">
        <f>VLOOKUP(D1407,'Jer-Tip-Emp'!B:E,4,0)</f>
        <v>Mong Express</v>
      </c>
      <c r="N1407" t="str">
        <f>VLOOKUP(D1407,'Jer-Tip-Emp'!B:F,5,0)</f>
        <v>Personal</v>
      </c>
      <c r="O1407" t="str">
        <f>VLOOKUP(D1407,'Jer-Tip-Emp'!B:G,6,0)</f>
        <v>Caja</v>
      </c>
    </row>
    <row r="1408" spans="1:15" ht="27.5" customHeight="1" x14ac:dyDescent="0.2">
      <c r="A1408">
        <v>2025</v>
      </c>
      <c r="B1408" t="s">
        <v>616</v>
      </c>
      <c r="C1408" t="s">
        <v>595</v>
      </c>
      <c r="D1408" s="19" t="s">
        <v>245</v>
      </c>
      <c r="E1408" s="18" t="s">
        <v>167</v>
      </c>
      <c r="F1408" s="18">
        <v>23</v>
      </c>
      <c r="G1408" s="20">
        <v>422844</v>
      </c>
      <c r="H1408" s="20">
        <v>-34856</v>
      </c>
      <c r="I1408" s="18">
        <v>0</v>
      </c>
      <c r="J1408" s="8">
        <f t="shared" si="63"/>
        <v>422844</v>
      </c>
      <c r="K1408" s="10">
        <f t="shared" si="64"/>
        <v>1</v>
      </c>
      <c r="L1408" s="17">
        <f t="shared" si="65"/>
        <v>8.2432291814475311E-2</v>
      </c>
      <c r="M1408" t="str">
        <f>VLOOKUP(D1408,'Jer-Tip-Emp'!B:E,4,0)</f>
        <v>Mong Express</v>
      </c>
      <c r="N1408" t="str">
        <f>VLOOKUP(D1408,'Jer-Tip-Emp'!B:F,5,0)</f>
        <v>Personal</v>
      </c>
      <c r="O1408" t="str">
        <f>VLOOKUP(D1408,'Jer-Tip-Emp'!B:G,6,0)</f>
        <v>Caja</v>
      </c>
    </row>
    <row r="1409" spans="1:15" ht="27.5" customHeight="1" x14ac:dyDescent="0.2">
      <c r="A1409">
        <v>2025</v>
      </c>
      <c r="B1409" t="s">
        <v>616</v>
      </c>
      <c r="C1409" t="s">
        <v>595</v>
      </c>
      <c r="D1409" s="19" t="s">
        <v>185</v>
      </c>
      <c r="E1409" s="18" t="s">
        <v>137</v>
      </c>
      <c r="F1409" s="18">
        <v>22</v>
      </c>
      <c r="G1409" s="20">
        <v>869521</v>
      </c>
      <c r="H1409" s="20">
        <v>-8279</v>
      </c>
      <c r="I1409" s="20">
        <v>441166</v>
      </c>
      <c r="J1409" s="8">
        <f t="shared" ref="J1409:J1472" si="66">G1409-I1409</f>
        <v>428355</v>
      </c>
      <c r="K1409" s="10">
        <f t="shared" ref="K1409:K1472" si="67">IFERROR(J1409/G1409,0)</f>
        <v>0.49263330040332554</v>
      </c>
      <c r="L1409" s="17">
        <f t="shared" ref="L1409:L1472" si="68">IFERROR((H1409/G1409)*-1,0)</f>
        <v>9.5213341598420279E-3</v>
      </c>
      <c r="M1409" t="str">
        <f>VLOOKUP(D1409,'Jer-Tip-Emp'!B:E,4,0)</f>
        <v>Platos mong</v>
      </c>
      <c r="N1409" t="str">
        <f>VLOOKUP(D1409,'Jer-Tip-Emp'!B:F,5,0)</f>
        <v>No Personal</v>
      </c>
      <c r="O1409" t="str">
        <f>VLOOKUP(D1409,'Jer-Tip-Emp'!B:G,6,0)</f>
        <v>Platos Especiales</v>
      </c>
    </row>
    <row r="1410" spans="1:15" ht="27.5" customHeight="1" x14ac:dyDescent="0.2">
      <c r="A1410">
        <v>2025</v>
      </c>
      <c r="B1410" t="s">
        <v>616</v>
      </c>
      <c r="C1410" t="s">
        <v>595</v>
      </c>
      <c r="D1410" s="19" t="s">
        <v>273</v>
      </c>
      <c r="E1410" s="18" t="s">
        <v>23</v>
      </c>
      <c r="F1410" s="18">
        <v>21</v>
      </c>
      <c r="G1410" s="20">
        <v>519198</v>
      </c>
      <c r="H1410" s="20">
        <v>-3702</v>
      </c>
      <c r="I1410" s="18">
        <v>0</v>
      </c>
      <c r="J1410" s="8">
        <f t="shared" si="66"/>
        <v>519198</v>
      </c>
      <c r="K1410" s="10">
        <f t="shared" si="67"/>
        <v>1</v>
      </c>
      <c r="L1410" s="17">
        <f t="shared" si="68"/>
        <v>7.1302277743750938E-3</v>
      </c>
      <c r="M1410" t="str">
        <f>VLOOKUP(D1410,'Jer-Tip-Emp'!B:E,4,0)</f>
        <v>Arma tu plato</v>
      </c>
      <c r="N1410" t="str">
        <f>VLOOKUP(D1410,'Jer-Tip-Emp'!B:F,5,0)</f>
        <v>Personal</v>
      </c>
      <c r="O1410" t="str">
        <f>VLOOKUP(D1410,'Jer-Tip-Emp'!B:G,6,0)</f>
        <v>Caja</v>
      </c>
    </row>
    <row r="1411" spans="1:15" ht="27.5" customHeight="1" x14ac:dyDescent="0.2">
      <c r="A1411">
        <v>2025</v>
      </c>
      <c r="B1411" t="s">
        <v>616</v>
      </c>
      <c r="C1411" t="s">
        <v>595</v>
      </c>
      <c r="D1411" s="19" t="s">
        <v>286</v>
      </c>
      <c r="E1411" s="18" t="s">
        <v>144</v>
      </c>
      <c r="F1411" s="18">
        <v>20</v>
      </c>
      <c r="G1411" s="20">
        <v>1292561</v>
      </c>
      <c r="H1411" s="20">
        <v>-45439</v>
      </c>
      <c r="I1411" s="20">
        <v>693100</v>
      </c>
      <c r="J1411" s="8">
        <f t="shared" si="66"/>
        <v>599461</v>
      </c>
      <c r="K1411" s="10">
        <f t="shared" si="67"/>
        <v>0.46377772499711811</v>
      </c>
      <c r="L1411" s="17">
        <f t="shared" si="68"/>
        <v>3.515424030277875E-2</v>
      </c>
      <c r="M1411" t="str">
        <f>VLOOKUP(D1411,'Jer-Tip-Emp'!B:E,4,0)</f>
        <v>Platos mong</v>
      </c>
      <c r="N1411" t="str">
        <f>VLOOKUP(D1411,'Jer-Tip-Emp'!B:F,5,0)</f>
        <v>No Personal</v>
      </c>
      <c r="O1411" t="str">
        <f>VLOOKUP(D1411,'Jer-Tip-Emp'!B:G,6,0)</f>
        <v>Caja</v>
      </c>
    </row>
    <row r="1412" spans="1:15" ht="27.5" customHeight="1" x14ac:dyDescent="0.2">
      <c r="A1412">
        <v>2025</v>
      </c>
      <c r="B1412" t="s">
        <v>616</v>
      </c>
      <c r="C1412" t="s">
        <v>595</v>
      </c>
      <c r="D1412" s="19" t="s">
        <v>295</v>
      </c>
      <c r="E1412" s="18" t="s">
        <v>110</v>
      </c>
      <c r="F1412" s="18">
        <v>19</v>
      </c>
      <c r="G1412" s="20">
        <v>377723</v>
      </c>
      <c r="H1412" s="18">
        <v>-377</v>
      </c>
      <c r="I1412" s="20">
        <v>128592</v>
      </c>
      <c r="J1412" s="8">
        <f t="shared" si="66"/>
        <v>249131</v>
      </c>
      <c r="K1412" s="10">
        <f t="shared" si="67"/>
        <v>0.65956004797166179</v>
      </c>
      <c r="L1412" s="17">
        <f t="shared" si="68"/>
        <v>9.9808589892593251E-4</v>
      </c>
      <c r="M1412" t="str">
        <f>VLOOKUP(D1412,'Jer-Tip-Emp'!B:E,4,0)</f>
        <v>Platos mong</v>
      </c>
      <c r="N1412" t="str">
        <f>VLOOKUP(D1412,'Jer-Tip-Emp'!B:F,5,0)</f>
        <v>Personal</v>
      </c>
      <c r="O1412" t="str">
        <f>VLOOKUP(D1412,'Jer-Tip-Emp'!B:G,6,0)</f>
        <v>Caja</v>
      </c>
    </row>
    <row r="1413" spans="1:15" ht="27.5" customHeight="1" x14ac:dyDescent="0.2">
      <c r="A1413">
        <v>2025</v>
      </c>
      <c r="B1413" t="s">
        <v>616</v>
      </c>
      <c r="C1413" t="s">
        <v>595</v>
      </c>
      <c r="D1413" s="19" t="s">
        <v>313</v>
      </c>
      <c r="E1413" s="18" t="s">
        <v>540</v>
      </c>
      <c r="F1413" s="18">
        <v>15</v>
      </c>
      <c r="G1413" s="18">
        <v>0</v>
      </c>
      <c r="H1413" s="18">
        <v>0</v>
      </c>
      <c r="I1413" s="20">
        <v>82365</v>
      </c>
      <c r="J1413" s="8">
        <f t="shared" si="66"/>
        <v>-82365</v>
      </c>
      <c r="K1413" s="10">
        <f t="shared" si="67"/>
        <v>0</v>
      </c>
      <c r="L1413" s="17">
        <f t="shared" si="68"/>
        <v>0</v>
      </c>
      <c r="M1413" t="str">
        <f>VLOOKUP(D1413,'Jer-Tip-Emp'!B:E,4,0)</f>
        <v>Arma tu plato</v>
      </c>
      <c r="N1413" t="str">
        <f>VLOOKUP(D1413,'Jer-Tip-Emp'!B:F,5,0)</f>
        <v>Personal</v>
      </c>
      <c r="O1413" t="str">
        <f>VLOOKUP(D1413,'Jer-Tip-Emp'!B:G,6,0)</f>
        <v>Caja</v>
      </c>
    </row>
    <row r="1414" spans="1:15" ht="27.5" customHeight="1" x14ac:dyDescent="0.2">
      <c r="A1414">
        <v>2025</v>
      </c>
      <c r="B1414" t="s">
        <v>616</v>
      </c>
      <c r="C1414" t="s">
        <v>595</v>
      </c>
      <c r="D1414" s="19" t="s">
        <v>298</v>
      </c>
      <c r="E1414" s="18" t="s">
        <v>153</v>
      </c>
      <c r="F1414" s="18">
        <v>14</v>
      </c>
      <c r="G1414" s="20">
        <v>254505</v>
      </c>
      <c r="H1414" s="20">
        <v>-38095</v>
      </c>
      <c r="I1414" s="20">
        <v>119294</v>
      </c>
      <c r="J1414" s="8">
        <f t="shared" si="66"/>
        <v>135211</v>
      </c>
      <c r="K1414" s="10">
        <f t="shared" si="67"/>
        <v>0.53127050549105126</v>
      </c>
      <c r="L1414" s="17">
        <f t="shared" si="68"/>
        <v>0.14968271743187755</v>
      </c>
      <c r="M1414" t="str">
        <f>VLOOKUP(D1414,'Jer-Tip-Emp'!B:E,4,0)</f>
        <v>Platos mong</v>
      </c>
      <c r="N1414" t="str">
        <f>VLOOKUP(D1414,'Jer-Tip-Emp'!B:F,5,0)</f>
        <v>Personal</v>
      </c>
      <c r="O1414" t="str">
        <f>VLOOKUP(D1414,'Jer-Tip-Emp'!B:G,6,0)</f>
        <v>Caja</v>
      </c>
    </row>
    <row r="1415" spans="1:15" ht="27.5" customHeight="1" x14ac:dyDescent="0.2">
      <c r="A1415">
        <v>2025</v>
      </c>
      <c r="B1415" t="s">
        <v>616</v>
      </c>
      <c r="C1415" t="s">
        <v>595</v>
      </c>
      <c r="D1415" s="19" t="s">
        <v>180</v>
      </c>
      <c r="E1415" s="18" t="s">
        <v>128</v>
      </c>
      <c r="F1415" s="18">
        <v>13</v>
      </c>
      <c r="G1415" s="20">
        <v>259595</v>
      </c>
      <c r="H1415" s="20">
        <v>-12105</v>
      </c>
      <c r="I1415" s="20">
        <v>88894</v>
      </c>
      <c r="J1415" s="8">
        <f t="shared" si="66"/>
        <v>170701</v>
      </c>
      <c r="K1415" s="10">
        <f t="shared" si="67"/>
        <v>0.65756659411776031</v>
      </c>
      <c r="L1415" s="17">
        <f t="shared" si="68"/>
        <v>4.6630328010940116E-2</v>
      </c>
      <c r="M1415" t="str">
        <f>VLOOKUP(D1415,'Jer-Tip-Emp'!B:E,4,0)</f>
        <v>Platos mong</v>
      </c>
      <c r="N1415" t="str">
        <f>VLOOKUP(D1415,'Jer-Tip-Emp'!B:F,5,0)</f>
        <v>Personal</v>
      </c>
      <c r="O1415" t="str">
        <f>VLOOKUP(D1415,'Jer-Tip-Emp'!B:G,6,0)</f>
        <v>Caja</v>
      </c>
    </row>
    <row r="1416" spans="1:15" ht="27.5" hidden="1" customHeight="1" x14ac:dyDescent="0.2">
      <c r="A1416">
        <v>2025</v>
      </c>
      <c r="B1416" t="s">
        <v>616</v>
      </c>
      <c r="C1416" t="s">
        <v>595</v>
      </c>
      <c r="D1416" s="19" t="s">
        <v>403</v>
      </c>
      <c r="E1416" s="18" t="s">
        <v>45</v>
      </c>
      <c r="F1416" s="18">
        <v>12</v>
      </c>
      <c r="G1416" s="20">
        <v>115627</v>
      </c>
      <c r="H1416" s="20">
        <v>-3173</v>
      </c>
      <c r="I1416" s="20">
        <v>54012</v>
      </c>
      <c r="J1416" s="8">
        <f t="shared" si="66"/>
        <v>61615</v>
      </c>
      <c r="K1416" s="10">
        <f t="shared" si="67"/>
        <v>0.53287726914993905</v>
      </c>
      <c r="L1416" s="17">
        <f t="shared" si="68"/>
        <v>2.744168749513522E-2</v>
      </c>
      <c r="M1416" t="str">
        <f>VLOOKUP(D1416,'Jer-Tip-Emp'!B:E,4,0)</f>
        <v>Bebidas</v>
      </c>
      <c r="N1416" t="str">
        <f>VLOOKUP(D1416,'Jer-Tip-Emp'!B:F,5,0)</f>
        <v>Bebidas</v>
      </c>
      <c r="O1416" t="str">
        <f>VLOOKUP(D1416,'Jer-Tip-Emp'!B:G,6,0)</f>
        <v>Bebidas</v>
      </c>
    </row>
    <row r="1417" spans="1:15" ht="27.5" customHeight="1" x14ac:dyDescent="0.2">
      <c r="A1417">
        <v>2025</v>
      </c>
      <c r="B1417" t="s">
        <v>616</v>
      </c>
      <c r="C1417" t="s">
        <v>595</v>
      </c>
      <c r="D1417" s="19" t="s">
        <v>241</v>
      </c>
      <c r="E1417" s="18" t="s">
        <v>107</v>
      </c>
      <c r="F1417" s="18">
        <v>11</v>
      </c>
      <c r="G1417" s="20">
        <v>863550</v>
      </c>
      <c r="H1417" s="20">
        <v>-37350</v>
      </c>
      <c r="I1417" s="20">
        <v>469744</v>
      </c>
      <c r="J1417" s="8">
        <f t="shared" si="66"/>
        <v>393806</v>
      </c>
      <c r="K1417" s="10">
        <f t="shared" si="67"/>
        <v>0.45603149788663078</v>
      </c>
      <c r="L1417" s="17">
        <f t="shared" si="68"/>
        <v>4.3251693590411672E-2</v>
      </c>
      <c r="M1417" t="str">
        <f>VLOOKUP(D1417,'Jer-Tip-Emp'!B:E,4,0)</f>
        <v>Platos mong</v>
      </c>
      <c r="N1417" t="str">
        <f>VLOOKUP(D1417,'Jer-Tip-Emp'!B:F,5,0)</f>
        <v>No Personal</v>
      </c>
      <c r="O1417" t="str">
        <f>VLOOKUP(D1417,'Jer-Tip-Emp'!B:G,6,0)</f>
        <v>Caja</v>
      </c>
    </row>
    <row r="1418" spans="1:15" ht="27.5" customHeight="1" x14ac:dyDescent="0.2">
      <c r="A1418">
        <v>2025</v>
      </c>
      <c r="B1418" t="s">
        <v>616</v>
      </c>
      <c r="C1418" t="s">
        <v>595</v>
      </c>
      <c r="D1418" s="19" t="s">
        <v>252</v>
      </c>
      <c r="E1418" s="18" t="s">
        <v>100</v>
      </c>
      <c r="F1418" s="18">
        <v>11</v>
      </c>
      <c r="G1418" s="20">
        <v>536904</v>
      </c>
      <c r="H1418" s="20">
        <v>-11996</v>
      </c>
      <c r="I1418" s="20">
        <v>355861</v>
      </c>
      <c r="J1418" s="8">
        <f t="shared" si="66"/>
        <v>181043</v>
      </c>
      <c r="K1418" s="10">
        <f t="shared" si="67"/>
        <v>0.33719808382876643</v>
      </c>
      <c r="L1418" s="17">
        <f t="shared" si="68"/>
        <v>2.2342914189501288E-2</v>
      </c>
      <c r="M1418" t="str">
        <f>VLOOKUP(D1418,'Jer-Tip-Emp'!B:E,4,0)</f>
        <v>Platos mong</v>
      </c>
      <c r="N1418" t="str">
        <f>VLOOKUP(D1418,'Jer-Tip-Emp'!B:F,5,0)</f>
        <v>No Personal</v>
      </c>
      <c r="O1418" t="str">
        <f>VLOOKUP(D1418,'Jer-Tip-Emp'!B:G,6,0)</f>
        <v>Caja</v>
      </c>
    </row>
    <row r="1419" spans="1:15" ht="27.5" customHeight="1" x14ac:dyDescent="0.2">
      <c r="A1419">
        <v>2025</v>
      </c>
      <c r="B1419" t="s">
        <v>616</v>
      </c>
      <c r="C1419" t="s">
        <v>595</v>
      </c>
      <c r="D1419" s="19" t="s">
        <v>376</v>
      </c>
      <c r="E1419" s="18" t="s">
        <v>543</v>
      </c>
      <c r="F1419" s="18">
        <v>9</v>
      </c>
      <c r="G1419" s="18">
        <v>0</v>
      </c>
      <c r="H1419" s="18">
        <v>0</v>
      </c>
      <c r="I1419" s="20">
        <v>11538</v>
      </c>
      <c r="J1419" s="8">
        <f t="shared" si="66"/>
        <v>-11538</v>
      </c>
      <c r="K1419" s="10">
        <f t="shared" si="67"/>
        <v>0</v>
      </c>
      <c r="L1419" s="17">
        <f t="shared" si="68"/>
        <v>0</v>
      </c>
      <c r="M1419" t="str">
        <f>VLOOKUP(D1419,'Jer-Tip-Emp'!B:E,4,0)</f>
        <v>Arma tu plato</v>
      </c>
      <c r="N1419" t="str">
        <f>VLOOKUP(D1419,'Jer-Tip-Emp'!B:F,5,0)</f>
        <v>Personal</v>
      </c>
      <c r="O1419" t="str">
        <f>VLOOKUP(D1419,'Jer-Tip-Emp'!B:G,6,0)</f>
        <v>Caja</v>
      </c>
    </row>
    <row r="1420" spans="1:15" ht="27.5" customHeight="1" x14ac:dyDescent="0.2">
      <c r="A1420">
        <v>2025</v>
      </c>
      <c r="B1420" t="s">
        <v>616</v>
      </c>
      <c r="C1420" t="s">
        <v>595</v>
      </c>
      <c r="D1420" s="19" t="s">
        <v>389</v>
      </c>
      <c r="E1420" s="18" t="s">
        <v>541</v>
      </c>
      <c r="F1420" s="18">
        <v>9</v>
      </c>
      <c r="G1420" s="18">
        <v>0</v>
      </c>
      <c r="H1420" s="18">
        <v>0</v>
      </c>
      <c r="I1420" s="20">
        <v>49203</v>
      </c>
      <c r="J1420" s="8">
        <f t="shared" si="66"/>
        <v>-49203</v>
      </c>
      <c r="K1420" s="10">
        <f t="shared" si="67"/>
        <v>0</v>
      </c>
      <c r="L1420" s="17">
        <f t="shared" si="68"/>
        <v>0</v>
      </c>
      <c r="M1420" t="str">
        <f>VLOOKUP(D1420,'Jer-Tip-Emp'!B:E,4,0)</f>
        <v>Arma tu plato</v>
      </c>
      <c r="N1420" t="str">
        <f>VLOOKUP(D1420,'Jer-Tip-Emp'!B:F,5,0)</f>
        <v>Personal</v>
      </c>
      <c r="O1420" t="str">
        <f>VLOOKUP(D1420,'Jer-Tip-Emp'!B:G,6,0)</f>
        <v>Caja</v>
      </c>
    </row>
    <row r="1421" spans="1:15" ht="27.5" hidden="1" customHeight="1" x14ac:dyDescent="0.2">
      <c r="A1421">
        <v>2025</v>
      </c>
      <c r="B1421" t="s">
        <v>616</v>
      </c>
      <c r="C1421" t="s">
        <v>595</v>
      </c>
      <c r="D1421" s="19" t="s">
        <v>282</v>
      </c>
      <c r="E1421" s="18" t="s">
        <v>19</v>
      </c>
      <c r="F1421" s="18">
        <v>9</v>
      </c>
      <c r="G1421" s="20">
        <v>53100</v>
      </c>
      <c r="H1421" s="18">
        <v>0</v>
      </c>
      <c r="I1421" s="20">
        <v>36882</v>
      </c>
      <c r="J1421" s="8">
        <f t="shared" si="66"/>
        <v>16218</v>
      </c>
      <c r="K1421" s="10">
        <f t="shared" si="67"/>
        <v>0.30542372881355934</v>
      </c>
      <c r="L1421" s="17">
        <f t="shared" si="68"/>
        <v>0</v>
      </c>
      <c r="M1421" t="str">
        <f>VLOOKUP(D1421,'Jer-Tip-Emp'!B:E,4,0)</f>
        <v>Adición</v>
      </c>
      <c r="N1421" t="str">
        <f>VLOOKUP(D1421,'Jer-Tip-Emp'!B:F,5,0)</f>
        <v>Adición</v>
      </c>
      <c r="O1421" t="str">
        <f>VLOOKUP(D1421,'Jer-Tip-Emp'!B:G,6,0)</f>
        <v>Adición</v>
      </c>
    </row>
    <row r="1422" spans="1:15" ht="27.5" customHeight="1" x14ac:dyDescent="0.2">
      <c r="A1422">
        <v>2025</v>
      </c>
      <c r="B1422" t="s">
        <v>616</v>
      </c>
      <c r="C1422" t="s">
        <v>595</v>
      </c>
      <c r="D1422" s="19" t="s">
        <v>322</v>
      </c>
      <c r="E1422" s="18" t="s">
        <v>545</v>
      </c>
      <c r="F1422" s="18">
        <v>8</v>
      </c>
      <c r="G1422" s="20">
        <v>16000</v>
      </c>
      <c r="H1422" s="18">
        <v>0</v>
      </c>
      <c r="I1422" s="20">
        <v>24864</v>
      </c>
      <c r="J1422" s="8">
        <f t="shared" si="66"/>
        <v>-8864</v>
      </c>
      <c r="K1422" s="10">
        <f t="shared" si="67"/>
        <v>-0.55400000000000005</v>
      </c>
      <c r="L1422" s="17">
        <f t="shared" si="68"/>
        <v>0</v>
      </c>
      <c r="M1422" t="str">
        <f>VLOOKUP(D1422,'Jer-Tip-Emp'!B:E,4,0)</f>
        <v>Arma tu plato</v>
      </c>
      <c r="N1422" t="str">
        <f>VLOOKUP(D1422,'Jer-Tip-Emp'!B:F,5,0)</f>
        <v>Personal</v>
      </c>
      <c r="O1422" t="str">
        <f>VLOOKUP(D1422,'Jer-Tip-Emp'!B:G,6,0)</f>
        <v>Caja</v>
      </c>
    </row>
    <row r="1423" spans="1:15" ht="27.5" customHeight="1" x14ac:dyDescent="0.2">
      <c r="A1423">
        <v>2025</v>
      </c>
      <c r="B1423" t="s">
        <v>616</v>
      </c>
      <c r="C1423" t="s">
        <v>595</v>
      </c>
      <c r="D1423" s="19" t="s">
        <v>285</v>
      </c>
      <c r="E1423" s="18" t="s">
        <v>146</v>
      </c>
      <c r="F1423" s="18">
        <v>8</v>
      </c>
      <c r="G1423" s="20">
        <v>175200</v>
      </c>
      <c r="H1423" s="18">
        <v>0</v>
      </c>
      <c r="I1423" s="20">
        <v>67712</v>
      </c>
      <c r="J1423" s="8">
        <f t="shared" si="66"/>
        <v>107488</v>
      </c>
      <c r="K1423" s="10">
        <f t="shared" si="67"/>
        <v>0.61351598173515987</v>
      </c>
      <c r="L1423" s="17">
        <f t="shared" si="68"/>
        <v>0</v>
      </c>
      <c r="M1423" t="str">
        <f>VLOOKUP(D1423,'Jer-Tip-Emp'!B:E,4,0)</f>
        <v>Platos mong</v>
      </c>
      <c r="N1423" t="str">
        <f>VLOOKUP(D1423,'Jer-Tip-Emp'!B:F,5,0)</f>
        <v>Personal</v>
      </c>
      <c r="O1423" t="str">
        <f>VLOOKUP(D1423,'Jer-Tip-Emp'!B:G,6,0)</f>
        <v>Caja</v>
      </c>
    </row>
    <row r="1424" spans="1:15" ht="27.5" customHeight="1" x14ac:dyDescent="0.2">
      <c r="A1424">
        <v>2025</v>
      </c>
      <c r="B1424" t="s">
        <v>616</v>
      </c>
      <c r="C1424" t="s">
        <v>595</v>
      </c>
      <c r="D1424" s="19" t="s">
        <v>205</v>
      </c>
      <c r="E1424" s="18" t="s">
        <v>141</v>
      </c>
      <c r="F1424" s="18">
        <v>7</v>
      </c>
      <c r="G1424" s="20">
        <v>111300</v>
      </c>
      <c r="H1424" s="18">
        <v>0</v>
      </c>
      <c r="I1424" s="20">
        <v>42448</v>
      </c>
      <c r="J1424" s="8">
        <f t="shared" si="66"/>
        <v>68852</v>
      </c>
      <c r="K1424" s="10">
        <f t="shared" si="67"/>
        <v>0.61861635220125788</v>
      </c>
      <c r="L1424" s="17">
        <f t="shared" si="68"/>
        <v>0</v>
      </c>
      <c r="M1424" t="str">
        <f>VLOOKUP(D1424,'Jer-Tip-Emp'!B:E,4,0)</f>
        <v>Platos mong</v>
      </c>
      <c r="N1424" t="str">
        <f>VLOOKUP(D1424,'Jer-Tip-Emp'!B:F,5,0)</f>
        <v>Personal</v>
      </c>
      <c r="O1424" t="str">
        <f>VLOOKUP(D1424,'Jer-Tip-Emp'!B:G,6,0)</f>
        <v>Caja</v>
      </c>
    </row>
    <row r="1425" spans="1:15" ht="27.5" customHeight="1" x14ac:dyDescent="0.2">
      <c r="A1425">
        <v>2025</v>
      </c>
      <c r="B1425" t="s">
        <v>616</v>
      </c>
      <c r="C1425" t="s">
        <v>595</v>
      </c>
      <c r="D1425" s="19" t="s">
        <v>196</v>
      </c>
      <c r="E1425" s="18" t="s">
        <v>159</v>
      </c>
      <c r="F1425" s="18">
        <v>7</v>
      </c>
      <c r="G1425" s="20">
        <v>179300</v>
      </c>
      <c r="H1425" s="20">
        <v>-2000</v>
      </c>
      <c r="I1425" s="20">
        <v>66507</v>
      </c>
      <c r="J1425" s="8">
        <f t="shared" si="66"/>
        <v>112793</v>
      </c>
      <c r="K1425" s="10">
        <f t="shared" si="67"/>
        <v>0.62907417735638593</v>
      </c>
      <c r="L1425" s="17">
        <f t="shared" si="68"/>
        <v>1.1154489682097044E-2</v>
      </c>
      <c r="M1425" t="str">
        <f>VLOOKUP(D1425,'Jer-Tip-Emp'!B:E,4,0)</f>
        <v>Combos personales</v>
      </c>
      <c r="N1425" t="str">
        <f>VLOOKUP(D1425,'Jer-Tip-Emp'!B:F,5,0)</f>
        <v>Personal</v>
      </c>
      <c r="O1425" t="str">
        <f>VLOOKUP(D1425,'Jer-Tip-Emp'!B:G,6,0)</f>
        <v>Combo</v>
      </c>
    </row>
    <row r="1426" spans="1:15" ht="27.5" hidden="1" customHeight="1" x14ac:dyDescent="0.2">
      <c r="A1426">
        <v>2025</v>
      </c>
      <c r="B1426" t="s">
        <v>616</v>
      </c>
      <c r="C1426" t="s">
        <v>595</v>
      </c>
      <c r="D1426" s="19" t="s">
        <v>189</v>
      </c>
      <c r="E1426" s="18" t="s">
        <v>21</v>
      </c>
      <c r="F1426" s="18">
        <v>7</v>
      </c>
      <c r="G1426" s="20">
        <v>45901</v>
      </c>
      <c r="H1426" s="20">
        <v>-2399</v>
      </c>
      <c r="I1426" s="20">
        <v>17248</v>
      </c>
      <c r="J1426" s="8">
        <f t="shared" si="66"/>
        <v>28653</v>
      </c>
      <c r="K1426" s="10">
        <f t="shared" si="67"/>
        <v>0.62423476612709961</v>
      </c>
      <c r="L1426" s="17">
        <f t="shared" si="68"/>
        <v>5.2264656543430425E-2</v>
      </c>
      <c r="M1426" t="str">
        <f>VLOOKUP(D1426,'Jer-Tip-Emp'!B:E,4,0)</f>
        <v>Adición</v>
      </c>
      <c r="N1426" t="str">
        <f>VLOOKUP(D1426,'Jer-Tip-Emp'!B:F,5,0)</f>
        <v>Adición</v>
      </c>
      <c r="O1426" t="str">
        <f>VLOOKUP(D1426,'Jer-Tip-Emp'!B:G,6,0)</f>
        <v>Adición</v>
      </c>
    </row>
    <row r="1427" spans="1:15" ht="27.5" customHeight="1" x14ac:dyDescent="0.2">
      <c r="A1427">
        <v>2025</v>
      </c>
      <c r="B1427" t="s">
        <v>616</v>
      </c>
      <c r="C1427" t="s">
        <v>595</v>
      </c>
      <c r="D1427" s="19" t="s">
        <v>333</v>
      </c>
      <c r="E1427" s="18" t="s">
        <v>547</v>
      </c>
      <c r="F1427" s="18">
        <v>7</v>
      </c>
      <c r="G1427" s="18">
        <v>0</v>
      </c>
      <c r="H1427" s="18">
        <v>0</v>
      </c>
      <c r="I1427" s="20">
        <v>23254</v>
      </c>
      <c r="J1427" s="8">
        <f t="shared" si="66"/>
        <v>-23254</v>
      </c>
      <c r="K1427" s="10">
        <f t="shared" si="67"/>
        <v>0</v>
      </c>
      <c r="L1427" s="17">
        <f t="shared" si="68"/>
        <v>0</v>
      </c>
      <c r="M1427" t="str">
        <f>VLOOKUP(D1427,'Jer-Tip-Emp'!B:E,4,0)</f>
        <v>Arma tu plato</v>
      </c>
      <c r="N1427" t="str">
        <f>VLOOKUP(D1427,'Jer-Tip-Emp'!B:F,5,0)</f>
        <v>Personal</v>
      </c>
      <c r="O1427" t="str">
        <f>VLOOKUP(D1427,'Jer-Tip-Emp'!B:G,6,0)</f>
        <v>Caja</v>
      </c>
    </row>
    <row r="1428" spans="1:15" ht="27.5" customHeight="1" x14ac:dyDescent="0.2">
      <c r="A1428">
        <v>2025</v>
      </c>
      <c r="B1428" t="s">
        <v>616</v>
      </c>
      <c r="C1428" t="s">
        <v>595</v>
      </c>
      <c r="D1428" s="19" t="s">
        <v>354</v>
      </c>
      <c r="E1428" s="18" t="s">
        <v>548</v>
      </c>
      <c r="F1428" s="18">
        <v>7</v>
      </c>
      <c r="G1428" s="18">
        <v>0</v>
      </c>
      <c r="H1428" s="18">
        <v>0</v>
      </c>
      <c r="I1428" s="20">
        <v>18438</v>
      </c>
      <c r="J1428" s="8">
        <f t="shared" si="66"/>
        <v>-18438</v>
      </c>
      <c r="K1428" s="10">
        <f t="shared" si="67"/>
        <v>0</v>
      </c>
      <c r="L1428" s="17">
        <f t="shared" si="68"/>
        <v>0</v>
      </c>
      <c r="M1428" t="str">
        <f>VLOOKUP(D1428,'Jer-Tip-Emp'!B:E,4,0)</f>
        <v>Arma tu plato</v>
      </c>
      <c r="N1428" t="str">
        <f>VLOOKUP(D1428,'Jer-Tip-Emp'!B:F,5,0)</f>
        <v>Personal</v>
      </c>
      <c r="O1428" t="str">
        <f>VLOOKUP(D1428,'Jer-Tip-Emp'!B:G,6,0)</f>
        <v>Caja</v>
      </c>
    </row>
    <row r="1429" spans="1:15" ht="27.5" customHeight="1" x14ac:dyDescent="0.2">
      <c r="A1429">
        <v>2025</v>
      </c>
      <c r="B1429" t="s">
        <v>616</v>
      </c>
      <c r="C1429" t="s">
        <v>595</v>
      </c>
      <c r="D1429" s="19" t="s">
        <v>214</v>
      </c>
      <c r="E1429" s="18" t="s">
        <v>81</v>
      </c>
      <c r="F1429" s="18">
        <v>7</v>
      </c>
      <c r="G1429" s="20">
        <v>377300</v>
      </c>
      <c r="H1429" s="18">
        <v>0</v>
      </c>
      <c r="I1429" s="20">
        <v>165466</v>
      </c>
      <c r="J1429" s="8">
        <f t="shared" si="66"/>
        <v>211834</v>
      </c>
      <c r="K1429" s="10">
        <f t="shared" si="67"/>
        <v>0.56144712430426713</v>
      </c>
      <c r="L1429" s="17">
        <f t="shared" si="68"/>
        <v>0</v>
      </c>
      <c r="M1429" t="str">
        <f>VLOOKUP(D1429,'Jer-Tip-Emp'!B:E,4,0)</f>
        <v>Combos para compartir</v>
      </c>
      <c r="N1429" t="str">
        <f>VLOOKUP(D1429,'Jer-Tip-Emp'!B:F,5,0)</f>
        <v>No Personal</v>
      </c>
      <c r="O1429" t="str">
        <f>VLOOKUP(D1429,'Jer-Tip-Emp'!B:G,6,0)</f>
        <v>Combo</v>
      </c>
    </row>
    <row r="1430" spans="1:15" ht="27.5" customHeight="1" x14ac:dyDescent="0.2">
      <c r="A1430">
        <v>2025</v>
      </c>
      <c r="B1430" t="s">
        <v>616</v>
      </c>
      <c r="C1430" t="s">
        <v>595</v>
      </c>
      <c r="D1430" s="19" t="s">
        <v>186</v>
      </c>
      <c r="E1430" s="18" t="s">
        <v>95</v>
      </c>
      <c r="F1430" s="18">
        <v>7</v>
      </c>
      <c r="G1430" s="20">
        <v>196500</v>
      </c>
      <c r="H1430" s="20">
        <v>-5800</v>
      </c>
      <c r="I1430" s="20">
        <v>66990</v>
      </c>
      <c r="J1430" s="8">
        <f t="shared" si="66"/>
        <v>129510</v>
      </c>
      <c r="K1430" s="10">
        <f t="shared" si="67"/>
        <v>0.65908396946564884</v>
      </c>
      <c r="L1430" s="17">
        <f t="shared" si="68"/>
        <v>2.9516539440203562E-2</v>
      </c>
      <c r="M1430" t="str">
        <f>VLOOKUP(D1430,'Jer-Tip-Emp'!B:E,4,0)</f>
        <v>Combos personales</v>
      </c>
      <c r="N1430" t="str">
        <f>VLOOKUP(D1430,'Jer-Tip-Emp'!B:F,5,0)</f>
        <v>Personal</v>
      </c>
      <c r="O1430" t="str">
        <f>VLOOKUP(D1430,'Jer-Tip-Emp'!B:G,6,0)</f>
        <v>Combo</v>
      </c>
    </row>
    <row r="1431" spans="1:15" ht="27.5" customHeight="1" x14ac:dyDescent="0.2">
      <c r="A1431">
        <v>2025</v>
      </c>
      <c r="B1431" t="s">
        <v>616</v>
      </c>
      <c r="C1431" t="s">
        <v>595</v>
      </c>
      <c r="D1431" s="19" t="s">
        <v>202</v>
      </c>
      <c r="E1431" s="18" t="s">
        <v>142</v>
      </c>
      <c r="F1431" s="18">
        <v>6</v>
      </c>
      <c r="G1431" s="20">
        <v>201981</v>
      </c>
      <c r="H1431" s="20">
        <v>-1419</v>
      </c>
      <c r="I1431" s="20">
        <v>85386</v>
      </c>
      <c r="J1431" s="8">
        <f t="shared" si="66"/>
        <v>116595</v>
      </c>
      <c r="K1431" s="10">
        <f t="shared" si="67"/>
        <v>0.57725726677261724</v>
      </c>
      <c r="L1431" s="17">
        <f t="shared" si="68"/>
        <v>7.0254132814472651E-3</v>
      </c>
      <c r="M1431" t="str">
        <f>VLOOKUP(D1431,'Jer-Tip-Emp'!B:E,4,0)</f>
        <v>Platos mong</v>
      </c>
      <c r="N1431" t="str">
        <f>VLOOKUP(D1431,'Jer-Tip-Emp'!B:F,5,0)</f>
        <v>No Personal</v>
      </c>
      <c r="O1431" t="str">
        <f>VLOOKUP(D1431,'Jer-Tip-Emp'!B:G,6,0)</f>
        <v>Caja</v>
      </c>
    </row>
    <row r="1432" spans="1:15" ht="27.5" customHeight="1" x14ac:dyDescent="0.2">
      <c r="A1432">
        <v>2025</v>
      </c>
      <c r="B1432" t="s">
        <v>616</v>
      </c>
      <c r="C1432" t="s">
        <v>595</v>
      </c>
      <c r="D1432" s="19" t="s">
        <v>212</v>
      </c>
      <c r="E1432" s="18" t="s">
        <v>160</v>
      </c>
      <c r="F1432" s="18">
        <v>6</v>
      </c>
      <c r="G1432" s="20">
        <v>161300</v>
      </c>
      <c r="H1432" s="20">
        <v>-12100</v>
      </c>
      <c r="I1432" s="20">
        <v>67518</v>
      </c>
      <c r="J1432" s="8">
        <f t="shared" si="66"/>
        <v>93782</v>
      </c>
      <c r="K1432" s="10">
        <f t="shared" si="67"/>
        <v>0.58141351518908868</v>
      </c>
      <c r="L1432" s="17">
        <f t="shared" si="68"/>
        <v>7.5015499070055794E-2</v>
      </c>
      <c r="M1432" t="str">
        <f>VLOOKUP(D1432,'Jer-Tip-Emp'!B:E,4,0)</f>
        <v>Combos personales</v>
      </c>
      <c r="N1432" t="str">
        <f>VLOOKUP(D1432,'Jer-Tip-Emp'!B:F,5,0)</f>
        <v>Personal</v>
      </c>
      <c r="O1432" t="str">
        <f>VLOOKUP(D1432,'Jer-Tip-Emp'!B:G,6,0)</f>
        <v>Combo</v>
      </c>
    </row>
    <row r="1433" spans="1:15" ht="27.5" customHeight="1" x14ac:dyDescent="0.2">
      <c r="A1433">
        <v>2025</v>
      </c>
      <c r="B1433" t="s">
        <v>616</v>
      </c>
      <c r="C1433" t="s">
        <v>595</v>
      </c>
      <c r="D1433" s="19" t="s">
        <v>235</v>
      </c>
      <c r="E1433" s="18" t="s">
        <v>147</v>
      </c>
      <c r="F1433" s="18">
        <v>6</v>
      </c>
      <c r="G1433" s="20">
        <v>299400</v>
      </c>
      <c r="H1433" s="18">
        <v>0</v>
      </c>
      <c r="I1433" s="20">
        <v>112908</v>
      </c>
      <c r="J1433" s="8">
        <f t="shared" si="66"/>
        <v>186492</v>
      </c>
      <c r="K1433" s="10">
        <f t="shared" si="67"/>
        <v>0.62288577154308622</v>
      </c>
      <c r="L1433" s="17">
        <f t="shared" si="68"/>
        <v>0</v>
      </c>
      <c r="M1433" t="str">
        <f>VLOOKUP(D1433,'Jer-Tip-Emp'!B:E,4,0)</f>
        <v>Platos mong</v>
      </c>
      <c r="N1433" t="str">
        <f>VLOOKUP(D1433,'Jer-Tip-Emp'!B:F,5,0)</f>
        <v>No Personal</v>
      </c>
      <c r="O1433" t="str">
        <f>VLOOKUP(D1433,'Jer-Tip-Emp'!B:G,6,0)</f>
        <v>Caja</v>
      </c>
    </row>
    <row r="1434" spans="1:15" ht="27.5" customHeight="1" x14ac:dyDescent="0.2">
      <c r="A1434">
        <v>2025</v>
      </c>
      <c r="B1434" t="s">
        <v>616</v>
      </c>
      <c r="C1434" t="s">
        <v>595</v>
      </c>
      <c r="D1434" s="19" t="s">
        <v>297</v>
      </c>
      <c r="E1434" s="18" t="s">
        <v>131</v>
      </c>
      <c r="F1434" s="18">
        <v>6</v>
      </c>
      <c r="G1434" s="20">
        <v>113400</v>
      </c>
      <c r="H1434" s="18">
        <v>0</v>
      </c>
      <c r="I1434" s="20">
        <v>32766</v>
      </c>
      <c r="J1434" s="8">
        <f t="shared" si="66"/>
        <v>80634</v>
      </c>
      <c r="K1434" s="10">
        <f t="shared" si="67"/>
        <v>0.71105820105820106</v>
      </c>
      <c r="L1434" s="17">
        <f t="shared" si="68"/>
        <v>0</v>
      </c>
      <c r="M1434" t="str">
        <f>VLOOKUP(D1434,'Jer-Tip-Emp'!B:E,4,0)</f>
        <v>Platos mong</v>
      </c>
      <c r="N1434" t="str">
        <f>VLOOKUP(D1434,'Jer-Tip-Emp'!B:F,5,0)</f>
        <v>Personal</v>
      </c>
      <c r="O1434" t="str">
        <f>VLOOKUP(D1434,'Jer-Tip-Emp'!B:G,6,0)</f>
        <v>Caja</v>
      </c>
    </row>
    <row r="1435" spans="1:15" ht="27.5" hidden="1" customHeight="1" x14ac:dyDescent="0.2">
      <c r="A1435">
        <v>2025</v>
      </c>
      <c r="B1435" t="s">
        <v>616</v>
      </c>
      <c r="C1435" t="s">
        <v>595</v>
      </c>
      <c r="D1435" s="19" t="s">
        <v>500</v>
      </c>
      <c r="E1435" s="18" t="s">
        <v>546</v>
      </c>
      <c r="F1435" s="18">
        <v>5</v>
      </c>
      <c r="G1435" s="18">
        <v>0</v>
      </c>
      <c r="H1435" s="18">
        <v>0</v>
      </c>
      <c r="I1435" s="20">
        <v>4340</v>
      </c>
      <c r="J1435" s="8">
        <f t="shared" si="66"/>
        <v>-4340</v>
      </c>
      <c r="K1435" s="10">
        <f t="shared" si="67"/>
        <v>0</v>
      </c>
      <c r="L1435" s="17">
        <f t="shared" si="68"/>
        <v>0</v>
      </c>
      <c r="M1435" t="str">
        <f>VLOOKUP(D1435,'Jer-Tip-Emp'!B:E,4,0)</f>
        <v>Bebidas</v>
      </c>
      <c r="N1435" t="str">
        <f>VLOOKUP(D1435,'Jer-Tip-Emp'!B:F,5,0)</f>
        <v>Bebidas Cambio de bebida</v>
      </c>
      <c r="O1435" t="str">
        <f>VLOOKUP(D1435,'Jer-Tip-Emp'!B:G,6,0)</f>
        <v>Bebidas</v>
      </c>
    </row>
    <row r="1436" spans="1:15" ht="27.5" customHeight="1" x14ac:dyDescent="0.2">
      <c r="A1436">
        <v>2025</v>
      </c>
      <c r="B1436" t="s">
        <v>616</v>
      </c>
      <c r="C1436" t="s">
        <v>595</v>
      </c>
      <c r="D1436" s="19" t="s">
        <v>266</v>
      </c>
      <c r="E1436" s="18" t="s">
        <v>85</v>
      </c>
      <c r="F1436" s="18">
        <v>5</v>
      </c>
      <c r="G1436" s="20">
        <v>347285</v>
      </c>
      <c r="H1436" s="20">
        <v>-2215</v>
      </c>
      <c r="I1436" s="20">
        <v>196105</v>
      </c>
      <c r="J1436" s="8">
        <f t="shared" si="66"/>
        <v>151180</v>
      </c>
      <c r="K1436" s="10">
        <f t="shared" si="67"/>
        <v>0.43531969419928879</v>
      </c>
      <c r="L1436" s="17">
        <f t="shared" si="68"/>
        <v>6.3780468491296772E-3</v>
      </c>
      <c r="M1436" t="str">
        <f>VLOOKUP(D1436,'Jer-Tip-Emp'!B:E,4,0)</f>
        <v>Combos para compartir</v>
      </c>
      <c r="N1436" t="str">
        <f>VLOOKUP(D1436,'Jer-Tip-Emp'!B:F,5,0)</f>
        <v>No Personal</v>
      </c>
      <c r="O1436" t="str">
        <f>VLOOKUP(D1436,'Jer-Tip-Emp'!B:G,6,0)</f>
        <v>Combo</v>
      </c>
    </row>
    <row r="1437" spans="1:15" ht="27.5" customHeight="1" x14ac:dyDescent="0.2">
      <c r="A1437">
        <v>2025</v>
      </c>
      <c r="B1437" t="s">
        <v>616</v>
      </c>
      <c r="C1437" t="s">
        <v>595</v>
      </c>
      <c r="D1437" s="19" t="s">
        <v>393</v>
      </c>
      <c r="E1437" s="18" t="s">
        <v>549</v>
      </c>
      <c r="F1437" s="18">
        <v>5</v>
      </c>
      <c r="G1437" s="20">
        <v>9702</v>
      </c>
      <c r="H1437" s="18">
        <v>-298</v>
      </c>
      <c r="I1437" s="20">
        <v>10175</v>
      </c>
      <c r="J1437" s="8">
        <f t="shared" si="66"/>
        <v>-473</v>
      </c>
      <c r="K1437" s="10">
        <f t="shared" si="67"/>
        <v>-4.8752834467120185E-2</v>
      </c>
      <c r="L1437" s="17">
        <f t="shared" si="68"/>
        <v>3.0715316429602145E-2</v>
      </c>
      <c r="M1437" t="str">
        <f>VLOOKUP(D1437,'Jer-Tip-Emp'!B:E,4,0)</f>
        <v>Arma tu plato</v>
      </c>
      <c r="N1437" t="str">
        <f>VLOOKUP(D1437,'Jer-Tip-Emp'!B:F,5,0)</f>
        <v>Personal</v>
      </c>
      <c r="O1437" t="str">
        <f>VLOOKUP(D1437,'Jer-Tip-Emp'!B:G,6,0)</f>
        <v>Caja</v>
      </c>
    </row>
    <row r="1438" spans="1:15" ht="27.5" hidden="1" customHeight="1" x14ac:dyDescent="0.2">
      <c r="A1438">
        <v>2025</v>
      </c>
      <c r="B1438" t="s">
        <v>616</v>
      </c>
      <c r="C1438" t="s">
        <v>595</v>
      </c>
      <c r="D1438" s="19" t="s">
        <v>262</v>
      </c>
      <c r="E1438" s="18" t="s">
        <v>102</v>
      </c>
      <c r="F1438" s="18">
        <v>5</v>
      </c>
      <c r="G1438" s="20">
        <v>83965</v>
      </c>
      <c r="H1438" s="18">
        <v>-535</v>
      </c>
      <c r="I1438" s="20">
        <v>31075</v>
      </c>
      <c r="J1438" s="8">
        <f t="shared" si="66"/>
        <v>52890</v>
      </c>
      <c r="K1438" s="10">
        <f t="shared" si="67"/>
        <v>0.62990531769189539</v>
      </c>
      <c r="L1438" s="17">
        <f t="shared" si="68"/>
        <v>6.3717024950872385E-3</v>
      </c>
      <c r="M1438" t="str">
        <f>VLOOKUP(D1438,'Jer-Tip-Emp'!B:E,4,0)</f>
        <v>Entradas</v>
      </c>
      <c r="N1438" t="str">
        <f>VLOOKUP(D1438,'Jer-Tip-Emp'!B:F,5,0)</f>
        <v>Otro</v>
      </c>
      <c r="O1438" t="str">
        <f>VLOOKUP(D1438,'Jer-Tip-Emp'!B:G,6,0)</f>
        <v>Otro</v>
      </c>
    </row>
    <row r="1439" spans="1:15" ht="27.5" customHeight="1" x14ac:dyDescent="0.2">
      <c r="A1439">
        <v>2025</v>
      </c>
      <c r="B1439" t="s">
        <v>616</v>
      </c>
      <c r="C1439" t="s">
        <v>595</v>
      </c>
      <c r="D1439" s="19" t="s">
        <v>293</v>
      </c>
      <c r="E1439" s="18" t="s">
        <v>127</v>
      </c>
      <c r="F1439" s="18">
        <v>4</v>
      </c>
      <c r="G1439" s="20">
        <v>231600</v>
      </c>
      <c r="H1439" s="18">
        <v>0</v>
      </c>
      <c r="I1439" s="20">
        <v>112228</v>
      </c>
      <c r="J1439" s="8">
        <f t="shared" si="66"/>
        <v>119372</v>
      </c>
      <c r="K1439" s="10">
        <f t="shared" si="67"/>
        <v>0.51542314335060446</v>
      </c>
      <c r="L1439" s="17">
        <f t="shared" si="68"/>
        <v>0</v>
      </c>
      <c r="M1439" t="str">
        <f>VLOOKUP(D1439,'Jer-Tip-Emp'!B:E,4,0)</f>
        <v>Platos mong</v>
      </c>
      <c r="N1439" t="str">
        <f>VLOOKUP(D1439,'Jer-Tip-Emp'!B:F,5,0)</f>
        <v>No Personal</v>
      </c>
      <c r="O1439" t="str">
        <f>VLOOKUP(D1439,'Jer-Tip-Emp'!B:G,6,0)</f>
        <v>Caja</v>
      </c>
    </row>
    <row r="1440" spans="1:15" ht="27.5" hidden="1" customHeight="1" x14ac:dyDescent="0.2">
      <c r="A1440">
        <v>2025</v>
      </c>
      <c r="B1440" t="s">
        <v>616</v>
      </c>
      <c r="C1440" t="s">
        <v>595</v>
      </c>
      <c r="D1440" s="19" t="s">
        <v>176</v>
      </c>
      <c r="E1440" s="18" t="s">
        <v>544</v>
      </c>
      <c r="F1440" s="18">
        <v>4</v>
      </c>
      <c r="G1440" s="20">
        <v>3826</v>
      </c>
      <c r="H1440" s="18">
        <v>-174</v>
      </c>
      <c r="I1440" s="20">
        <v>7780</v>
      </c>
      <c r="J1440" s="8">
        <f t="shared" si="66"/>
        <v>-3954</v>
      </c>
      <c r="K1440" s="10">
        <f t="shared" si="67"/>
        <v>-1.0334553058024045</v>
      </c>
      <c r="L1440" s="17">
        <f t="shared" si="68"/>
        <v>4.5478306325143755E-2</v>
      </c>
      <c r="M1440" t="str">
        <f>VLOOKUP(D1440,'Jer-Tip-Emp'!B:E,4,0)</f>
        <v>Bebidas</v>
      </c>
      <c r="N1440" t="str">
        <f>VLOOKUP(D1440,'Jer-Tip-Emp'!B:F,5,0)</f>
        <v>Bebidas Cambio de bebida</v>
      </c>
      <c r="O1440" t="str">
        <f>VLOOKUP(D1440,'Jer-Tip-Emp'!B:G,6,0)</f>
        <v>Bebidas</v>
      </c>
    </row>
    <row r="1441" spans="1:15" ht="27.5" customHeight="1" x14ac:dyDescent="0.2">
      <c r="A1441">
        <v>2025</v>
      </c>
      <c r="B1441" t="s">
        <v>616</v>
      </c>
      <c r="C1441" t="s">
        <v>595</v>
      </c>
      <c r="D1441" s="19" t="s">
        <v>240</v>
      </c>
      <c r="E1441" s="18" t="s">
        <v>139</v>
      </c>
      <c r="F1441" s="18">
        <v>4</v>
      </c>
      <c r="G1441" s="20">
        <v>167600</v>
      </c>
      <c r="H1441" s="18">
        <v>0</v>
      </c>
      <c r="I1441" s="20">
        <v>97020</v>
      </c>
      <c r="J1441" s="8">
        <f t="shared" si="66"/>
        <v>70580</v>
      </c>
      <c r="K1441" s="10">
        <f t="shared" si="67"/>
        <v>0.42112171837708828</v>
      </c>
      <c r="L1441" s="17">
        <f t="shared" si="68"/>
        <v>0</v>
      </c>
      <c r="M1441" t="str">
        <f>VLOOKUP(D1441,'Jer-Tip-Emp'!B:E,4,0)</f>
        <v>Platos mong</v>
      </c>
      <c r="N1441" t="str">
        <f>VLOOKUP(D1441,'Jer-Tip-Emp'!B:F,5,0)</f>
        <v>No Personal</v>
      </c>
      <c r="O1441" t="str">
        <f>VLOOKUP(D1441,'Jer-Tip-Emp'!B:G,6,0)</f>
        <v>Caja</v>
      </c>
    </row>
    <row r="1442" spans="1:15" ht="27.5" customHeight="1" x14ac:dyDescent="0.2">
      <c r="A1442">
        <v>2025</v>
      </c>
      <c r="B1442" t="s">
        <v>616</v>
      </c>
      <c r="C1442" t="s">
        <v>595</v>
      </c>
      <c r="D1442" s="19" t="s">
        <v>232</v>
      </c>
      <c r="E1442" s="18" t="s">
        <v>94</v>
      </c>
      <c r="F1442" s="18">
        <v>4</v>
      </c>
      <c r="G1442" s="20">
        <v>91600</v>
      </c>
      <c r="H1442" s="18">
        <v>0</v>
      </c>
      <c r="I1442" s="20">
        <v>37616</v>
      </c>
      <c r="J1442" s="8">
        <f t="shared" si="66"/>
        <v>53984</v>
      </c>
      <c r="K1442" s="10">
        <f t="shared" si="67"/>
        <v>0.58934497816593889</v>
      </c>
      <c r="L1442" s="17">
        <f t="shared" si="68"/>
        <v>0</v>
      </c>
      <c r="M1442" t="str">
        <f>VLOOKUP(D1442,'Jer-Tip-Emp'!B:E,4,0)</f>
        <v>Platos mong</v>
      </c>
      <c r="N1442" t="str">
        <f>VLOOKUP(D1442,'Jer-Tip-Emp'!B:F,5,0)</f>
        <v>Personal</v>
      </c>
      <c r="O1442" t="str">
        <f>VLOOKUP(D1442,'Jer-Tip-Emp'!B:G,6,0)</f>
        <v>Caja</v>
      </c>
    </row>
    <row r="1443" spans="1:15" ht="27.5" hidden="1" customHeight="1" x14ac:dyDescent="0.2">
      <c r="A1443">
        <v>2025</v>
      </c>
      <c r="B1443" t="s">
        <v>616</v>
      </c>
      <c r="C1443" t="s">
        <v>595</v>
      </c>
      <c r="D1443" s="19" t="s">
        <v>309</v>
      </c>
      <c r="E1443" s="18" t="s">
        <v>48</v>
      </c>
      <c r="F1443" s="18">
        <v>4</v>
      </c>
      <c r="G1443" s="20">
        <v>15600</v>
      </c>
      <c r="H1443" s="18">
        <v>0</v>
      </c>
      <c r="I1443" s="20">
        <v>4652</v>
      </c>
      <c r="J1443" s="8">
        <f t="shared" si="66"/>
        <v>10948</v>
      </c>
      <c r="K1443" s="10">
        <f t="shared" si="67"/>
        <v>0.70179487179487177</v>
      </c>
      <c r="L1443" s="17">
        <f t="shared" si="68"/>
        <v>0</v>
      </c>
      <c r="M1443" t="str">
        <f>VLOOKUP(D1443,'Jer-Tip-Emp'!B:E,4,0)</f>
        <v>Bebidas</v>
      </c>
      <c r="N1443" t="str">
        <f>VLOOKUP(D1443,'Jer-Tip-Emp'!B:F,5,0)</f>
        <v>Bebidas</v>
      </c>
      <c r="O1443" t="str">
        <f>VLOOKUP(D1443,'Jer-Tip-Emp'!B:G,6,0)</f>
        <v>Bebidas</v>
      </c>
    </row>
    <row r="1444" spans="1:15" ht="27.5" customHeight="1" x14ac:dyDescent="0.2">
      <c r="A1444">
        <v>2025</v>
      </c>
      <c r="B1444" t="s">
        <v>616</v>
      </c>
      <c r="C1444" t="s">
        <v>595</v>
      </c>
      <c r="D1444" s="19" t="s">
        <v>290</v>
      </c>
      <c r="E1444" s="18" t="s">
        <v>86</v>
      </c>
      <c r="F1444" s="18">
        <v>4</v>
      </c>
      <c r="G1444" s="20">
        <v>372700</v>
      </c>
      <c r="H1444" s="20">
        <v>-14900</v>
      </c>
      <c r="I1444" s="20">
        <v>187120</v>
      </c>
      <c r="J1444" s="8">
        <f t="shared" si="66"/>
        <v>185580</v>
      </c>
      <c r="K1444" s="10">
        <f t="shared" si="67"/>
        <v>0.49793399517037834</v>
      </c>
      <c r="L1444" s="17">
        <f t="shared" si="68"/>
        <v>3.9978535014757177E-2</v>
      </c>
      <c r="M1444" t="str">
        <f>VLOOKUP(D1444,'Jer-Tip-Emp'!B:E,4,0)</f>
        <v>Combos para compartir</v>
      </c>
      <c r="N1444" t="str">
        <f>VLOOKUP(D1444,'Jer-Tip-Emp'!B:F,5,0)</f>
        <v>No Personal</v>
      </c>
      <c r="O1444" t="str">
        <f>VLOOKUP(D1444,'Jer-Tip-Emp'!B:G,6,0)</f>
        <v>Combo</v>
      </c>
    </row>
    <row r="1445" spans="1:15" ht="27.5" customHeight="1" x14ac:dyDescent="0.2">
      <c r="A1445">
        <v>2025</v>
      </c>
      <c r="B1445" t="s">
        <v>616</v>
      </c>
      <c r="C1445" t="s">
        <v>595</v>
      </c>
      <c r="D1445" s="19" t="s">
        <v>278</v>
      </c>
      <c r="E1445" s="18" t="s">
        <v>84</v>
      </c>
      <c r="F1445" s="18">
        <v>3</v>
      </c>
      <c r="G1445" s="20">
        <v>62700</v>
      </c>
      <c r="H1445" s="18">
        <v>0</v>
      </c>
      <c r="I1445" s="20">
        <v>23919</v>
      </c>
      <c r="J1445" s="8">
        <f t="shared" si="66"/>
        <v>38781</v>
      </c>
      <c r="K1445" s="10">
        <f t="shared" si="67"/>
        <v>0.61851674641148324</v>
      </c>
      <c r="L1445" s="17">
        <f t="shared" si="68"/>
        <v>0</v>
      </c>
      <c r="M1445" t="str">
        <f>VLOOKUP(D1445,'Jer-Tip-Emp'!B:E,4,0)</f>
        <v>Combos para compartir</v>
      </c>
      <c r="N1445" t="str">
        <f>VLOOKUP(D1445,'Jer-Tip-Emp'!B:F,5,0)</f>
        <v>No Personal</v>
      </c>
      <c r="O1445" t="str">
        <f>VLOOKUP(D1445,'Jer-Tip-Emp'!B:G,6,0)</f>
        <v>Combo</v>
      </c>
    </row>
    <row r="1446" spans="1:15" ht="27.5" customHeight="1" x14ac:dyDescent="0.2">
      <c r="A1446">
        <v>2025</v>
      </c>
      <c r="B1446" t="s">
        <v>616</v>
      </c>
      <c r="C1446" t="s">
        <v>595</v>
      </c>
      <c r="D1446" s="19" t="s">
        <v>178</v>
      </c>
      <c r="E1446" s="18" t="s">
        <v>145</v>
      </c>
      <c r="F1446" s="18">
        <v>3</v>
      </c>
      <c r="G1446" s="20">
        <v>239914</v>
      </c>
      <c r="H1446" s="20">
        <v>-17786</v>
      </c>
      <c r="I1446" s="20">
        <v>145824</v>
      </c>
      <c r="J1446" s="8">
        <f t="shared" si="66"/>
        <v>94090</v>
      </c>
      <c r="K1446" s="10">
        <f t="shared" si="67"/>
        <v>0.3921821986211726</v>
      </c>
      <c r="L1446" s="17">
        <f t="shared" si="68"/>
        <v>7.4134898338571315E-2</v>
      </c>
      <c r="M1446" t="str">
        <f>VLOOKUP(D1446,'Jer-Tip-Emp'!B:E,4,0)</f>
        <v>Platos mong</v>
      </c>
      <c r="N1446" t="str">
        <f>VLOOKUP(D1446,'Jer-Tip-Emp'!B:F,5,0)</f>
        <v>No Personal</v>
      </c>
      <c r="O1446" t="str">
        <f>VLOOKUP(D1446,'Jer-Tip-Emp'!B:G,6,0)</f>
        <v>Caja</v>
      </c>
    </row>
    <row r="1447" spans="1:15" ht="27.5" customHeight="1" x14ac:dyDescent="0.2">
      <c r="A1447">
        <v>2025</v>
      </c>
      <c r="B1447" t="s">
        <v>616</v>
      </c>
      <c r="C1447" t="s">
        <v>595</v>
      </c>
      <c r="D1447" s="19" t="s">
        <v>246</v>
      </c>
      <c r="E1447" s="18" t="s">
        <v>29</v>
      </c>
      <c r="F1447" s="18">
        <v>3</v>
      </c>
      <c r="G1447" s="20">
        <v>23700</v>
      </c>
      <c r="H1447" s="18">
        <v>0</v>
      </c>
      <c r="I1447" s="18">
        <v>0</v>
      </c>
      <c r="J1447" s="8">
        <f t="shared" si="66"/>
        <v>23700</v>
      </c>
      <c r="K1447" s="10">
        <f t="shared" si="67"/>
        <v>1</v>
      </c>
      <c r="L1447" s="17">
        <f t="shared" si="68"/>
        <v>0</v>
      </c>
      <c r="M1447" t="str">
        <f>VLOOKUP(D1447,'Jer-Tip-Emp'!B:E,4,0)</f>
        <v>Armalo en combo</v>
      </c>
      <c r="N1447" t="str">
        <f>VLOOKUP(D1447,'Jer-Tip-Emp'!B:F,5,0)</f>
        <v>Personal</v>
      </c>
      <c r="O1447" t="str">
        <f>VLOOKUP(D1447,'Jer-Tip-Emp'!B:G,6,0)</f>
        <v>Combo</v>
      </c>
    </row>
    <row r="1448" spans="1:15" ht="27.5" hidden="1" customHeight="1" x14ac:dyDescent="0.2">
      <c r="A1448">
        <v>2025</v>
      </c>
      <c r="B1448" t="s">
        <v>616</v>
      </c>
      <c r="C1448" t="s">
        <v>595</v>
      </c>
      <c r="D1448" s="19" t="s">
        <v>268</v>
      </c>
      <c r="E1448" s="18" t="s">
        <v>17</v>
      </c>
      <c r="F1448" s="18">
        <v>3</v>
      </c>
      <c r="G1448" s="20">
        <v>17700</v>
      </c>
      <c r="H1448" s="18">
        <v>0</v>
      </c>
      <c r="I1448" s="20">
        <v>3846</v>
      </c>
      <c r="J1448" s="8">
        <f t="shared" si="66"/>
        <v>13854</v>
      </c>
      <c r="K1448" s="10">
        <f t="shared" si="67"/>
        <v>0.78271186440677964</v>
      </c>
      <c r="L1448" s="17">
        <f t="shared" si="68"/>
        <v>0</v>
      </c>
      <c r="M1448" t="str">
        <f>VLOOKUP(D1448,'Jer-Tip-Emp'!B:E,4,0)</f>
        <v>Adición</v>
      </c>
      <c r="N1448" t="str">
        <f>VLOOKUP(D1448,'Jer-Tip-Emp'!B:F,5,0)</f>
        <v>Adición</v>
      </c>
      <c r="O1448" t="str">
        <f>VLOOKUP(D1448,'Jer-Tip-Emp'!B:G,6,0)</f>
        <v>Adición</v>
      </c>
    </row>
    <row r="1449" spans="1:15" ht="27.5" customHeight="1" x14ac:dyDescent="0.2">
      <c r="A1449">
        <v>2025</v>
      </c>
      <c r="B1449" t="s">
        <v>616</v>
      </c>
      <c r="C1449" t="s">
        <v>595</v>
      </c>
      <c r="D1449" s="19" t="s">
        <v>448</v>
      </c>
      <c r="E1449" s="18" t="s">
        <v>552</v>
      </c>
      <c r="F1449" s="18">
        <v>3</v>
      </c>
      <c r="G1449" s="18">
        <v>0</v>
      </c>
      <c r="H1449" s="18">
        <v>0</v>
      </c>
      <c r="I1449" s="20">
        <v>15789</v>
      </c>
      <c r="J1449" s="8">
        <f t="shared" si="66"/>
        <v>-15789</v>
      </c>
      <c r="K1449" s="10">
        <f t="shared" si="67"/>
        <v>0</v>
      </c>
      <c r="L1449" s="17">
        <f t="shared" si="68"/>
        <v>0</v>
      </c>
      <c r="M1449" t="str">
        <f>VLOOKUP(D1449,'Jer-Tip-Emp'!B:E,4,0)</f>
        <v>Arma tu plato</v>
      </c>
      <c r="N1449" t="str">
        <f>VLOOKUP(D1449,'Jer-Tip-Emp'!B:F,5,0)</f>
        <v>Personal</v>
      </c>
      <c r="O1449" t="str">
        <f>VLOOKUP(D1449,'Jer-Tip-Emp'!B:G,6,0)</f>
        <v>Caja</v>
      </c>
    </row>
    <row r="1450" spans="1:15" ht="27.5" hidden="1" customHeight="1" x14ac:dyDescent="0.2">
      <c r="A1450">
        <v>2025</v>
      </c>
      <c r="B1450" t="s">
        <v>616</v>
      </c>
      <c r="C1450" t="s">
        <v>595</v>
      </c>
      <c r="D1450" s="19" t="s">
        <v>218</v>
      </c>
      <c r="E1450" s="18" t="s">
        <v>33</v>
      </c>
      <c r="F1450" s="18">
        <v>3</v>
      </c>
      <c r="G1450" s="20">
        <v>23450</v>
      </c>
      <c r="H1450" s="18">
        <v>-250</v>
      </c>
      <c r="I1450" s="18">
        <v>0</v>
      </c>
      <c r="J1450" s="8">
        <f t="shared" si="66"/>
        <v>23450</v>
      </c>
      <c r="K1450" s="10">
        <f t="shared" si="67"/>
        <v>1</v>
      </c>
      <c r="L1450" s="17">
        <f t="shared" si="68"/>
        <v>1.0660980810234541E-2</v>
      </c>
      <c r="M1450" t="str">
        <f>VLOOKUP(D1450,'Jer-Tip-Emp'!B:E,4,0)</f>
        <v>Adición</v>
      </c>
      <c r="N1450" t="str">
        <f>VLOOKUP(D1450,'Jer-Tip-Emp'!B:F,5,0)</f>
        <v>Adición</v>
      </c>
      <c r="O1450" t="str">
        <f>VLOOKUP(D1450,'Jer-Tip-Emp'!B:G,6,0)</f>
        <v>Adición</v>
      </c>
    </row>
    <row r="1451" spans="1:15" ht="27.5" customHeight="1" x14ac:dyDescent="0.2">
      <c r="A1451">
        <v>2025</v>
      </c>
      <c r="B1451" t="s">
        <v>616</v>
      </c>
      <c r="C1451" t="s">
        <v>595</v>
      </c>
      <c r="D1451" s="19" t="s">
        <v>204</v>
      </c>
      <c r="E1451" s="18" t="s">
        <v>154</v>
      </c>
      <c r="F1451" s="18">
        <v>3</v>
      </c>
      <c r="G1451" s="20">
        <v>128700</v>
      </c>
      <c r="H1451" s="18">
        <v>0</v>
      </c>
      <c r="I1451" s="20">
        <v>58323</v>
      </c>
      <c r="J1451" s="8">
        <f t="shared" si="66"/>
        <v>70377</v>
      </c>
      <c r="K1451" s="10">
        <f t="shared" si="67"/>
        <v>0.54682983682983688</v>
      </c>
      <c r="L1451" s="17">
        <f t="shared" si="68"/>
        <v>0</v>
      </c>
      <c r="M1451" t="str">
        <f>VLOOKUP(D1451,'Jer-Tip-Emp'!B:E,4,0)</f>
        <v>Platos mong</v>
      </c>
      <c r="N1451" t="str">
        <f>VLOOKUP(D1451,'Jer-Tip-Emp'!B:F,5,0)</f>
        <v>No Personal</v>
      </c>
      <c r="O1451" t="str">
        <f>VLOOKUP(D1451,'Jer-Tip-Emp'!B:G,6,0)</f>
        <v>Caja</v>
      </c>
    </row>
    <row r="1452" spans="1:15" ht="27.5" hidden="1" customHeight="1" x14ac:dyDescent="0.2">
      <c r="A1452">
        <v>2025</v>
      </c>
      <c r="B1452" t="s">
        <v>616</v>
      </c>
      <c r="C1452" t="s">
        <v>595</v>
      </c>
      <c r="D1452" s="19" t="s">
        <v>409</v>
      </c>
      <c r="E1452" s="18" t="s">
        <v>64</v>
      </c>
      <c r="F1452" s="18">
        <v>3</v>
      </c>
      <c r="G1452" s="20">
        <v>23012</v>
      </c>
      <c r="H1452" s="18">
        <v>-988</v>
      </c>
      <c r="I1452" s="18">
        <v>0</v>
      </c>
      <c r="J1452" s="8">
        <f t="shared" si="66"/>
        <v>23012</v>
      </c>
      <c r="K1452" s="10">
        <f t="shared" si="67"/>
        <v>1</v>
      </c>
      <c r="L1452" s="17">
        <f t="shared" si="68"/>
        <v>4.2934121328002783E-2</v>
      </c>
      <c r="M1452" t="str">
        <f>VLOOKUP(D1452,'Jer-Tip-Emp'!B:E,4,0)</f>
        <v>Bebidas</v>
      </c>
      <c r="N1452" t="str">
        <f>VLOOKUP(D1452,'Jer-Tip-Emp'!B:F,5,0)</f>
        <v>Bebidas</v>
      </c>
      <c r="O1452" t="str">
        <f>VLOOKUP(D1452,'Jer-Tip-Emp'!B:G,6,0)</f>
        <v>Bebidas</v>
      </c>
    </row>
    <row r="1453" spans="1:15" ht="27.5" customHeight="1" x14ac:dyDescent="0.2">
      <c r="A1453">
        <v>2025</v>
      </c>
      <c r="B1453" t="s">
        <v>616</v>
      </c>
      <c r="C1453" t="s">
        <v>595</v>
      </c>
      <c r="D1453" s="19" t="s">
        <v>223</v>
      </c>
      <c r="E1453" s="18" t="s">
        <v>116</v>
      </c>
      <c r="F1453" s="18">
        <v>3</v>
      </c>
      <c r="G1453" s="20">
        <v>80700</v>
      </c>
      <c r="H1453" s="18">
        <v>0</v>
      </c>
      <c r="I1453" s="20">
        <v>40914</v>
      </c>
      <c r="J1453" s="8">
        <f t="shared" si="66"/>
        <v>39786</v>
      </c>
      <c r="K1453" s="10">
        <f t="shared" si="67"/>
        <v>0.4930111524163569</v>
      </c>
      <c r="L1453" s="17">
        <f t="shared" si="68"/>
        <v>0</v>
      </c>
      <c r="M1453" t="str">
        <f>VLOOKUP(D1453,'Jer-Tip-Emp'!B:E,4,0)</f>
        <v>Platos especiales</v>
      </c>
      <c r="N1453" t="str">
        <f>VLOOKUP(D1453,'Jer-Tip-Emp'!B:F,5,0)</f>
        <v>Personal</v>
      </c>
      <c r="O1453" t="str">
        <f>VLOOKUP(D1453,'Jer-Tip-Emp'!B:G,6,0)</f>
        <v>Platos especiales</v>
      </c>
    </row>
    <row r="1454" spans="1:15" ht="27.5" hidden="1" customHeight="1" x14ac:dyDescent="0.2">
      <c r="A1454">
        <v>2025</v>
      </c>
      <c r="B1454" t="s">
        <v>616</v>
      </c>
      <c r="C1454" t="s">
        <v>595</v>
      </c>
      <c r="D1454" s="19" t="s">
        <v>310</v>
      </c>
      <c r="E1454" s="18" t="s">
        <v>53</v>
      </c>
      <c r="F1454" s="18">
        <v>3</v>
      </c>
      <c r="G1454" s="20">
        <v>17700</v>
      </c>
      <c r="H1454" s="18">
        <v>0</v>
      </c>
      <c r="I1454" s="20">
        <v>5085</v>
      </c>
      <c r="J1454" s="8">
        <f t="shared" si="66"/>
        <v>12615</v>
      </c>
      <c r="K1454" s="10">
        <f t="shared" si="67"/>
        <v>0.71271186440677969</v>
      </c>
      <c r="L1454" s="17">
        <f t="shared" si="68"/>
        <v>0</v>
      </c>
      <c r="M1454" t="str">
        <f>VLOOKUP(D1454,'Jer-Tip-Emp'!B:E,4,0)</f>
        <v>Bebidas</v>
      </c>
      <c r="N1454" t="str">
        <f>VLOOKUP(D1454,'Jer-Tip-Emp'!B:F,5,0)</f>
        <v>Bebidas</v>
      </c>
      <c r="O1454" t="str">
        <f>VLOOKUP(D1454,'Jer-Tip-Emp'!B:G,6,0)</f>
        <v>Bebidas</v>
      </c>
    </row>
    <row r="1455" spans="1:15" ht="27.5" customHeight="1" x14ac:dyDescent="0.2">
      <c r="A1455">
        <v>2025</v>
      </c>
      <c r="B1455" t="s">
        <v>616</v>
      </c>
      <c r="C1455" t="s">
        <v>595</v>
      </c>
      <c r="D1455" s="19" t="s">
        <v>198</v>
      </c>
      <c r="E1455" s="18" t="s">
        <v>124</v>
      </c>
      <c r="F1455" s="18">
        <v>2</v>
      </c>
      <c r="G1455" s="20">
        <v>47800</v>
      </c>
      <c r="H1455" s="18">
        <v>0</v>
      </c>
      <c r="I1455" s="20">
        <v>17514</v>
      </c>
      <c r="J1455" s="8">
        <f t="shared" si="66"/>
        <v>30286</v>
      </c>
      <c r="K1455" s="10">
        <f t="shared" si="67"/>
        <v>0.6335983263598326</v>
      </c>
      <c r="L1455" s="17">
        <f t="shared" si="68"/>
        <v>0</v>
      </c>
      <c r="M1455" t="str">
        <f>VLOOKUP(D1455,'Jer-Tip-Emp'!B:E,4,0)</f>
        <v>Platos mong</v>
      </c>
      <c r="N1455" t="str">
        <f>VLOOKUP(D1455,'Jer-Tip-Emp'!B:F,5,0)</f>
        <v>Personal</v>
      </c>
      <c r="O1455" t="str">
        <f>VLOOKUP(D1455,'Jer-Tip-Emp'!B:G,6,0)</f>
        <v>Caja</v>
      </c>
    </row>
    <row r="1456" spans="1:15" ht="27.5" customHeight="1" x14ac:dyDescent="0.2">
      <c r="A1456">
        <v>2025</v>
      </c>
      <c r="B1456" t="s">
        <v>616</v>
      </c>
      <c r="C1456" t="s">
        <v>595</v>
      </c>
      <c r="D1456" s="19" t="s">
        <v>274</v>
      </c>
      <c r="E1456" s="18" t="s">
        <v>91</v>
      </c>
      <c r="F1456" s="18">
        <v>2</v>
      </c>
      <c r="G1456" s="20">
        <v>103800</v>
      </c>
      <c r="H1456" s="18">
        <v>0</v>
      </c>
      <c r="I1456" s="20">
        <v>57630</v>
      </c>
      <c r="J1456" s="8">
        <f t="shared" si="66"/>
        <v>46170</v>
      </c>
      <c r="K1456" s="10">
        <f t="shared" si="67"/>
        <v>0.44479768786127166</v>
      </c>
      <c r="L1456" s="17">
        <f t="shared" si="68"/>
        <v>0</v>
      </c>
      <c r="M1456" t="str">
        <f>VLOOKUP(D1456,'Jer-Tip-Emp'!B:E,4,0)</f>
        <v>Platos mong</v>
      </c>
      <c r="N1456" t="str">
        <f>VLOOKUP(D1456,'Jer-Tip-Emp'!B:F,5,0)</f>
        <v>No Personal</v>
      </c>
      <c r="O1456" t="str">
        <f>VLOOKUP(D1456,'Jer-Tip-Emp'!B:G,6,0)</f>
        <v>Caja</v>
      </c>
    </row>
    <row r="1457" spans="1:15" ht="27.5" customHeight="1" x14ac:dyDescent="0.2">
      <c r="A1457">
        <v>2025</v>
      </c>
      <c r="B1457" t="s">
        <v>616</v>
      </c>
      <c r="C1457" t="s">
        <v>595</v>
      </c>
      <c r="D1457" s="19" t="s">
        <v>206</v>
      </c>
      <c r="E1457" s="18" t="s">
        <v>117</v>
      </c>
      <c r="F1457" s="18">
        <v>2</v>
      </c>
      <c r="G1457" s="20">
        <v>33800</v>
      </c>
      <c r="H1457" s="18">
        <v>0</v>
      </c>
      <c r="I1457" s="20">
        <v>14250</v>
      </c>
      <c r="J1457" s="8">
        <f t="shared" si="66"/>
        <v>19550</v>
      </c>
      <c r="K1457" s="10">
        <f t="shared" si="67"/>
        <v>0.57840236686390534</v>
      </c>
      <c r="L1457" s="17">
        <f t="shared" si="68"/>
        <v>0</v>
      </c>
      <c r="M1457" t="str">
        <f>VLOOKUP(D1457,'Jer-Tip-Emp'!B:E,4,0)</f>
        <v>Platos especiales</v>
      </c>
      <c r="N1457" t="str">
        <f>VLOOKUP(D1457,'Jer-Tip-Emp'!B:F,5,0)</f>
        <v>Personal</v>
      </c>
      <c r="O1457" t="str">
        <f>VLOOKUP(D1457,'Jer-Tip-Emp'!B:G,6,0)</f>
        <v>Platos especiales</v>
      </c>
    </row>
    <row r="1458" spans="1:15" ht="27.5" hidden="1" customHeight="1" x14ac:dyDescent="0.2">
      <c r="A1458">
        <v>2025</v>
      </c>
      <c r="B1458" t="s">
        <v>616</v>
      </c>
      <c r="C1458" t="s">
        <v>595</v>
      </c>
      <c r="D1458" s="19" t="s">
        <v>321</v>
      </c>
      <c r="E1458" s="18" t="s">
        <v>72</v>
      </c>
      <c r="F1458" s="18">
        <v>2</v>
      </c>
      <c r="G1458" s="20">
        <v>9800</v>
      </c>
      <c r="H1458" s="18">
        <v>0</v>
      </c>
      <c r="I1458" s="20">
        <v>2660</v>
      </c>
      <c r="J1458" s="8">
        <f t="shared" si="66"/>
        <v>7140</v>
      </c>
      <c r="K1458" s="10">
        <f t="shared" si="67"/>
        <v>0.72857142857142854</v>
      </c>
      <c r="L1458" s="17">
        <f t="shared" si="68"/>
        <v>0</v>
      </c>
      <c r="M1458" t="str">
        <f>VLOOKUP(D1458,'Jer-Tip-Emp'!B:E,4,0)</f>
        <v>Bebidas</v>
      </c>
      <c r="N1458" t="str">
        <f>VLOOKUP(D1458,'Jer-Tip-Emp'!B:F,5,0)</f>
        <v>Bebidas</v>
      </c>
      <c r="O1458" t="str">
        <f>VLOOKUP(D1458,'Jer-Tip-Emp'!B:G,6,0)</f>
        <v>Bebidas</v>
      </c>
    </row>
    <row r="1459" spans="1:15" ht="27.5" hidden="1" customHeight="1" x14ac:dyDescent="0.2">
      <c r="A1459">
        <v>2025</v>
      </c>
      <c r="B1459" t="s">
        <v>616</v>
      </c>
      <c r="C1459" t="s">
        <v>595</v>
      </c>
      <c r="D1459" s="19" t="s">
        <v>364</v>
      </c>
      <c r="E1459" s="18" t="s">
        <v>51</v>
      </c>
      <c r="F1459" s="18">
        <v>2</v>
      </c>
      <c r="G1459" s="20">
        <v>7800</v>
      </c>
      <c r="H1459" s="18">
        <v>0</v>
      </c>
      <c r="I1459" s="20">
        <v>2582</v>
      </c>
      <c r="J1459" s="8">
        <f t="shared" si="66"/>
        <v>5218</v>
      </c>
      <c r="K1459" s="10">
        <f t="shared" si="67"/>
        <v>0.66897435897435897</v>
      </c>
      <c r="L1459" s="17">
        <f t="shared" si="68"/>
        <v>0</v>
      </c>
      <c r="M1459" t="str">
        <f>VLOOKUP(D1459,'Jer-Tip-Emp'!B:E,4,0)</f>
        <v>Bebidas</v>
      </c>
      <c r="N1459" t="str">
        <f>VLOOKUP(D1459,'Jer-Tip-Emp'!B:F,5,0)</f>
        <v>Bebidas</v>
      </c>
      <c r="O1459" t="str">
        <f>VLOOKUP(D1459,'Jer-Tip-Emp'!B:G,6,0)</f>
        <v>Bebidas</v>
      </c>
    </row>
    <row r="1460" spans="1:15" ht="27.5" customHeight="1" x14ac:dyDescent="0.2">
      <c r="A1460">
        <v>2025</v>
      </c>
      <c r="B1460" t="s">
        <v>616</v>
      </c>
      <c r="C1460" t="s">
        <v>595</v>
      </c>
      <c r="D1460" s="19" t="s">
        <v>219</v>
      </c>
      <c r="E1460" s="18" t="s">
        <v>111</v>
      </c>
      <c r="F1460" s="18">
        <v>2</v>
      </c>
      <c r="G1460" s="20">
        <v>53800</v>
      </c>
      <c r="H1460" s="18">
        <v>0</v>
      </c>
      <c r="I1460" s="20">
        <v>27134</v>
      </c>
      <c r="J1460" s="8">
        <f t="shared" si="66"/>
        <v>26666</v>
      </c>
      <c r="K1460" s="10">
        <f t="shared" si="67"/>
        <v>0.49565055762081783</v>
      </c>
      <c r="L1460" s="17">
        <f t="shared" si="68"/>
        <v>0</v>
      </c>
      <c r="M1460" t="str">
        <f>VLOOKUP(D1460,'Jer-Tip-Emp'!B:E,4,0)</f>
        <v>Platos especiales</v>
      </c>
      <c r="N1460" t="str">
        <f>VLOOKUP(D1460,'Jer-Tip-Emp'!B:F,5,0)</f>
        <v>Personal</v>
      </c>
      <c r="O1460" t="str">
        <f>VLOOKUP(D1460,'Jer-Tip-Emp'!B:G,6,0)</f>
        <v>Platos especiales</v>
      </c>
    </row>
    <row r="1461" spans="1:15" ht="27.5" hidden="1" customHeight="1" x14ac:dyDescent="0.2">
      <c r="A1461">
        <v>2025</v>
      </c>
      <c r="B1461" t="s">
        <v>616</v>
      </c>
      <c r="C1461" t="s">
        <v>595</v>
      </c>
      <c r="D1461" s="19" t="s">
        <v>351</v>
      </c>
      <c r="E1461" s="18" t="s">
        <v>55</v>
      </c>
      <c r="F1461" s="18">
        <v>2</v>
      </c>
      <c r="G1461" s="20">
        <v>11800</v>
      </c>
      <c r="H1461" s="18">
        <v>0</v>
      </c>
      <c r="I1461" s="20">
        <v>2896</v>
      </c>
      <c r="J1461" s="8">
        <f t="shared" si="66"/>
        <v>8904</v>
      </c>
      <c r="K1461" s="10">
        <f t="shared" si="67"/>
        <v>0.75457627118644066</v>
      </c>
      <c r="L1461" s="17">
        <f t="shared" si="68"/>
        <v>0</v>
      </c>
      <c r="M1461" t="str">
        <f>VLOOKUP(D1461,'Jer-Tip-Emp'!B:E,4,0)</f>
        <v>Bebidas</v>
      </c>
      <c r="N1461" t="str">
        <f>VLOOKUP(D1461,'Jer-Tip-Emp'!B:F,5,0)</f>
        <v>Bebidas</v>
      </c>
      <c r="O1461" t="str">
        <f>VLOOKUP(D1461,'Jer-Tip-Emp'!B:G,6,0)</f>
        <v>Bebidas</v>
      </c>
    </row>
    <row r="1462" spans="1:15" ht="27.5" customHeight="1" x14ac:dyDescent="0.2">
      <c r="A1462">
        <v>2025</v>
      </c>
      <c r="B1462" t="s">
        <v>616</v>
      </c>
      <c r="C1462" t="s">
        <v>595</v>
      </c>
      <c r="D1462" s="19" t="s">
        <v>303</v>
      </c>
      <c r="E1462" s="18" t="s">
        <v>120</v>
      </c>
      <c r="F1462" s="18">
        <v>2</v>
      </c>
      <c r="G1462" s="20">
        <v>45800</v>
      </c>
      <c r="H1462" s="18">
        <v>0</v>
      </c>
      <c r="I1462" s="20">
        <v>15028</v>
      </c>
      <c r="J1462" s="8">
        <f t="shared" si="66"/>
        <v>30772</v>
      </c>
      <c r="K1462" s="10">
        <f t="shared" si="67"/>
        <v>0.67187772925764189</v>
      </c>
      <c r="L1462" s="17">
        <f t="shared" si="68"/>
        <v>0</v>
      </c>
      <c r="M1462" t="str">
        <f>VLOOKUP(D1462,'Jer-Tip-Emp'!B:E,4,0)</f>
        <v>Platos mong</v>
      </c>
      <c r="N1462" t="str">
        <f>VLOOKUP(D1462,'Jer-Tip-Emp'!B:F,5,0)</f>
        <v>Personal</v>
      </c>
      <c r="O1462" t="str">
        <f>VLOOKUP(D1462,'Jer-Tip-Emp'!B:G,6,0)</f>
        <v>Caja</v>
      </c>
    </row>
    <row r="1463" spans="1:15" ht="27.5" customHeight="1" x14ac:dyDescent="0.2">
      <c r="A1463">
        <v>2025</v>
      </c>
      <c r="B1463" t="s">
        <v>616</v>
      </c>
      <c r="C1463" t="s">
        <v>595</v>
      </c>
      <c r="D1463" s="19" t="s">
        <v>199</v>
      </c>
      <c r="E1463" s="18" t="s">
        <v>115</v>
      </c>
      <c r="F1463" s="18">
        <v>1</v>
      </c>
      <c r="G1463" s="20">
        <v>11900</v>
      </c>
      <c r="H1463" s="18">
        <v>0</v>
      </c>
      <c r="I1463" s="18">
        <v>0</v>
      </c>
      <c r="J1463" s="8">
        <f t="shared" si="66"/>
        <v>11900</v>
      </c>
      <c r="K1463" s="10">
        <f t="shared" si="67"/>
        <v>1</v>
      </c>
      <c r="L1463" s="17">
        <f t="shared" si="68"/>
        <v>0</v>
      </c>
      <c r="M1463" t="str">
        <f>VLOOKUP(D1463,'Jer-Tip-Emp'!B:E,4,0)</f>
        <v>Platos especiales</v>
      </c>
      <c r="N1463" t="str">
        <f>VLOOKUP(D1463,'Jer-Tip-Emp'!B:F,5,0)</f>
        <v>Personal</v>
      </c>
      <c r="O1463" t="str">
        <f>VLOOKUP(D1463,'Jer-Tip-Emp'!B:G,6,0)</f>
        <v>Platos especiales</v>
      </c>
    </row>
    <row r="1464" spans="1:15" ht="27.5" hidden="1" customHeight="1" x14ac:dyDescent="0.2">
      <c r="A1464">
        <v>2025</v>
      </c>
      <c r="B1464" t="s">
        <v>616</v>
      </c>
      <c r="C1464" t="s">
        <v>595</v>
      </c>
      <c r="D1464" s="19" t="s">
        <v>308</v>
      </c>
      <c r="E1464" s="18" t="s">
        <v>606</v>
      </c>
      <c r="F1464" s="18">
        <v>1</v>
      </c>
      <c r="G1464" s="20">
        <v>2000</v>
      </c>
      <c r="H1464" s="18">
        <v>0</v>
      </c>
      <c r="I1464" s="18">
        <v>0</v>
      </c>
      <c r="J1464" s="8">
        <f t="shared" si="66"/>
        <v>2000</v>
      </c>
      <c r="K1464" s="10">
        <f t="shared" si="67"/>
        <v>1</v>
      </c>
      <c r="L1464" s="17">
        <f t="shared" si="68"/>
        <v>0</v>
      </c>
      <c r="M1464" t="str">
        <f>VLOOKUP(D1464,'Jer-Tip-Emp'!B:E,4,0)</f>
        <v>Bebidas</v>
      </c>
      <c r="N1464" t="str">
        <f>VLOOKUP(D1464,'Jer-Tip-Emp'!B:F,5,0)</f>
        <v>Bebidas Cambio de bebida</v>
      </c>
      <c r="O1464" t="str">
        <f>VLOOKUP(D1464,'Jer-Tip-Emp'!B:G,6,0)</f>
        <v>Bebidas</v>
      </c>
    </row>
    <row r="1465" spans="1:15" ht="27.5" customHeight="1" x14ac:dyDescent="0.2">
      <c r="A1465">
        <v>2025</v>
      </c>
      <c r="B1465" t="s">
        <v>616</v>
      </c>
      <c r="C1465" t="s">
        <v>595</v>
      </c>
      <c r="D1465" s="19" t="s">
        <v>260</v>
      </c>
      <c r="E1465" s="18" t="s">
        <v>97</v>
      </c>
      <c r="F1465" s="18">
        <v>1</v>
      </c>
      <c r="G1465" s="20">
        <v>47900</v>
      </c>
      <c r="H1465" s="18">
        <v>0</v>
      </c>
      <c r="I1465" s="20">
        <v>20911</v>
      </c>
      <c r="J1465" s="8">
        <f t="shared" si="66"/>
        <v>26989</v>
      </c>
      <c r="K1465" s="10">
        <f t="shared" si="67"/>
        <v>0.56344467640918583</v>
      </c>
      <c r="L1465" s="17">
        <f t="shared" si="68"/>
        <v>0</v>
      </c>
      <c r="M1465" t="str">
        <f>VLOOKUP(D1465,'Jer-Tip-Emp'!B:E,4,0)</f>
        <v>Platos mong</v>
      </c>
      <c r="N1465" t="str">
        <f>VLOOKUP(D1465,'Jer-Tip-Emp'!B:F,5,0)</f>
        <v>No Personal</v>
      </c>
      <c r="O1465" t="str">
        <f>VLOOKUP(D1465,'Jer-Tip-Emp'!B:G,6,0)</f>
        <v>Caja</v>
      </c>
    </row>
    <row r="1466" spans="1:15" ht="27.5" customHeight="1" x14ac:dyDescent="0.2">
      <c r="A1466">
        <v>2025</v>
      </c>
      <c r="B1466" t="s">
        <v>616</v>
      </c>
      <c r="C1466" t="s">
        <v>595</v>
      </c>
      <c r="D1466" s="19" t="s">
        <v>251</v>
      </c>
      <c r="E1466" s="18" t="s">
        <v>123</v>
      </c>
      <c r="F1466" s="18">
        <v>1</v>
      </c>
      <c r="G1466" s="20">
        <v>59900</v>
      </c>
      <c r="H1466" s="18">
        <v>0</v>
      </c>
      <c r="I1466" s="20">
        <v>33677</v>
      </c>
      <c r="J1466" s="8">
        <f t="shared" si="66"/>
        <v>26223</v>
      </c>
      <c r="K1466" s="10">
        <f t="shared" si="67"/>
        <v>0.43777963272120202</v>
      </c>
      <c r="L1466" s="17">
        <f t="shared" si="68"/>
        <v>0</v>
      </c>
      <c r="M1466" t="str">
        <f>VLOOKUP(D1466,'Jer-Tip-Emp'!B:E,4,0)</f>
        <v>Platos mong</v>
      </c>
      <c r="N1466" t="str">
        <f>VLOOKUP(D1466,'Jer-Tip-Emp'!B:F,5,0)</f>
        <v>No Personal</v>
      </c>
      <c r="O1466" t="str">
        <f>VLOOKUP(D1466,'Jer-Tip-Emp'!B:G,6,0)</f>
        <v>Caja</v>
      </c>
    </row>
    <row r="1467" spans="1:15" ht="27.5" customHeight="1" x14ac:dyDescent="0.2">
      <c r="A1467">
        <v>2025</v>
      </c>
      <c r="B1467" t="s">
        <v>616</v>
      </c>
      <c r="C1467" t="s">
        <v>595</v>
      </c>
      <c r="D1467" s="19" t="s">
        <v>226</v>
      </c>
      <c r="E1467" s="18" t="s">
        <v>227</v>
      </c>
      <c r="F1467" s="18">
        <v>1</v>
      </c>
      <c r="G1467" s="20">
        <v>50900</v>
      </c>
      <c r="H1467" s="18">
        <v>0</v>
      </c>
      <c r="I1467" s="20">
        <v>21117</v>
      </c>
      <c r="J1467" s="8">
        <f t="shared" si="66"/>
        <v>29783</v>
      </c>
      <c r="K1467" s="10">
        <f t="shared" si="67"/>
        <v>0.58512770137524561</v>
      </c>
      <c r="L1467" s="17">
        <f t="shared" si="68"/>
        <v>0</v>
      </c>
      <c r="M1467" t="str">
        <f>VLOOKUP(D1467,'Jer-Tip-Emp'!B:E,4,0)</f>
        <v>Platos mong</v>
      </c>
      <c r="N1467" t="str">
        <f>VLOOKUP(D1467,'Jer-Tip-Emp'!B:F,5,0)</f>
        <v>No Personal</v>
      </c>
      <c r="O1467" t="str">
        <f>VLOOKUP(D1467,'Jer-Tip-Emp'!B:G,6,0)</f>
        <v>Caja</v>
      </c>
    </row>
    <row r="1468" spans="1:15" ht="27.5" customHeight="1" x14ac:dyDescent="0.2">
      <c r="A1468">
        <v>2025</v>
      </c>
      <c r="B1468" t="s">
        <v>616</v>
      </c>
      <c r="C1468" t="s">
        <v>595</v>
      </c>
      <c r="D1468" s="19" t="s">
        <v>265</v>
      </c>
      <c r="E1468" s="18" t="s">
        <v>140</v>
      </c>
      <c r="F1468" s="18">
        <v>1</v>
      </c>
      <c r="G1468" s="20">
        <v>63900</v>
      </c>
      <c r="H1468" s="18">
        <v>0</v>
      </c>
      <c r="I1468" s="20">
        <v>32179</v>
      </c>
      <c r="J1468" s="8">
        <f t="shared" si="66"/>
        <v>31721</v>
      </c>
      <c r="K1468" s="10">
        <f t="shared" si="67"/>
        <v>0.49641627543035993</v>
      </c>
      <c r="L1468" s="17">
        <f t="shared" si="68"/>
        <v>0</v>
      </c>
      <c r="M1468" t="str">
        <f>VLOOKUP(D1468,'Jer-Tip-Emp'!B:E,4,0)</f>
        <v>Platos mong</v>
      </c>
      <c r="N1468" t="str">
        <f>VLOOKUP(D1468,'Jer-Tip-Emp'!B:F,5,0)</f>
        <v>No Personal</v>
      </c>
      <c r="O1468" t="str">
        <f>VLOOKUP(D1468,'Jer-Tip-Emp'!B:G,6,0)</f>
        <v>Caja</v>
      </c>
    </row>
    <row r="1469" spans="1:15" ht="27.5" hidden="1" customHeight="1" x14ac:dyDescent="0.2">
      <c r="A1469">
        <v>2025</v>
      </c>
      <c r="B1469" t="s">
        <v>616</v>
      </c>
      <c r="C1469" t="s">
        <v>595</v>
      </c>
      <c r="D1469" s="19" t="s">
        <v>327</v>
      </c>
      <c r="E1469" s="18" t="s">
        <v>44</v>
      </c>
      <c r="F1469" s="18">
        <v>1</v>
      </c>
      <c r="G1469" s="20">
        <v>4900</v>
      </c>
      <c r="H1469" s="18">
        <v>0</v>
      </c>
      <c r="I1469" s="20">
        <v>1095</v>
      </c>
      <c r="J1469" s="8">
        <f t="shared" si="66"/>
        <v>3805</v>
      </c>
      <c r="K1469" s="10">
        <f t="shared" si="67"/>
        <v>0.77653061224489794</v>
      </c>
      <c r="L1469" s="17">
        <f t="shared" si="68"/>
        <v>0</v>
      </c>
      <c r="M1469" t="str">
        <f>VLOOKUP(D1469,'Jer-Tip-Emp'!B:E,4,0)</f>
        <v>Bebidas</v>
      </c>
      <c r="N1469" t="str">
        <f>VLOOKUP(D1469,'Jer-Tip-Emp'!B:F,5,0)</f>
        <v>Bebidas</v>
      </c>
      <c r="O1469" t="str">
        <f>VLOOKUP(D1469,'Jer-Tip-Emp'!B:G,6,0)</f>
        <v>Bebidas</v>
      </c>
    </row>
    <row r="1470" spans="1:15" ht="27.5" hidden="1" customHeight="1" x14ac:dyDescent="0.2">
      <c r="A1470">
        <v>2025</v>
      </c>
      <c r="B1470" t="s">
        <v>616</v>
      </c>
      <c r="C1470" t="s">
        <v>595</v>
      </c>
      <c r="D1470" s="19" t="s">
        <v>336</v>
      </c>
      <c r="E1470" s="18" t="s">
        <v>60</v>
      </c>
      <c r="F1470" s="18">
        <v>1</v>
      </c>
      <c r="G1470" s="20">
        <v>4900</v>
      </c>
      <c r="H1470" s="18">
        <v>0</v>
      </c>
      <c r="I1470" s="20">
        <v>1560</v>
      </c>
      <c r="J1470" s="8">
        <f t="shared" si="66"/>
        <v>3340</v>
      </c>
      <c r="K1470" s="10">
        <f t="shared" si="67"/>
        <v>0.68163265306122445</v>
      </c>
      <c r="L1470" s="17">
        <f t="shared" si="68"/>
        <v>0</v>
      </c>
      <c r="M1470" t="str">
        <f>VLOOKUP(D1470,'Jer-Tip-Emp'!B:E,4,0)</f>
        <v>Bebidas</v>
      </c>
      <c r="N1470" t="str">
        <f>VLOOKUP(D1470,'Jer-Tip-Emp'!B:F,5,0)</f>
        <v>Bebidas</v>
      </c>
      <c r="O1470" t="str">
        <f>VLOOKUP(D1470,'Jer-Tip-Emp'!B:G,6,0)</f>
        <v>Bebidas</v>
      </c>
    </row>
    <row r="1471" spans="1:15" ht="27.5" hidden="1" customHeight="1" x14ac:dyDescent="0.2">
      <c r="A1471">
        <v>2025</v>
      </c>
      <c r="B1471" t="s">
        <v>616</v>
      </c>
      <c r="C1471" t="s">
        <v>595</v>
      </c>
      <c r="D1471" s="19" t="s">
        <v>300</v>
      </c>
      <c r="E1471" s="18" t="s">
        <v>26</v>
      </c>
      <c r="F1471" s="18">
        <v>1</v>
      </c>
      <c r="G1471" s="20">
        <v>7900</v>
      </c>
      <c r="H1471" s="18">
        <v>0</v>
      </c>
      <c r="I1471" s="18">
        <v>0</v>
      </c>
      <c r="J1471" s="8">
        <f t="shared" si="66"/>
        <v>7900</v>
      </c>
      <c r="K1471" s="10">
        <f t="shared" si="67"/>
        <v>1</v>
      </c>
      <c r="L1471" s="17">
        <f t="shared" si="68"/>
        <v>0</v>
      </c>
      <c r="M1471" t="str">
        <f>VLOOKUP(D1471,'Jer-Tip-Emp'!B:E,4,0)</f>
        <v>Adición</v>
      </c>
      <c r="N1471" t="str">
        <f>VLOOKUP(D1471,'Jer-Tip-Emp'!B:F,5,0)</f>
        <v>Adición</v>
      </c>
      <c r="O1471" t="str">
        <f>VLOOKUP(D1471,'Jer-Tip-Emp'!B:G,6,0)</f>
        <v>Adición</v>
      </c>
    </row>
    <row r="1472" spans="1:15" ht="27.5" hidden="1" customHeight="1" x14ac:dyDescent="0.2">
      <c r="A1472">
        <v>2025</v>
      </c>
      <c r="B1472" t="s">
        <v>616</v>
      </c>
      <c r="C1472" t="s">
        <v>595</v>
      </c>
      <c r="D1472" s="19" t="s">
        <v>296</v>
      </c>
      <c r="E1472" s="18" t="s">
        <v>22</v>
      </c>
      <c r="F1472" s="18">
        <v>1</v>
      </c>
      <c r="G1472" s="20">
        <v>6900</v>
      </c>
      <c r="H1472" s="18">
        <v>0</v>
      </c>
      <c r="I1472" s="18">
        <v>689</v>
      </c>
      <c r="J1472" s="8">
        <f t="shared" si="66"/>
        <v>6211</v>
      </c>
      <c r="K1472" s="10">
        <f t="shared" si="67"/>
        <v>0.90014492753623188</v>
      </c>
      <c r="L1472" s="17">
        <f t="shared" si="68"/>
        <v>0</v>
      </c>
      <c r="M1472" t="str">
        <f>VLOOKUP(D1472,'Jer-Tip-Emp'!B:E,4,0)</f>
        <v>Adición</v>
      </c>
      <c r="N1472" t="str">
        <f>VLOOKUP(D1472,'Jer-Tip-Emp'!B:F,5,0)</f>
        <v>Adición</v>
      </c>
      <c r="O1472" t="str">
        <f>VLOOKUP(D1472,'Jer-Tip-Emp'!B:G,6,0)</f>
        <v>Adición</v>
      </c>
    </row>
    <row r="1473" spans="1:15" ht="27.5" hidden="1" customHeight="1" x14ac:dyDescent="0.2">
      <c r="A1473">
        <v>2025</v>
      </c>
      <c r="B1473" t="s">
        <v>616</v>
      </c>
      <c r="C1473" t="s">
        <v>595</v>
      </c>
      <c r="D1473" s="19" t="s">
        <v>365</v>
      </c>
      <c r="E1473" s="18" t="s">
        <v>558</v>
      </c>
      <c r="F1473" s="18">
        <v>1</v>
      </c>
      <c r="G1473" s="18">
        <v>500</v>
      </c>
      <c r="H1473" s="18">
        <v>0</v>
      </c>
      <c r="I1473" s="20">
        <v>1569</v>
      </c>
      <c r="J1473" s="8">
        <f t="shared" ref="J1473:J1536" si="69">G1473-I1473</f>
        <v>-1069</v>
      </c>
      <c r="K1473" s="10">
        <f t="shared" ref="K1473:K1536" si="70">IFERROR(J1473/G1473,0)</f>
        <v>-2.1379999999999999</v>
      </c>
      <c r="L1473" s="17">
        <f t="shared" ref="L1473:L1536" si="71">IFERROR((H1473/G1473)*-1,0)</f>
        <v>0</v>
      </c>
      <c r="M1473" t="str">
        <f>VLOOKUP(D1473,'Jer-Tip-Emp'!B:E,4,0)</f>
        <v>Adición</v>
      </c>
      <c r="N1473" t="str">
        <f>VLOOKUP(D1473,'Jer-Tip-Emp'!B:F,5,0)</f>
        <v>Otro</v>
      </c>
      <c r="O1473" t="str">
        <f>VLOOKUP(D1473,'Jer-Tip-Emp'!B:G,6,0)</f>
        <v>Otro</v>
      </c>
    </row>
    <row r="1474" spans="1:15" ht="27.5" hidden="1" customHeight="1" x14ac:dyDescent="0.2">
      <c r="A1474">
        <v>2025</v>
      </c>
      <c r="B1474" t="s">
        <v>616</v>
      </c>
      <c r="C1474" t="s">
        <v>595</v>
      </c>
      <c r="D1474" s="19" t="s">
        <v>254</v>
      </c>
      <c r="E1474" s="18" t="s">
        <v>20</v>
      </c>
      <c r="F1474" s="18">
        <v>1</v>
      </c>
      <c r="G1474" s="20">
        <v>4900</v>
      </c>
      <c r="H1474" s="18">
        <v>0</v>
      </c>
      <c r="I1474" s="20">
        <v>3010</v>
      </c>
      <c r="J1474" s="8">
        <f t="shared" si="69"/>
        <v>1890</v>
      </c>
      <c r="K1474" s="10">
        <f t="shared" si="70"/>
        <v>0.38571428571428573</v>
      </c>
      <c r="L1474" s="17">
        <f t="shared" si="71"/>
        <v>0</v>
      </c>
      <c r="M1474" t="str">
        <f>VLOOKUP(D1474,'Jer-Tip-Emp'!B:E,4,0)</f>
        <v>Adición</v>
      </c>
      <c r="N1474" t="str">
        <f>VLOOKUP(D1474,'Jer-Tip-Emp'!B:F,5,0)</f>
        <v>Adición</v>
      </c>
      <c r="O1474" t="str">
        <f>VLOOKUP(D1474,'Jer-Tip-Emp'!B:G,6,0)</f>
        <v>Adición</v>
      </c>
    </row>
    <row r="1475" spans="1:15" ht="27.5" hidden="1" customHeight="1" x14ac:dyDescent="0.2">
      <c r="A1475">
        <v>2025</v>
      </c>
      <c r="B1475" t="s">
        <v>616</v>
      </c>
      <c r="C1475" t="s">
        <v>595</v>
      </c>
      <c r="D1475" s="19" t="s">
        <v>193</v>
      </c>
      <c r="E1475" s="18" t="s">
        <v>18</v>
      </c>
      <c r="F1475" s="18">
        <v>1</v>
      </c>
      <c r="G1475" s="20">
        <v>6900</v>
      </c>
      <c r="H1475" s="18">
        <v>0</v>
      </c>
      <c r="I1475" s="20">
        <v>3108</v>
      </c>
      <c r="J1475" s="8">
        <f t="shared" si="69"/>
        <v>3792</v>
      </c>
      <c r="K1475" s="10">
        <f t="shared" si="70"/>
        <v>0.54956521739130437</v>
      </c>
      <c r="L1475" s="17">
        <f t="shared" si="71"/>
        <v>0</v>
      </c>
      <c r="M1475" t="str">
        <f>VLOOKUP(D1475,'Jer-Tip-Emp'!B:E,4,0)</f>
        <v>Adición</v>
      </c>
      <c r="N1475" t="str">
        <f>VLOOKUP(D1475,'Jer-Tip-Emp'!B:F,5,0)</f>
        <v>Adición</v>
      </c>
      <c r="O1475" t="str">
        <f>VLOOKUP(D1475,'Jer-Tip-Emp'!B:G,6,0)</f>
        <v>Adición</v>
      </c>
    </row>
    <row r="1476" spans="1:15" ht="27.5" customHeight="1" x14ac:dyDescent="0.2">
      <c r="A1476">
        <v>2025</v>
      </c>
      <c r="B1476" t="s">
        <v>616</v>
      </c>
      <c r="C1476" t="s">
        <v>595</v>
      </c>
      <c r="D1476" s="19" t="s">
        <v>279</v>
      </c>
      <c r="E1476" s="18" t="s">
        <v>132</v>
      </c>
      <c r="F1476" s="18">
        <v>1</v>
      </c>
      <c r="G1476" s="20">
        <v>30609</v>
      </c>
      <c r="H1476" s="20">
        <v>-4291</v>
      </c>
      <c r="I1476" s="20">
        <v>11217</v>
      </c>
      <c r="J1476" s="8">
        <f t="shared" si="69"/>
        <v>19392</v>
      </c>
      <c r="K1476" s="10">
        <f t="shared" si="70"/>
        <v>0.6335391551504459</v>
      </c>
      <c r="L1476" s="17">
        <f t="shared" si="71"/>
        <v>0.14018752654448038</v>
      </c>
      <c r="M1476" t="str">
        <f>VLOOKUP(D1476,'Jer-Tip-Emp'!B:E,4,0)</f>
        <v>Platos mong</v>
      </c>
      <c r="N1476" t="str">
        <f>VLOOKUP(D1476,'Jer-Tip-Emp'!B:F,5,0)</f>
        <v>No Personal</v>
      </c>
      <c r="O1476" t="str">
        <f>VLOOKUP(D1476,'Jer-Tip-Emp'!B:G,6,0)</f>
        <v>Caja</v>
      </c>
    </row>
    <row r="1477" spans="1:15" ht="27.5" hidden="1" customHeight="1" x14ac:dyDescent="0.2">
      <c r="A1477">
        <v>2025</v>
      </c>
      <c r="B1477" t="s">
        <v>616</v>
      </c>
      <c r="C1477" t="s">
        <v>595</v>
      </c>
      <c r="D1477" s="19" t="s">
        <v>408</v>
      </c>
      <c r="E1477" s="18" t="s">
        <v>35</v>
      </c>
      <c r="F1477" s="18">
        <v>1</v>
      </c>
      <c r="G1477" s="20">
        <v>3500</v>
      </c>
      <c r="H1477" s="18">
        <v>0</v>
      </c>
      <c r="I1477" s="18">
        <v>868</v>
      </c>
      <c r="J1477" s="8">
        <f t="shared" si="69"/>
        <v>2632</v>
      </c>
      <c r="K1477" s="10">
        <f t="shared" si="70"/>
        <v>0.752</v>
      </c>
      <c r="L1477" s="17">
        <f t="shared" si="71"/>
        <v>0</v>
      </c>
      <c r="M1477" t="str">
        <f>VLOOKUP(D1477,'Jer-Tip-Emp'!B:E,4,0)</f>
        <v>Bebidas</v>
      </c>
      <c r="N1477" t="str">
        <f>VLOOKUP(D1477,'Jer-Tip-Emp'!B:F,5,0)</f>
        <v>Bebidas</v>
      </c>
      <c r="O1477" t="str">
        <f>VLOOKUP(D1477,'Jer-Tip-Emp'!B:G,6,0)</f>
        <v>Bebidas</v>
      </c>
    </row>
    <row r="1478" spans="1:15" ht="27.5" hidden="1" customHeight="1" x14ac:dyDescent="0.2">
      <c r="A1478">
        <v>2025</v>
      </c>
      <c r="B1478" t="s">
        <v>616</v>
      </c>
      <c r="C1478" t="s">
        <v>595</v>
      </c>
      <c r="D1478" s="19" t="s">
        <v>382</v>
      </c>
      <c r="E1478" s="18" t="s">
        <v>42</v>
      </c>
      <c r="F1478" s="18">
        <v>1</v>
      </c>
      <c r="G1478" s="20">
        <v>4900</v>
      </c>
      <c r="H1478" s="18">
        <v>0</v>
      </c>
      <c r="I1478" s="20">
        <v>1373</v>
      </c>
      <c r="J1478" s="8">
        <f t="shared" si="69"/>
        <v>3527</v>
      </c>
      <c r="K1478" s="10">
        <f t="shared" si="70"/>
        <v>0.71979591836734691</v>
      </c>
      <c r="L1478" s="17">
        <f t="shared" si="71"/>
        <v>0</v>
      </c>
      <c r="M1478" t="str">
        <f>VLOOKUP(D1478,'Jer-Tip-Emp'!B:E,4,0)</f>
        <v>Bebidas</v>
      </c>
      <c r="N1478" t="str">
        <f>VLOOKUP(D1478,'Jer-Tip-Emp'!B:F,5,0)</f>
        <v>Bebidas</v>
      </c>
      <c r="O1478" t="str">
        <f>VLOOKUP(D1478,'Jer-Tip-Emp'!B:G,6,0)</f>
        <v>Bebidas</v>
      </c>
    </row>
    <row r="1479" spans="1:15" ht="27.5" hidden="1" customHeight="1" x14ac:dyDescent="0.2">
      <c r="A1479">
        <v>2025</v>
      </c>
      <c r="B1479" t="s">
        <v>616</v>
      </c>
      <c r="C1479" t="s">
        <v>595</v>
      </c>
      <c r="D1479" s="19" t="s">
        <v>183</v>
      </c>
      <c r="E1479" s="18" t="s">
        <v>104</v>
      </c>
      <c r="F1479" s="18">
        <v>1</v>
      </c>
      <c r="G1479" s="20">
        <v>15900</v>
      </c>
      <c r="H1479" s="18">
        <v>0</v>
      </c>
      <c r="I1479" s="20">
        <v>10028</v>
      </c>
      <c r="J1479" s="8">
        <f t="shared" si="69"/>
        <v>5872</v>
      </c>
      <c r="K1479" s="10">
        <f t="shared" si="70"/>
        <v>0.36930817610062894</v>
      </c>
      <c r="L1479" s="17">
        <f t="shared" si="71"/>
        <v>0</v>
      </c>
      <c r="M1479" t="str">
        <f>VLOOKUP(D1479,'Jer-Tip-Emp'!B:E,4,0)</f>
        <v>Entradas</v>
      </c>
      <c r="N1479" t="str">
        <f>VLOOKUP(D1479,'Jer-Tip-Emp'!B:F,5,0)</f>
        <v>Otro</v>
      </c>
      <c r="O1479" t="str">
        <f>VLOOKUP(D1479,'Jer-Tip-Emp'!B:G,6,0)</f>
        <v>Otro</v>
      </c>
    </row>
    <row r="1480" spans="1:15" ht="27.5" customHeight="1" x14ac:dyDescent="0.2">
      <c r="A1480">
        <v>2025</v>
      </c>
      <c r="B1480" t="s">
        <v>616</v>
      </c>
      <c r="C1480" t="s">
        <v>595</v>
      </c>
      <c r="D1480" s="19" t="s">
        <v>181</v>
      </c>
      <c r="E1480" s="18" t="s">
        <v>121</v>
      </c>
      <c r="F1480" s="18">
        <v>1</v>
      </c>
      <c r="G1480" s="20">
        <v>19900</v>
      </c>
      <c r="H1480" s="18">
        <v>0</v>
      </c>
      <c r="I1480" s="20">
        <v>6138</v>
      </c>
      <c r="J1480" s="8">
        <f t="shared" si="69"/>
        <v>13762</v>
      </c>
      <c r="K1480" s="10">
        <f t="shared" si="70"/>
        <v>0.69155778894472364</v>
      </c>
      <c r="L1480" s="17">
        <f t="shared" si="71"/>
        <v>0</v>
      </c>
      <c r="M1480" t="str">
        <f>VLOOKUP(D1480,'Jer-Tip-Emp'!B:E,4,0)</f>
        <v>Platos mong</v>
      </c>
      <c r="N1480" t="str">
        <f>VLOOKUP(D1480,'Jer-Tip-Emp'!B:F,5,0)</f>
        <v>Personal</v>
      </c>
      <c r="O1480" t="str">
        <f>VLOOKUP(D1480,'Jer-Tip-Emp'!B:G,6,0)</f>
        <v>Caja</v>
      </c>
    </row>
    <row r="1481" spans="1:15" ht="27.5" customHeight="1" x14ac:dyDescent="0.2">
      <c r="A1481">
        <v>2025</v>
      </c>
      <c r="B1481" t="s">
        <v>617</v>
      </c>
      <c r="C1481" t="s">
        <v>609</v>
      </c>
      <c r="D1481" s="19" t="s">
        <v>207</v>
      </c>
      <c r="E1481" s="18" t="s">
        <v>92</v>
      </c>
      <c r="F1481" s="18">
        <v>234</v>
      </c>
      <c r="G1481" s="20">
        <v>5589600</v>
      </c>
      <c r="H1481" s="20">
        <v>-3000</v>
      </c>
      <c r="I1481" s="20">
        <v>2252718</v>
      </c>
      <c r="J1481" s="8">
        <f t="shared" si="69"/>
        <v>3336882</v>
      </c>
      <c r="K1481" s="10">
        <f t="shared" si="70"/>
        <v>0.59698046371833402</v>
      </c>
      <c r="L1481" s="17">
        <f t="shared" si="71"/>
        <v>5.3671103477887503E-4</v>
      </c>
      <c r="M1481" t="str">
        <f>VLOOKUP(D1481,'Jer-Tip-Emp'!B:E,4,0)</f>
        <v>Combos personales</v>
      </c>
      <c r="N1481" t="str">
        <f>VLOOKUP(D1481,'Jer-Tip-Emp'!B:F,5,0)</f>
        <v>Personal</v>
      </c>
      <c r="O1481" t="str">
        <f>VLOOKUP(D1481,'Jer-Tip-Emp'!B:G,6,0)</f>
        <v>Combo</v>
      </c>
    </row>
    <row r="1482" spans="1:15" ht="27.5" customHeight="1" x14ac:dyDescent="0.2">
      <c r="A1482">
        <v>2025</v>
      </c>
      <c r="B1482" t="s">
        <v>617</v>
      </c>
      <c r="C1482" t="s">
        <v>609</v>
      </c>
      <c r="D1482" s="19" t="s">
        <v>273</v>
      </c>
      <c r="E1482" s="18" t="s">
        <v>23</v>
      </c>
      <c r="F1482" s="18">
        <v>200</v>
      </c>
      <c r="G1482" s="20">
        <v>4952693</v>
      </c>
      <c r="H1482" s="20">
        <v>-27307</v>
      </c>
      <c r="I1482" s="18">
        <v>0</v>
      </c>
      <c r="J1482" s="8">
        <f t="shared" si="69"/>
        <v>4952693</v>
      </c>
      <c r="K1482" s="10">
        <f t="shared" si="70"/>
        <v>1</v>
      </c>
      <c r="L1482" s="17">
        <f t="shared" si="71"/>
        <v>5.5135660538620096E-3</v>
      </c>
      <c r="M1482" t="str">
        <f>VLOOKUP(D1482,'Jer-Tip-Emp'!B:E,4,0)</f>
        <v>Arma tu plato</v>
      </c>
      <c r="N1482" t="str">
        <f>VLOOKUP(D1482,'Jer-Tip-Emp'!B:F,5,0)</f>
        <v>Personal</v>
      </c>
      <c r="O1482" t="str">
        <f>VLOOKUP(D1482,'Jer-Tip-Emp'!B:G,6,0)</f>
        <v>Caja</v>
      </c>
    </row>
    <row r="1483" spans="1:15" ht="27.5" customHeight="1" x14ac:dyDescent="0.2">
      <c r="A1483">
        <v>2025</v>
      </c>
      <c r="B1483" t="s">
        <v>617</v>
      </c>
      <c r="C1483" t="s">
        <v>609</v>
      </c>
      <c r="D1483" s="19" t="s">
        <v>313</v>
      </c>
      <c r="E1483" s="18" t="s">
        <v>540</v>
      </c>
      <c r="F1483" s="18">
        <v>125</v>
      </c>
      <c r="G1483" s="18">
        <v>0</v>
      </c>
      <c r="H1483" s="18">
        <v>0</v>
      </c>
      <c r="I1483" s="20">
        <v>686375</v>
      </c>
      <c r="J1483" s="8">
        <f t="shared" si="69"/>
        <v>-686375</v>
      </c>
      <c r="K1483" s="10">
        <f t="shared" si="70"/>
        <v>0</v>
      </c>
      <c r="L1483" s="17">
        <f t="shared" si="71"/>
        <v>0</v>
      </c>
      <c r="M1483" t="str">
        <f>VLOOKUP(D1483,'Jer-Tip-Emp'!B:E,4,0)</f>
        <v>Arma tu plato</v>
      </c>
      <c r="N1483" t="str">
        <f>VLOOKUP(D1483,'Jer-Tip-Emp'!B:F,5,0)</f>
        <v>Personal</v>
      </c>
      <c r="O1483" t="str">
        <f>VLOOKUP(D1483,'Jer-Tip-Emp'!B:G,6,0)</f>
        <v>Caja</v>
      </c>
    </row>
    <row r="1484" spans="1:15" ht="27.5" customHeight="1" x14ac:dyDescent="0.2">
      <c r="A1484">
        <v>2025</v>
      </c>
      <c r="B1484" t="s">
        <v>617</v>
      </c>
      <c r="C1484" t="s">
        <v>609</v>
      </c>
      <c r="D1484" s="19" t="s">
        <v>196</v>
      </c>
      <c r="E1484" s="18" t="s">
        <v>159</v>
      </c>
      <c r="F1484" s="18">
        <v>81</v>
      </c>
      <c r="G1484" s="20">
        <v>2093900</v>
      </c>
      <c r="H1484" s="20">
        <v>-4000</v>
      </c>
      <c r="I1484" s="20">
        <v>769581</v>
      </c>
      <c r="J1484" s="8">
        <f t="shared" si="69"/>
        <v>1324319</v>
      </c>
      <c r="K1484" s="10">
        <f t="shared" si="70"/>
        <v>0.63246525622044991</v>
      </c>
      <c r="L1484" s="17">
        <f t="shared" si="71"/>
        <v>1.9103109030994794E-3</v>
      </c>
      <c r="M1484" t="str">
        <f>VLOOKUP(D1484,'Jer-Tip-Emp'!B:E,4,0)</f>
        <v>Combos personales</v>
      </c>
      <c r="N1484" t="str">
        <f>VLOOKUP(D1484,'Jer-Tip-Emp'!B:F,5,0)</f>
        <v>Personal</v>
      </c>
      <c r="O1484" t="str">
        <f>VLOOKUP(D1484,'Jer-Tip-Emp'!B:G,6,0)</f>
        <v>Combo</v>
      </c>
    </row>
    <row r="1485" spans="1:15" ht="27.5" customHeight="1" x14ac:dyDescent="0.2">
      <c r="A1485">
        <v>2025</v>
      </c>
      <c r="B1485" t="s">
        <v>617</v>
      </c>
      <c r="C1485" t="s">
        <v>609</v>
      </c>
      <c r="D1485" s="19" t="s">
        <v>389</v>
      </c>
      <c r="E1485" s="18" t="s">
        <v>541</v>
      </c>
      <c r="F1485" s="18">
        <v>80</v>
      </c>
      <c r="G1485" s="18">
        <v>0</v>
      </c>
      <c r="H1485" s="18">
        <v>0</v>
      </c>
      <c r="I1485" s="20">
        <v>437360</v>
      </c>
      <c r="J1485" s="8">
        <f t="shared" si="69"/>
        <v>-437360</v>
      </c>
      <c r="K1485" s="10">
        <f t="shared" si="70"/>
        <v>0</v>
      </c>
      <c r="L1485" s="17">
        <f t="shared" si="71"/>
        <v>0</v>
      </c>
      <c r="M1485" t="str">
        <f>VLOOKUP(D1485,'Jer-Tip-Emp'!B:E,4,0)</f>
        <v>Arma tu plato</v>
      </c>
      <c r="N1485" t="str">
        <f>VLOOKUP(D1485,'Jer-Tip-Emp'!B:F,5,0)</f>
        <v>Personal</v>
      </c>
      <c r="O1485" t="str">
        <f>VLOOKUP(D1485,'Jer-Tip-Emp'!B:G,6,0)</f>
        <v>Caja</v>
      </c>
    </row>
    <row r="1486" spans="1:15" ht="27.5" hidden="1" customHeight="1" x14ac:dyDescent="0.2">
      <c r="A1486">
        <v>2025</v>
      </c>
      <c r="B1486" t="s">
        <v>617</v>
      </c>
      <c r="C1486" t="s">
        <v>609</v>
      </c>
      <c r="D1486" s="19" t="s">
        <v>284</v>
      </c>
      <c r="E1486" s="18" t="s">
        <v>106</v>
      </c>
      <c r="F1486" s="18">
        <v>74</v>
      </c>
      <c r="G1486" s="20">
        <v>656758</v>
      </c>
      <c r="H1486" s="20">
        <v>-1842</v>
      </c>
      <c r="I1486" s="20">
        <v>232286</v>
      </c>
      <c r="J1486" s="8">
        <f t="shared" si="69"/>
        <v>424472</v>
      </c>
      <c r="K1486" s="10">
        <f t="shared" si="70"/>
        <v>0.64631416747112336</v>
      </c>
      <c r="L1486" s="17">
        <f t="shared" si="71"/>
        <v>2.8046860487424591E-3</v>
      </c>
      <c r="M1486" t="str">
        <f>VLOOKUP(D1486,'Jer-Tip-Emp'!B:E,4,0)</f>
        <v>Entradas</v>
      </c>
      <c r="N1486" t="str">
        <f>VLOOKUP(D1486,'Jer-Tip-Emp'!B:F,5,0)</f>
        <v>Otro</v>
      </c>
      <c r="O1486" t="str">
        <f>VLOOKUP(D1486,'Jer-Tip-Emp'!B:G,6,0)</f>
        <v>Otro</v>
      </c>
    </row>
    <row r="1487" spans="1:15" ht="27.5" customHeight="1" x14ac:dyDescent="0.2">
      <c r="A1487">
        <v>2025</v>
      </c>
      <c r="B1487" t="s">
        <v>617</v>
      </c>
      <c r="C1487" t="s">
        <v>609</v>
      </c>
      <c r="D1487" s="19" t="s">
        <v>333</v>
      </c>
      <c r="E1487" s="18" t="s">
        <v>547</v>
      </c>
      <c r="F1487" s="18">
        <v>71</v>
      </c>
      <c r="G1487" s="18">
        <v>0</v>
      </c>
      <c r="H1487" s="18">
        <v>0</v>
      </c>
      <c r="I1487" s="20">
        <v>235862</v>
      </c>
      <c r="J1487" s="8">
        <f t="shared" si="69"/>
        <v>-235862</v>
      </c>
      <c r="K1487" s="10">
        <f t="shared" si="70"/>
        <v>0</v>
      </c>
      <c r="L1487" s="17">
        <f t="shared" si="71"/>
        <v>0</v>
      </c>
      <c r="M1487" t="str">
        <f>VLOOKUP(D1487,'Jer-Tip-Emp'!B:E,4,0)</f>
        <v>Arma tu plato</v>
      </c>
      <c r="N1487" t="str">
        <f>VLOOKUP(D1487,'Jer-Tip-Emp'!B:F,5,0)</f>
        <v>Personal</v>
      </c>
      <c r="O1487" t="str">
        <f>VLOOKUP(D1487,'Jer-Tip-Emp'!B:G,6,0)</f>
        <v>Caja</v>
      </c>
    </row>
    <row r="1488" spans="1:15" ht="27.5" customHeight="1" x14ac:dyDescent="0.2">
      <c r="A1488">
        <v>2025</v>
      </c>
      <c r="B1488" t="s">
        <v>617</v>
      </c>
      <c r="C1488" t="s">
        <v>609</v>
      </c>
      <c r="D1488" s="19" t="s">
        <v>393</v>
      </c>
      <c r="E1488" s="18" t="s">
        <v>549</v>
      </c>
      <c r="F1488" s="18">
        <v>68</v>
      </c>
      <c r="G1488" s="20">
        <v>135807</v>
      </c>
      <c r="H1488" s="18">
        <v>-193</v>
      </c>
      <c r="I1488" s="20">
        <v>138380</v>
      </c>
      <c r="J1488" s="8">
        <f t="shared" si="69"/>
        <v>-2573</v>
      </c>
      <c r="K1488" s="10">
        <f t="shared" si="70"/>
        <v>-1.894600425603982E-2</v>
      </c>
      <c r="L1488" s="17">
        <f t="shared" si="71"/>
        <v>1.4211344039703404E-3</v>
      </c>
      <c r="M1488" t="str">
        <f>VLOOKUP(D1488,'Jer-Tip-Emp'!B:E,4,0)</f>
        <v>Arma tu plato</v>
      </c>
      <c r="N1488" t="str">
        <f>VLOOKUP(D1488,'Jer-Tip-Emp'!B:F,5,0)</f>
        <v>Personal</v>
      </c>
      <c r="O1488" t="str">
        <f>VLOOKUP(D1488,'Jer-Tip-Emp'!B:G,6,0)</f>
        <v>Caja</v>
      </c>
    </row>
    <row r="1489" spans="1:15" ht="27.5" customHeight="1" x14ac:dyDescent="0.2">
      <c r="A1489">
        <v>2025</v>
      </c>
      <c r="B1489" t="s">
        <v>617</v>
      </c>
      <c r="C1489" t="s">
        <v>609</v>
      </c>
      <c r="D1489" s="19" t="s">
        <v>322</v>
      </c>
      <c r="E1489" s="18" t="s">
        <v>545</v>
      </c>
      <c r="F1489" s="18">
        <v>65</v>
      </c>
      <c r="G1489" s="20">
        <v>128000</v>
      </c>
      <c r="H1489" s="20">
        <v>-2000</v>
      </c>
      <c r="I1489" s="20">
        <v>202020</v>
      </c>
      <c r="J1489" s="8">
        <f t="shared" si="69"/>
        <v>-74020</v>
      </c>
      <c r="K1489" s="10">
        <f t="shared" si="70"/>
        <v>-0.57828124999999997</v>
      </c>
      <c r="L1489" s="17">
        <f t="shared" si="71"/>
        <v>1.5625E-2</v>
      </c>
      <c r="M1489" t="str">
        <f>VLOOKUP(D1489,'Jer-Tip-Emp'!B:E,4,0)</f>
        <v>Arma tu plato</v>
      </c>
      <c r="N1489" t="str">
        <f>VLOOKUP(D1489,'Jer-Tip-Emp'!B:F,5,0)</f>
        <v>Personal</v>
      </c>
      <c r="O1489" t="str">
        <f>VLOOKUP(D1489,'Jer-Tip-Emp'!B:G,6,0)</f>
        <v>Caja</v>
      </c>
    </row>
    <row r="1490" spans="1:15" ht="27.5" customHeight="1" x14ac:dyDescent="0.2">
      <c r="A1490">
        <v>2025</v>
      </c>
      <c r="B1490" t="s">
        <v>617</v>
      </c>
      <c r="C1490" t="s">
        <v>609</v>
      </c>
      <c r="D1490" s="19" t="s">
        <v>186</v>
      </c>
      <c r="E1490" s="18" t="s">
        <v>95</v>
      </c>
      <c r="F1490" s="18">
        <v>60</v>
      </c>
      <c r="G1490" s="20">
        <v>1734000</v>
      </c>
      <c r="H1490" s="18">
        <v>0</v>
      </c>
      <c r="I1490" s="20">
        <v>574200</v>
      </c>
      <c r="J1490" s="8">
        <f t="shared" si="69"/>
        <v>1159800</v>
      </c>
      <c r="K1490" s="10">
        <f t="shared" si="70"/>
        <v>0.66885813148788931</v>
      </c>
      <c r="L1490" s="17">
        <f t="shared" si="71"/>
        <v>0</v>
      </c>
      <c r="M1490" t="str">
        <f>VLOOKUP(D1490,'Jer-Tip-Emp'!B:E,4,0)</f>
        <v>Combos personales</v>
      </c>
      <c r="N1490" t="str">
        <f>VLOOKUP(D1490,'Jer-Tip-Emp'!B:F,5,0)</f>
        <v>Personal</v>
      </c>
      <c r="O1490" t="str">
        <f>VLOOKUP(D1490,'Jer-Tip-Emp'!B:G,6,0)</f>
        <v>Combo</v>
      </c>
    </row>
    <row r="1491" spans="1:15" ht="27.5" hidden="1" customHeight="1" x14ac:dyDescent="0.2">
      <c r="A1491">
        <v>2025</v>
      </c>
      <c r="B1491" t="s">
        <v>617</v>
      </c>
      <c r="C1491" t="s">
        <v>609</v>
      </c>
      <c r="D1491" s="19" t="s">
        <v>310</v>
      </c>
      <c r="E1491" s="18" t="s">
        <v>53</v>
      </c>
      <c r="F1491" s="18">
        <v>54</v>
      </c>
      <c r="G1491" s="20">
        <v>318600</v>
      </c>
      <c r="H1491" s="18">
        <v>0</v>
      </c>
      <c r="I1491" s="20">
        <v>91530</v>
      </c>
      <c r="J1491" s="8">
        <f t="shared" si="69"/>
        <v>227070</v>
      </c>
      <c r="K1491" s="10">
        <f t="shared" si="70"/>
        <v>0.71271186440677969</v>
      </c>
      <c r="L1491" s="17">
        <f t="shared" si="71"/>
        <v>0</v>
      </c>
      <c r="M1491" t="str">
        <f>VLOOKUP(D1491,'Jer-Tip-Emp'!B:E,4,0)</f>
        <v>Bebidas</v>
      </c>
      <c r="N1491" t="str">
        <f>VLOOKUP(D1491,'Jer-Tip-Emp'!B:F,5,0)</f>
        <v>Bebidas</v>
      </c>
      <c r="O1491" t="str">
        <f>VLOOKUP(D1491,'Jer-Tip-Emp'!B:G,6,0)</f>
        <v>Bebidas</v>
      </c>
    </row>
    <row r="1492" spans="1:15" ht="27.5" hidden="1" customHeight="1" x14ac:dyDescent="0.2">
      <c r="A1492">
        <v>2025</v>
      </c>
      <c r="B1492" t="s">
        <v>617</v>
      </c>
      <c r="C1492" t="s">
        <v>609</v>
      </c>
      <c r="D1492" s="19" t="s">
        <v>176</v>
      </c>
      <c r="E1492" s="18" t="s">
        <v>544</v>
      </c>
      <c r="F1492" s="18">
        <v>51</v>
      </c>
      <c r="G1492" s="20">
        <v>50904</v>
      </c>
      <c r="H1492" s="18">
        <v>-96</v>
      </c>
      <c r="I1492" s="20">
        <v>99195</v>
      </c>
      <c r="J1492" s="8">
        <f t="shared" si="69"/>
        <v>-48291</v>
      </c>
      <c r="K1492" s="10">
        <f t="shared" si="70"/>
        <v>-0.94866808109382372</v>
      </c>
      <c r="L1492" s="17">
        <f t="shared" si="71"/>
        <v>1.8859028760018859E-3</v>
      </c>
      <c r="M1492" t="str">
        <f>VLOOKUP(D1492,'Jer-Tip-Emp'!B:E,4,0)</f>
        <v>Bebidas</v>
      </c>
      <c r="N1492" t="str">
        <f>VLOOKUP(D1492,'Jer-Tip-Emp'!B:F,5,0)</f>
        <v>Bebidas Cambio de bebida</v>
      </c>
      <c r="O1492" t="str">
        <f>VLOOKUP(D1492,'Jer-Tip-Emp'!B:G,6,0)</f>
        <v>Bebidas</v>
      </c>
    </row>
    <row r="1493" spans="1:15" ht="27.5" customHeight="1" x14ac:dyDescent="0.2">
      <c r="A1493">
        <v>2025</v>
      </c>
      <c r="B1493" t="s">
        <v>617</v>
      </c>
      <c r="C1493" t="s">
        <v>609</v>
      </c>
      <c r="D1493" s="19" t="s">
        <v>212</v>
      </c>
      <c r="E1493" s="18" t="s">
        <v>160</v>
      </c>
      <c r="F1493" s="18">
        <v>48</v>
      </c>
      <c r="G1493" s="20">
        <v>1387200</v>
      </c>
      <c r="H1493" s="18">
        <v>0</v>
      </c>
      <c r="I1493" s="20">
        <v>540144</v>
      </c>
      <c r="J1493" s="8">
        <f t="shared" si="69"/>
        <v>847056</v>
      </c>
      <c r="K1493" s="10">
        <f t="shared" si="70"/>
        <v>0.61062283737024226</v>
      </c>
      <c r="L1493" s="17">
        <f t="shared" si="71"/>
        <v>0</v>
      </c>
      <c r="M1493" t="str">
        <f>VLOOKUP(D1493,'Jer-Tip-Emp'!B:E,4,0)</f>
        <v>Combos personales</v>
      </c>
      <c r="N1493" t="str">
        <f>VLOOKUP(D1493,'Jer-Tip-Emp'!B:F,5,0)</f>
        <v>Personal</v>
      </c>
      <c r="O1493" t="str">
        <f>VLOOKUP(D1493,'Jer-Tip-Emp'!B:G,6,0)</f>
        <v>Combo</v>
      </c>
    </row>
    <row r="1494" spans="1:15" ht="27.5" customHeight="1" x14ac:dyDescent="0.2">
      <c r="A1494">
        <v>2025</v>
      </c>
      <c r="B1494" t="s">
        <v>617</v>
      </c>
      <c r="C1494" t="s">
        <v>609</v>
      </c>
      <c r="D1494" s="19" t="s">
        <v>354</v>
      </c>
      <c r="E1494" s="18" t="s">
        <v>548</v>
      </c>
      <c r="F1494" s="18">
        <v>48</v>
      </c>
      <c r="G1494" s="18">
        <v>0</v>
      </c>
      <c r="H1494" s="18">
        <v>0</v>
      </c>
      <c r="I1494" s="20">
        <v>126432</v>
      </c>
      <c r="J1494" s="8">
        <f t="shared" si="69"/>
        <v>-126432</v>
      </c>
      <c r="K1494" s="10">
        <f t="shared" si="70"/>
        <v>0</v>
      </c>
      <c r="L1494" s="17">
        <f t="shared" si="71"/>
        <v>0</v>
      </c>
      <c r="M1494" t="str">
        <f>VLOOKUP(D1494,'Jer-Tip-Emp'!B:E,4,0)</f>
        <v>Arma tu plato</v>
      </c>
      <c r="N1494" t="str">
        <f>VLOOKUP(D1494,'Jer-Tip-Emp'!B:F,5,0)</f>
        <v>Personal</v>
      </c>
      <c r="O1494" t="str">
        <f>VLOOKUP(D1494,'Jer-Tip-Emp'!B:G,6,0)</f>
        <v>Caja</v>
      </c>
    </row>
    <row r="1495" spans="1:15" ht="27.5" hidden="1" customHeight="1" x14ac:dyDescent="0.2">
      <c r="A1495">
        <v>2025</v>
      </c>
      <c r="B1495" t="s">
        <v>617</v>
      </c>
      <c r="C1495" t="s">
        <v>609</v>
      </c>
      <c r="D1495" s="19" t="s">
        <v>500</v>
      </c>
      <c r="E1495" s="18" t="s">
        <v>546</v>
      </c>
      <c r="F1495" s="18">
        <v>47</v>
      </c>
      <c r="G1495" s="18">
        <v>0</v>
      </c>
      <c r="H1495" s="18">
        <v>0</v>
      </c>
      <c r="I1495" s="20">
        <v>40796</v>
      </c>
      <c r="J1495" s="8">
        <f t="shared" si="69"/>
        <v>-40796</v>
      </c>
      <c r="K1495" s="10">
        <f t="shared" si="70"/>
        <v>0</v>
      </c>
      <c r="L1495" s="17">
        <f t="shared" si="71"/>
        <v>0</v>
      </c>
      <c r="M1495" t="str">
        <f>VLOOKUP(D1495,'Jer-Tip-Emp'!B:E,4,0)</f>
        <v>Bebidas</v>
      </c>
      <c r="N1495" t="str">
        <f>VLOOKUP(D1495,'Jer-Tip-Emp'!B:F,5,0)</f>
        <v>Bebidas Cambio de bebida</v>
      </c>
      <c r="O1495" t="str">
        <f>VLOOKUP(D1495,'Jer-Tip-Emp'!B:G,6,0)</f>
        <v>Bebidas</v>
      </c>
    </row>
    <row r="1496" spans="1:15" ht="27.5" hidden="1" customHeight="1" x14ac:dyDescent="0.2">
      <c r="A1496">
        <v>2025</v>
      </c>
      <c r="B1496" t="s">
        <v>617</v>
      </c>
      <c r="C1496" t="s">
        <v>609</v>
      </c>
      <c r="D1496" s="19" t="s">
        <v>327</v>
      </c>
      <c r="E1496" s="18" t="s">
        <v>44</v>
      </c>
      <c r="F1496" s="18">
        <v>46</v>
      </c>
      <c r="G1496" s="20">
        <v>225400</v>
      </c>
      <c r="H1496" s="18">
        <v>0</v>
      </c>
      <c r="I1496" s="20">
        <v>50370</v>
      </c>
      <c r="J1496" s="8">
        <f t="shared" si="69"/>
        <v>175030</v>
      </c>
      <c r="K1496" s="10">
        <f t="shared" si="70"/>
        <v>0.77653061224489794</v>
      </c>
      <c r="L1496" s="17">
        <f t="shared" si="71"/>
        <v>0</v>
      </c>
      <c r="M1496" t="str">
        <f>VLOOKUP(D1496,'Jer-Tip-Emp'!B:E,4,0)</f>
        <v>Bebidas</v>
      </c>
      <c r="N1496" t="str">
        <f>VLOOKUP(D1496,'Jer-Tip-Emp'!B:F,5,0)</f>
        <v>Bebidas</v>
      </c>
      <c r="O1496" t="str">
        <f>VLOOKUP(D1496,'Jer-Tip-Emp'!B:G,6,0)</f>
        <v>Bebidas</v>
      </c>
    </row>
    <row r="1497" spans="1:15" ht="27.5" customHeight="1" x14ac:dyDescent="0.2">
      <c r="A1497">
        <v>2025</v>
      </c>
      <c r="B1497" t="s">
        <v>617</v>
      </c>
      <c r="C1497" t="s">
        <v>609</v>
      </c>
      <c r="D1497" s="19" t="s">
        <v>376</v>
      </c>
      <c r="E1497" s="18" t="s">
        <v>543</v>
      </c>
      <c r="F1497" s="18">
        <v>42</v>
      </c>
      <c r="G1497" s="18">
        <v>0</v>
      </c>
      <c r="H1497" s="18">
        <v>0</v>
      </c>
      <c r="I1497" s="20">
        <v>53844</v>
      </c>
      <c r="J1497" s="8">
        <f t="shared" si="69"/>
        <v>-53844</v>
      </c>
      <c r="K1497" s="10">
        <f t="shared" si="70"/>
        <v>0</v>
      </c>
      <c r="L1497" s="17">
        <f t="shared" si="71"/>
        <v>0</v>
      </c>
      <c r="M1497" t="str">
        <f>VLOOKUP(D1497,'Jer-Tip-Emp'!B:E,4,0)</f>
        <v>Arma tu plato</v>
      </c>
      <c r="N1497" t="str">
        <f>VLOOKUP(D1497,'Jer-Tip-Emp'!B:F,5,0)</f>
        <v>Personal</v>
      </c>
      <c r="O1497" t="str">
        <f>VLOOKUP(D1497,'Jer-Tip-Emp'!B:G,6,0)</f>
        <v>Caja</v>
      </c>
    </row>
    <row r="1498" spans="1:15" ht="27.5" customHeight="1" x14ac:dyDescent="0.2">
      <c r="A1498">
        <v>2025</v>
      </c>
      <c r="B1498" t="s">
        <v>617</v>
      </c>
      <c r="C1498" t="s">
        <v>609</v>
      </c>
      <c r="D1498" s="19" t="s">
        <v>470</v>
      </c>
      <c r="E1498" s="18" t="s">
        <v>550</v>
      </c>
      <c r="F1498" s="18">
        <v>42</v>
      </c>
      <c r="G1498" s="18">
        <v>0</v>
      </c>
      <c r="H1498" s="18">
        <v>0</v>
      </c>
      <c r="I1498" s="20">
        <v>130074</v>
      </c>
      <c r="J1498" s="8">
        <f t="shared" si="69"/>
        <v>-130074</v>
      </c>
      <c r="K1498" s="10">
        <f t="shared" si="70"/>
        <v>0</v>
      </c>
      <c r="L1498" s="17">
        <f t="shared" si="71"/>
        <v>0</v>
      </c>
      <c r="M1498" t="str">
        <f>VLOOKUP(D1498,'Jer-Tip-Emp'!B:E,4,0)</f>
        <v>Arma tu plato</v>
      </c>
      <c r="N1498" t="str">
        <f>VLOOKUP(D1498,'Jer-Tip-Emp'!B:F,5,0)</f>
        <v>Personal</v>
      </c>
      <c r="O1498" t="str">
        <f>VLOOKUP(D1498,'Jer-Tip-Emp'!B:G,6,0)</f>
        <v>Caja</v>
      </c>
    </row>
    <row r="1499" spans="1:15" ht="27.5" customHeight="1" x14ac:dyDescent="0.2">
      <c r="A1499">
        <v>2025</v>
      </c>
      <c r="B1499" t="s">
        <v>617</v>
      </c>
      <c r="C1499" t="s">
        <v>609</v>
      </c>
      <c r="D1499" s="19" t="s">
        <v>223</v>
      </c>
      <c r="E1499" s="18" t="s">
        <v>116</v>
      </c>
      <c r="F1499" s="18">
        <v>38</v>
      </c>
      <c r="G1499" s="20">
        <v>1022200</v>
      </c>
      <c r="H1499" s="18">
        <v>0</v>
      </c>
      <c r="I1499" s="20">
        <v>518244</v>
      </c>
      <c r="J1499" s="8">
        <f t="shared" si="69"/>
        <v>503956</v>
      </c>
      <c r="K1499" s="10">
        <f t="shared" si="70"/>
        <v>0.4930111524163569</v>
      </c>
      <c r="L1499" s="17">
        <f t="shared" si="71"/>
        <v>0</v>
      </c>
      <c r="M1499" t="str">
        <f>VLOOKUP(D1499,'Jer-Tip-Emp'!B:E,4,0)</f>
        <v>Platos especiales</v>
      </c>
      <c r="N1499" t="str">
        <f>VLOOKUP(D1499,'Jer-Tip-Emp'!B:F,5,0)</f>
        <v>Personal</v>
      </c>
      <c r="O1499" t="str">
        <f>VLOOKUP(D1499,'Jer-Tip-Emp'!B:G,6,0)</f>
        <v>Platos especiales</v>
      </c>
    </row>
    <row r="1500" spans="1:15" ht="27.5" hidden="1" customHeight="1" x14ac:dyDescent="0.2">
      <c r="A1500">
        <v>2025</v>
      </c>
      <c r="B1500" t="s">
        <v>617</v>
      </c>
      <c r="C1500" t="s">
        <v>609</v>
      </c>
      <c r="D1500" s="19" t="s">
        <v>268</v>
      </c>
      <c r="E1500" s="18" t="s">
        <v>17</v>
      </c>
      <c r="F1500" s="18">
        <v>31</v>
      </c>
      <c r="G1500" s="20">
        <v>163013</v>
      </c>
      <c r="H1500" s="20">
        <v>-19887</v>
      </c>
      <c r="I1500" s="20">
        <v>39742</v>
      </c>
      <c r="J1500" s="8">
        <f t="shared" si="69"/>
        <v>123271</v>
      </c>
      <c r="K1500" s="10">
        <f t="shared" si="70"/>
        <v>0.75620349297295308</v>
      </c>
      <c r="L1500" s="17">
        <f t="shared" si="71"/>
        <v>0.12199640519467772</v>
      </c>
      <c r="M1500" t="str">
        <f>VLOOKUP(D1500,'Jer-Tip-Emp'!B:E,4,0)</f>
        <v>Adición</v>
      </c>
      <c r="N1500" t="str">
        <f>VLOOKUP(D1500,'Jer-Tip-Emp'!B:F,5,0)</f>
        <v>Adición</v>
      </c>
      <c r="O1500" t="str">
        <f>VLOOKUP(D1500,'Jer-Tip-Emp'!B:G,6,0)</f>
        <v>Adición</v>
      </c>
    </row>
    <row r="1501" spans="1:15" ht="27.5" customHeight="1" x14ac:dyDescent="0.2">
      <c r="A1501">
        <v>2025</v>
      </c>
      <c r="B1501" t="s">
        <v>617</v>
      </c>
      <c r="C1501" t="s">
        <v>609</v>
      </c>
      <c r="D1501" s="19" t="s">
        <v>448</v>
      </c>
      <c r="E1501" s="18" t="s">
        <v>552</v>
      </c>
      <c r="F1501" s="18">
        <v>29</v>
      </c>
      <c r="G1501" s="18">
        <v>0</v>
      </c>
      <c r="H1501" s="18">
        <v>0</v>
      </c>
      <c r="I1501" s="20">
        <v>152627</v>
      </c>
      <c r="J1501" s="8">
        <f t="shared" si="69"/>
        <v>-152627</v>
      </c>
      <c r="K1501" s="10">
        <f t="shared" si="70"/>
        <v>0</v>
      </c>
      <c r="L1501" s="17">
        <f t="shared" si="71"/>
        <v>0</v>
      </c>
      <c r="M1501" t="str">
        <f>VLOOKUP(D1501,'Jer-Tip-Emp'!B:E,4,0)</f>
        <v>Arma tu plato</v>
      </c>
      <c r="N1501" t="str">
        <f>VLOOKUP(D1501,'Jer-Tip-Emp'!B:F,5,0)</f>
        <v>Personal</v>
      </c>
      <c r="O1501" t="str">
        <f>VLOOKUP(D1501,'Jer-Tip-Emp'!B:G,6,0)</f>
        <v>Caja</v>
      </c>
    </row>
    <row r="1502" spans="1:15" ht="27.5" customHeight="1" x14ac:dyDescent="0.2">
      <c r="A1502">
        <v>2025</v>
      </c>
      <c r="B1502" t="s">
        <v>617</v>
      </c>
      <c r="C1502" t="s">
        <v>609</v>
      </c>
      <c r="D1502" s="19" t="s">
        <v>474</v>
      </c>
      <c r="E1502" s="18" t="s">
        <v>553</v>
      </c>
      <c r="F1502" s="18">
        <v>25</v>
      </c>
      <c r="G1502" s="18">
        <v>0</v>
      </c>
      <c r="H1502" s="18">
        <v>0</v>
      </c>
      <c r="I1502" s="20">
        <v>71225</v>
      </c>
      <c r="J1502" s="8">
        <f t="shared" si="69"/>
        <v>-71225</v>
      </c>
      <c r="K1502" s="10">
        <f t="shared" si="70"/>
        <v>0</v>
      </c>
      <c r="L1502" s="17">
        <f t="shared" si="71"/>
        <v>0</v>
      </c>
      <c r="M1502" t="str">
        <f>VLOOKUP(D1502,'Jer-Tip-Emp'!B:E,4,0)</f>
        <v>Arma tu plato</v>
      </c>
      <c r="N1502" t="str">
        <f>VLOOKUP(D1502,'Jer-Tip-Emp'!B:F,5,0)</f>
        <v>Personal</v>
      </c>
      <c r="O1502" t="str">
        <f>VLOOKUP(D1502,'Jer-Tip-Emp'!B:G,6,0)</f>
        <v>Caja</v>
      </c>
    </row>
    <row r="1503" spans="1:15" ht="27.5" hidden="1" customHeight="1" x14ac:dyDescent="0.2">
      <c r="A1503">
        <v>2025</v>
      </c>
      <c r="B1503" t="s">
        <v>617</v>
      </c>
      <c r="C1503" t="s">
        <v>609</v>
      </c>
      <c r="D1503" s="19" t="s">
        <v>351</v>
      </c>
      <c r="E1503" s="18" t="s">
        <v>55</v>
      </c>
      <c r="F1503" s="18">
        <v>21</v>
      </c>
      <c r="G1503" s="20">
        <v>113781</v>
      </c>
      <c r="H1503" s="20">
        <v>-10119</v>
      </c>
      <c r="I1503" s="20">
        <v>30408</v>
      </c>
      <c r="J1503" s="8">
        <f t="shared" si="69"/>
        <v>83373</v>
      </c>
      <c r="K1503" s="10">
        <f t="shared" si="70"/>
        <v>0.7327497561104227</v>
      </c>
      <c r="L1503" s="17">
        <f t="shared" si="71"/>
        <v>8.8934004798692221E-2</v>
      </c>
      <c r="M1503" t="str">
        <f>VLOOKUP(D1503,'Jer-Tip-Emp'!B:E,4,0)</f>
        <v>Bebidas</v>
      </c>
      <c r="N1503" t="str">
        <f>VLOOKUP(D1503,'Jer-Tip-Emp'!B:F,5,0)</f>
        <v>Bebidas</v>
      </c>
      <c r="O1503" t="str">
        <f>VLOOKUP(D1503,'Jer-Tip-Emp'!B:G,6,0)</f>
        <v>Bebidas</v>
      </c>
    </row>
    <row r="1504" spans="1:15" ht="27.5" customHeight="1" x14ac:dyDescent="0.2">
      <c r="A1504">
        <v>2025</v>
      </c>
      <c r="B1504" t="s">
        <v>617</v>
      </c>
      <c r="C1504" t="s">
        <v>609</v>
      </c>
      <c r="D1504" s="19" t="s">
        <v>224</v>
      </c>
      <c r="E1504" s="18" t="s">
        <v>114</v>
      </c>
      <c r="F1504" s="18">
        <v>21</v>
      </c>
      <c r="G1504" s="20">
        <v>522900</v>
      </c>
      <c r="H1504" s="18">
        <v>0</v>
      </c>
      <c r="I1504" s="20">
        <v>267078</v>
      </c>
      <c r="J1504" s="8">
        <f t="shared" si="69"/>
        <v>255822</v>
      </c>
      <c r="K1504" s="10">
        <f t="shared" si="70"/>
        <v>0.48923694779116467</v>
      </c>
      <c r="L1504" s="17">
        <f t="shared" si="71"/>
        <v>0</v>
      </c>
      <c r="M1504" t="str">
        <f>VLOOKUP(D1504,'Jer-Tip-Emp'!B:E,4,0)</f>
        <v>Platos especiales</v>
      </c>
      <c r="N1504" t="str">
        <f>VLOOKUP(D1504,'Jer-Tip-Emp'!B:F,5,0)</f>
        <v>Personal</v>
      </c>
      <c r="O1504" t="str">
        <f>VLOOKUP(D1504,'Jer-Tip-Emp'!B:G,6,0)</f>
        <v>Platos especiales</v>
      </c>
    </row>
    <row r="1505" spans="1:15" ht="27.5" hidden="1" customHeight="1" x14ac:dyDescent="0.2">
      <c r="A1505">
        <v>2025</v>
      </c>
      <c r="B1505" t="s">
        <v>617</v>
      </c>
      <c r="C1505" t="s">
        <v>609</v>
      </c>
      <c r="D1505" s="19" t="s">
        <v>364</v>
      </c>
      <c r="E1505" s="18" t="s">
        <v>51</v>
      </c>
      <c r="F1505" s="18">
        <v>21</v>
      </c>
      <c r="G1505" s="20">
        <v>81900</v>
      </c>
      <c r="H1505" s="18">
        <v>0</v>
      </c>
      <c r="I1505" s="20">
        <v>27111</v>
      </c>
      <c r="J1505" s="8">
        <f t="shared" si="69"/>
        <v>54789</v>
      </c>
      <c r="K1505" s="10">
        <f t="shared" si="70"/>
        <v>0.66897435897435897</v>
      </c>
      <c r="L1505" s="17">
        <f t="shared" si="71"/>
        <v>0</v>
      </c>
      <c r="M1505" t="str">
        <f>VLOOKUP(D1505,'Jer-Tip-Emp'!B:E,4,0)</f>
        <v>Bebidas</v>
      </c>
      <c r="N1505" t="str">
        <f>VLOOKUP(D1505,'Jer-Tip-Emp'!B:F,5,0)</f>
        <v>Bebidas</v>
      </c>
      <c r="O1505" t="str">
        <f>VLOOKUP(D1505,'Jer-Tip-Emp'!B:G,6,0)</f>
        <v>Bebidas</v>
      </c>
    </row>
    <row r="1506" spans="1:15" ht="27.5" customHeight="1" x14ac:dyDescent="0.2">
      <c r="A1506">
        <v>2025</v>
      </c>
      <c r="B1506" t="s">
        <v>617</v>
      </c>
      <c r="C1506" t="s">
        <v>609</v>
      </c>
      <c r="D1506" s="19" t="s">
        <v>245</v>
      </c>
      <c r="E1506" s="18" t="s">
        <v>167</v>
      </c>
      <c r="F1506" s="18">
        <v>21</v>
      </c>
      <c r="G1506" s="20">
        <v>396096</v>
      </c>
      <c r="H1506" s="20">
        <v>-21804</v>
      </c>
      <c r="I1506" s="18">
        <v>0</v>
      </c>
      <c r="J1506" s="8">
        <f t="shared" si="69"/>
        <v>396096</v>
      </c>
      <c r="K1506" s="10">
        <f t="shared" si="70"/>
        <v>1</v>
      </c>
      <c r="L1506" s="17">
        <f t="shared" si="71"/>
        <v>5.5047261269995151E-2</v>
      </c>
      <c r="M1506" t="str">
        <f>VLOOKUP(D1506,'Jer-Tip-Emp'!B:E,4,0)</f>
        <v>Mong Express</v>
      </c>
      <c r="N1506" t="str">
        <f>VLOOKUP(D1506,'Jer-Tip-Emp'!B:F,5,0)</f>
        <v>Personal</v>
      </c>
      <c r="O1506" t="str">
        <f>VLOOKUP(D1506,'Jer-Tip-Emp'!B:G,6,0)</f>
        <v>Caja</v>
      </c>
    </row>
    <row r="1507" spans="1:15" ht="27.5" customHeight="1" x14ac:dyDescent="0.2">
      <c r="A1507">
        <v>2025</v>
      </c>
      <c r="B1507" t="s">
        <v>617</v>
      </c>
      <c r="C1507" t="s">
        <v>609</v>
      </c>
      <c r="D1507" s="19" t="s">
        <v>246</v>
      </c>
      <c r="E1507" s="18" t="s">
        <v>29</v>
      </c>
      <c r="F1507" s="18">
        <v>20</v>
      </c>
      <c r="G1507" s="20">
        <v>158000</v>
      </c>
      <c r="H1507" s="18">
        <v>0</v>
      </c>
      <c r="I1507" s="18">
        <v>0</v>
      </c>
      <c r="J1507" s="8">
        <f t="shared" si="69"/>
        <v>158000</v>
      </c>
      <c r="K1507" s="10">
        <f t="shared" si="70"/>
        <v>1</v>
      </c>
      <c r="L1507" s="17">
        <f t="shared" si="71"/>
        <v>0</v>
      </c>
      <c r="M1507" t="str">
        <f>VLOOKUP(D1507,'Jer-Tip-Emp'!B:E,4,0)</f>
        <v>Armalo en combo</v>
      </c>
      <c r="N1507" t="str">
        <f>VLOOKUP(D1507,'Jer-Tip-Emp'!B:F,5,0)</f>
        <v>Personal</v>
      </c>
      <c r="O1507" t="str">
        <f>VLOOKUP(D1507,'Jer-Tip-Emp'!B:G,6,0)</f>
        <v>Combo</v>
      </c>
    </row>
    <row r="1508" spans="1:15" ht="27.5" hidden="1" customHeight="1" x14ac:dyDescent="0.2">
      <c r="A1508">
        <v>2025</v>
      </c>
      <c r="B1508" t="s">
        <v>617</v>
      </c>
      <c r="C1508" t="s">
        <v>609</v>
      </c>
      <c r="D1508" s="19" t="s">
        <v>309</v>
      </c>
      <c r="E1508" s="18" t="s">
        <v>48</v>
      </c>
      <c r="F1508" s="18">
        <v>20</v>
      </c>
      <c r="G1508" s="20">
        <v>72422</v>
      </c>
      <c r="H1508" s="20">
        <v>-5578</v>
      </c>
      <c r="I1508" s="20">
        <v>23260</v>
      </c>
      <c r="J1508" s="8">
        <f t="shared" si="69"/>
        <v>49162</v>
      </c>
      <c r="K1508" s="10">
        <f t="shared" si="70"/>
        <v>0.67882687581121759</v>
      </c>
      <c r="L1508" s="17">
        <f t="shared" si="71"/>
        <v>7.7020794786114719E-2</v>
      </c>
      <c r="M1508" t="str">
        <f>VLOOKUP(D1508,'Jer-Tip-Emp'!B:E,4,0)</f>
        <v>Bebidas</v>
      </c>
      <c r="N1508" t="str">
        <f>VLOOKUP(D1508,'Jer-Tip-Emp'!B:F,5,0)</f>
        <v>Bebidas</v>
      </c>
      <c r="O1508" t="str">
        <f>VLOOKUP(D1508,'Jer-Tip-Emp'!B:G,6,0)</f>
        <v>Bebidas</v>
      </c>
    </row>
    <row r="1509" spans="1:15" ht="27.5" customHeight="1" x14ac:dyDescent="0.2">
      <c r="A1509">
        <v>2025</v>
      </c>
      <c r="B1509" t="s">
        <v>617</v>
      </c>
      <c r="C1509" t="s">
        <v>609</v>
      </c>
      <c r="D1509" s="19" t="s">
        <v>295</v>
      </c>
      <c r="E1509" s="18" t="s">
        <v>110</v>
      </c>
      <c r="F1509" s="18">
        <v>19</v>
      </c>
      <c r="G1509" s="20">
        <v>354976</v>
      </c>
      <c r="H1509" s="20">
        <v>-23124</v>
      </c>
      <c r="I1509" s="20">
        <v>128592</v>
      </c>
      <c r="J1509" s="8">
        <f t="shared" si="69"/>
        <v>226384</v>
      </c>
      <c r="K1509" s="10">
        <f t="shared" si="70"/>
        <v>0.6377445235734247</v>
      </c>
      <c r="L1509" s="17">
        <f t="shared" si="71"/>
        <v>6.5142432164428013E-2</v>
      </c>
      <c r="M1509" t="str">
        <f>VLOOKUP(D1509,'Jer-Tip-Emp'!B:E,4,0)</f>
        <v>Platos mong</v>
      </c>
      <c r="N1509" t="str">
        <f>VLOOKUP(D1509,'Jer-Tip-Emp'!B:F,5,0)</f>
        <v>Personal</v>
      </c>
      <c r="O1509" t="str">
        <f>VLOOKUP(D1509,'Jer-Tip-Emp'!B:G,6,0)</f>
        <v>Caja</v>
      </c>
    </row>
    <row r="1510" spans="1:15" ht="27.5" hidden="1" customHeight="1" x14ac:dyDescent="0.2">
      <c r="A1510">
        <v>2025</v>
      </c>
      <c r="B1510" t="s">
        <v>617</v>
      </c>
      <c r="C1510" t="s">
        <v>609</v>
      </c>
      <c r="D1510" s="19" t="s">
        <v>382</v>
      </c>
      <c r="E1510" s="18" t="s">
        <v>42</v>
      </c>
      <c r="F1510" s="18">
        <v>18</v>
      </c>
      <c r="G1510" s="20">
        <v>88200</v>
      </c>
      <c r="H1510" s="18">
        <v>0</v>
      </c>
      <c r="I1510" s="20">
        <v>24714</v>
      </c>
      <c r="J1510" s="8">
        <f t="shared" si="69"/>
        <v>63486</v>
      </c>
      <c r="K1510" s="10">
        <f t="shared" si="70"/>
        <v>0.71979591836734691</v>
      </c>
      <c r="L1510" s="17">
        <f t="shared" si="71"/>
        <v>0</v>
      </c>
      <c r="M1510" t="str">
        <f>VLOOKUP(D1510,'Jer-Tip-Emp'!B:E,4,0)</f>
        <v>Bebidas</v>
      </c>
      <c r="N1510" t="str">
        <f>VLOOKUP(D1510,'Jer-Tip-Emp'!B:F,5,0)</f>
        <v>Bebidas</v>
      </c>
      <c r="O1510" t="str">
        <f>VLOOKUP(D1510,'Jer-Tip-Emp'!B:G,6,0)</f>
        <v>Bebidas</v>
      </c>
    </row>
    <row r="1511" spans="1:15" ht="27.5" customHeight="1" x14ac:dyDescent="0.2">
      <c r="A1511">
        <v>2025</v>
      </c>
      <c r="B1511" t="s">
        <v>617</v>
      </c>
      <c r="C1511" t="s">
        <v>609</v>
      </c>
      <c r="D1511" s="19" t="s">
        <v>206</v>
      </c>
      <c r="E1511" s="18" t="s">
        <v>117</v>
      </c>
      <c r="F1511" s="18">
        <v>18</v>
      </c>
      <c r="G1511" s="20">
        <v>287300</v>
      </c>
      <c r="H1511" s="20">
        <v>-16900</v>
      </c>
      <c r="I1511" s="20">
        <v>128250</v>
      </c>
      <c r="J1511" s="8">
        <f t="shared" si="69"/>
        <v>159050</v>
      </c>
      <c r="K1511" s="10">
        <f t="shared" si="70"/>
        <v>0.55360250609119388</v>
      </c>
      <c r="L1511" s="17">
        <f t="shared" si="71"/>
        <v>5.8823529411764705E-2</v>
      </c>
      <c r="M1511" t="str">
        <f>VLOOKUP(D1511,'Jer-Tip-Emp'!B:E,4,0)</f>
        <v>Platos especiales</v>
      </c>
      <c r="N1511" t="str">
        <f>VLOOKUP(D1511,'Jer-Tip-Emp'!B:F,5,0)</f>
        <v>Personal</v>
      </c>
      <c r="O1511" t="str">
        <f>VLOOKUP(D1511,'Jer-Tip-Emp'!B:G,6,0)</f>
        <v>Platos especiales</v>
      </c>
    </row>
    <row r="1512" spans="1:15" ht="27.5" customHeight="1" x14ac:dyDescent="0.2">
      <c r="A1512">
        <v>2025</v>
      </c>
      <c r="B1512" t="s">
        <v>617</v>
      </c>
      <c r="C1512" t="s">
        <v>609</v>
      </c>
      <c r="D1512" s="19" t="s">
        <v>205</v>
      </c>
      <c r="E1512" s="18" t="s">
        <v>141</v>
      </c>
      <c r="F1512" s="18">
        <v>17</v>
      </c>
      <c r="G1512" s="20">
        <v>267724</v>
      </c>
      <c r="H1512" s="20">
        <v>-2576</v>
      </c>
      <c r="I1512" s="20">
        <v>103088</v>
      </c>
      <c r="J1512" s="8">
        <f t="shared" si="69"/>
        <v>164636</v>
      </c>
      <c r="K1512" s="10">
        <f t="shared" si="70"/>
        <v>0.61494673619100271</v>
      </c>
      <c r="L1512" s="17">
        <f t="shared" si="71"/>
        <v>9.6218493672588189E-3</v>
      </c>
      <c r="M1512" t="str">
        <f>VLOOKUP(D1512,'Jer-Tip-Emp'!B:E,4,0)</f>
        <v>Platos mong</v>
      </c>
      <c r="N1512" t="str">
        <f>VLOOKUP(D1512,'Jer-Tip-Emp'!B:F,5,0)</f>
        <v>Personal</v>
      </c>
      <c r="O1512" t="str">
        <f>VLOOKUP(D1512,'Jer-Tip-Emp'!B:G,6,0)</f>
        <v>Caja</v>
      </c>
    </row>
    <row r="1513" spans="1:15" ht="27.5" hidden="1" customHeight="1" x14ac:dyDescent="0.2">
      <c r="A1513">
        <v>2025</v>
      </c>
      <c r="B1513" t="s">
        <v>617</v>
      </c>
      <c r="C1513" t="s">
        <v>609</v>
      </c>
      <c r="D1513" s="19" t="s">
        <v>330</v>
      </c>
      <c r="E1513" s="18" t="s">
        <v>38</v>
      </c>
      <c r="F1513" s="18">
        <v>17</v>
      </c>
      <c r="G1513" s="20">
        <v>83300</v>
      </c>
      <c r="H1513" s="18">
        <v>0</v>
      </c>
      <c r="I1513" s="20">
        <v>21896</v>
      </c>
      <c r="J1513" s="8">
        <f t="shared" si="69"/>
        <v>61404</v>
      </c>
      <c r="K1513" s="10">
        <f t="shared" si="70"/>
        <v>0.7371428571428571</v>
      </c>
      <c r="L1513" s="17">
        <f t="shared" si="71"/>
        <v>0</v>
      </c>
      <c r="M1513" t="str">
        <f>VLOOKUP(D1513,'Jer-Tip-Emp'!B:E,4,0)</f>
        <v>Bebidas</v>
      </c>
      <c r="N1513" t="str">
        <f>VLOOKUP(D1513,'Jer-Tip-Emp'!B:F,5,0)</f>
        <v>Bebidas</v>
      </c>
      <c r="O1513" t="str">
        <f>VLOOKUP(D1513,'Jer-Tip-Emp'!B:G,6,0)</f>
        <v>Bebidas</v>
      </c>
    </row>
    <row r="1514" spans="1:15" ht="27.5" customHeight="1" x14ac:dyDescent="0.2">
      <c r="A1514">
        <v>2025</v>
      </c>
      <c r="B1514" t="s">
        <v>617</v>
      </c>
      <c r="C1514" t="s">
        <v>609</v>
      </c>
      <c r="D1514" s="19" t="s">
        <v>294</v>
      </c>
      <c r="E1514" s="18" t="s">
        <v>108</v>
      </c>
      <c r="F1514" s="18">
        <v>17</v>
      </c>
      <c r="G1514" s="20">
        <v>334300</v>
      </c>
      <c r="H1514" s="20">
        <v>-4000</v>
      </c>
      <c r="I1514" s="20">
        <v>139111</v>
      </c>
      <c r="J1514" s="8">
        <f t="shared" si="69"/>
        <v>195189</v>
      </c>
      <c r="K1514" s="10">
        <f t="shared" si="70"/>
        <v>0.58387376607837271</v>
      </c>
      <c r="L1514" s="17">
        <f t="shared" si="71"/>
        <v>1.1965300628178284E-2</v>
      </c>
      <c r="M1514" t="str">
        <f>VLOOKUP(D1514,'Jer-Tip-Emp'!B:E,4,0)</f>
        <v>Mong Express</v>
      </c>
      <c r="N1514" t="str">
        <f>VLOOKUP(D1514,'Jer-Tip-Emp'!B:F,5,0)</f>
        <v>Personal</v>
      </c>
      <c r="O1514" t="str">
        <f>VLOOKUP(D1514,'Jer-Tip-Emp'!B:G,6,0)</f>
        <v>Caja</v>
      </c>
    </row>
    <row r="1515" spans="1:15" ht="27.5" customHeight="1" x14ac:dyDescent="0.2">
      <c r="A1515">
        <v>2025</v>
      </c>
      <c r="B1515" t="s">
        <v>617</v>
      </c>
      <c r="C1515" t="s">
        <v>609</v>
      </c>
      <c r="D1515" s="19" t="s">
        <v>219</v>
      </c>
      <c r="E1515" s="18" t="s">
        <v>111</v>
      </c>
      <c r="F1515" s="18">
        <v>17</v>
      </c>
      <c r="G1515" s="20">
        <v>457300</v>
      </c>
      <c r="H1515" s="18">
        <v>0</v>
      </c>
      <c r="I1515" s="20">
        <v>230639</v>
      </c>
      <c r="J1515" s="8">
        <f t="shared" si="69"/>
        <v>226661</v>
      </c>
      <c r="K1515" s="10">
        <f t="shared" si="70"/>
        <v>0.49565055762081783</v>
      </c>
      <c r="L1515" s="17">
        <f t="shared" si="71"/>
        <v>0</v>
      </c>
      <c r="M1515" t="str">
        <f>VLOOKUP(D1515,'Jer-Tip-Emp'!B:E,4,0)</f>
        <v>Platos especiales</v>
      </c>
      <c r="N1515" t="str">
        <f>VLOOKUP(D1515,'Jer-Tip-Emp'!B:F,5,0)</f>
        <v>Personal</v>
      </c>
      <c r="O1515" t="str">
        <f>VLOOKUP(D1515,'Jer-Tip-Emp'!B:G,6,0)</f>
        <v>Platos especiales</v>
      </c>
    </row>
    <row r="1516" spans="1:15" ht="27.5" hidden="1" customHeight="1" x14ac:dyDescent="0.2">
      <c r="A1516">
        <v>2025</v>
      </c>
      <c r="B1516" t="s">
        <v>617</v>
      </c>
      <c r="C1516" t="s">
        <v>609</v>
      </c>
      <c r="D1516" s="19" t="s">
        <v>253</v>
      </c>
      <c r="E1516" s="18" t="s">
        <v>105</v>
      </c>
      <c r="F1516" s="18">
        <v>17</v>
      </c>
      <c r="G1516" s="20">
        <v>84587</v>
      </c>
      <c r="H1516" s="18">
        <v>-413</v>
      </c>
      <c r="I1516" s="20">
        <v>26673</v>
      </c>
      <c r="J1516" s="8">
        <f t="shared" si="69"/>
        <v>57914</v>
      </c>
      <c r="K1516" s="10">
        <f t="shared" si="70"/>
        <v>0.68466785676285957</v>
      </c>
      <c r="L1516" s="17">
        <f t="shared" si="71"/>
        <v>4.8825469634813864E-3</v>
      </c>
      <c r="M1516" t="str">
        <f>VLOOKUP(D1516,'Jer-Tip-Emp'!B:E,4,0)</f>
        <v>Entradas</v>
      </c>
      <c r="N1516" t="str">
        <f>VLOOKUP(D1516,'Jer-Tip-Emp'!B:F,5,0)</f>
        <v>Otro</v>
      </c>
      <c r="O1516" t="str">
        <f>VLOOKUP(D1516,'Jer-Tip-Emp'!B:G,6,0)</f>
        <v>Otro</v>
      </c>
    </row>
    <row r="1517" spans="1:15" ht="27.5" customHeight="1" x14ac:dyDescent="0.2">
      <c r="A1517">
        <v>2025</v>
      </c>
      <c r="B1517" t="s">
        <v>617</v>
      </c>
      <c r="C1517" t="s">
        <v>609</v>
      </c>
      <c r="D1517" s="19" t="s">
        <v>297</v>
      </c>
      <c r="E1517" s="18" t="s">
        <v>131</v>
      </c>
      <c r="F1517" s="18">
        <v>15</v>
      </c>
      <c r="G1517" s="20">
        <v>283500</v>
      </c>
      <c r="H1517" s="18">
        <v>0</v>
      </c>
      <c r="I1517" s="20">
        <v>81915</v>
      </c>
      <c r="J1517" s="8">
        <f t="shared" si="69"/>
        <v>201585</v>
      </c>
      <c r="K1517" s="10">
        <f t="shared" si="70"/>
        <v>0.71105820105820106</v>
      </c>
      <c r="L1517" s="17">
        <f t="shared" si="71"/>
        <v>0</v>
      </c>
      <c r="M1517" t="str">
        <f>VLOOKUP(D1517,'Jer-Tip-Emp'!B:E,4,0)</f>
        <v>Platos mong</v>
      </c>
      <c r="N1517" t="str">
        <f>VLOOKUP(D1517,'Jer-Tip-Emp'!B:F,5,0)</f>
        <v>Personal</v>
      </c>
      <c r="O1517" t="str">
        <f>VLOOKUP(D1517,'Jer-Tip-Emp'!B:G,6,0)</f>
        <v>Caja</v>
      </c>
    </row>
    <row r="1518" spans="1:15" ht="27.5" hidden="1" customHeight="1" x14ac:dyDescent="0.2">
      <c r="A1518">
        <v>2025</v>
      </c>
      <c r="B1518" t="s">
        <v>617</v>
      </c>
      <c r="C1518" t="s">
        <v>609</v>
      </c>
      <c r="D1518" s="19" t="s">
        <v>397</v>
      </c>
      <c r="E1518" s="18" t="s">
        <v>61</v>
      </c>
      <c r="F1518" s="18">
        <v>15</v>
      </c>
      <c r="G1518" s="20">
        <v>73247</v>
      </c>
      <c r="H1518" s="18">
        <v>-253</v>
      </c>
      <c r="I1518" s="20">
        <v>28440</v>
      </c>
      <c r="J1518" s="8">
        <f t="shared" si="69"/>
        <v>44807</v>
      </c>
      <c r="K1518" s="10">
        <f t="shared" si="70"/>
        <v>0.61172471227490544</v>
      </c>
      <c r="L1518" s="17">
        <f t="shared" si="71"/>
        <v>3.4540663781451801E-3</v>
      </c>
      <c r="M1518" t="str">
        <f>VLOOKUP(D1518,'Jer-Tip-Emp'!B:E,4,0)</f>
        <v>Bebidas</v>
      </c>
      <c r="N1518" t="str">
        <f>VLOOKUP(D1518,'Jer-Tip-Emp'!B:F,5,0)</f>
        <v>Bebidas</v>
      </c>
      <c r="O1518" t="str">
        <f>VLOOKUP(D1518,'Jer-Tip-Emp'!B:G,6,0)</f>
        <v>Bebidas</v>
      </c>
    </row>
    <row r="1519" spans="1:15" ht="27.5" hidden="1" customHeight="1" x14ac:dyDescent="0.2">
      <c r="A1519">
        <v>2025</v>
      </c>
      <c r="B1519" t="s">
        <v>617</v>
      </c>
      <c r="C1519" t="s">
        <v>609</v>
      </c>
      <c r="D1519" s="19" t="s">
        <v>262</v>
      </c>
      <c r="E1519" s="18" t="s">
        <v>102</v>
      </c>
      <c r="F1519" s="18">
        <v>15</v>
      </c>
      <c r="G1519" s="20">
        <v>253500</v>
      </c>
      <c r="H1519" s="18">
        <v>0</v>
      </c>
      <c r="I1519" s="20">
        <v>93225</v>
      </c>
      <c r="J1519" s="8">
        <f t="shared" si="69"/>
        <v>160275</v>
      </c>
      <c r="K1519" s="10">
        <f t="shared" si="70"/>
        <v>0.63224852071005921</v>
      </c>
      <c r="L1519" s="17">
        <f t="shared" si="71"/>
        <v>0</v>
      </c>
      <c r="M1519" t="str">
        <f>VLOOKUP(D1519,'Jer-Tip-Emp'!B:E,4,0)</f>
        <v>Entradas</v>
      </c>
      <c r="N1519" t="str">
        <f>VLOOKUP(D1519,'Jer-Tip-Emp'!B:F,5,0)</f>
        <v>Otro</v>
      </c>
      <c r="O1519" t="str">
        <f>VLOOKUP(D1519,'Jer-Tip-Emp'!B:G,6,0)</f>
        <v>Otro</v>
      </c>
    </row>
    <row r="1520" spans="1:15" ht="27.5" hidden="1" customHeight="1" x14ac:dyDescent="0.2">
      <c r="A1520">
        <v>2025</v>
      </c>
      <c r="B1520" t="s">
        <v>617</v>
      </c>
      <c r="C1520" t="s">
        <v>609</v>
      </c>
      <c r="D1520" s="19" t="s">
        <v>408</v>
      </c>
      <c r="E1520" s="18" t="s">
        <v>35</v>
      </c>
      <c r="F1520" s="18">
        <v>15</v>
      </c>
      <c r="G1520" s="20">
        <v>49997</v>
      </c>
      <c r="H1520" s="20">
        <v>-2503</v>
      </c>
      <c r="I1520" s="20">
        <v>13020</v>
      </c>
      <c r="J1520" s="8">
        <f t="shared" si="69"/>
        <v>36977</v>
      </c>
      <c r="K1520" s="10">
        <f t="shared" si="70"/>
        <v>0.73958437506250374</v>
      </c>
      <c r="L1520" s="17">
        <f t="shared" si="71"/>
        <v>5.0063003780226815E-2</v>
      </c>
      <c r="M1520" t="str">
        <f>VLOOKUP(D1520,'Jer-Tip-Emp'!B:E,4,0)</f>
        <v>Bebidas</v>
      </c>
      <c r="N1520" t="str">
        <f>VLOOKUP(D1520,'Jer-Tip-Emp'!B:F,5,0)</f>
        <v>Bebidas</v>
      </c>
      <c r="O1520" t="str">
        <f>VLOOKUP(D1520,'Jer-Tip-Emp'!B:G,6,0)</f>
        <v>Bebidas</v>
      </c>
    </row>
    <row r="1521" spans="1:15" ht="27.5" hidden="1" customHeight="1" x14ac:dyDescent="0.2">
      <c r="A1521">
        <v>2025</v>
      </c>
      <c r="B1521" t="s">
        <v>617</v>
      </c>
      <c r="C1521" t="s">
        <v>609</v>
      </c>
      <c r="D1521" s="19" t="s">
        <v>336</v>
      </c>
      <c r="E1521" s="18" t="s">
        <v>60</v>
      </c>
      <c r="F1521" s="18">
        <v>14</v>
      </c>
      <c r="G1521" s="20">
        <v>68600</v>
      </c>
      <c r="H1521" s="18">
        <v>0</v>
      </c>
      <c r="I1521" s="20">
        <v>21840</v>
      </c>
      <c r="J1521" s="8">
        <f t="shared" si="69"/>
        <v>46760</v>
      </c>
      <c r="K1521" s="10">
        <f t="shared" si="70"/>
        <v>0.68163265306122445</v>
      </c>
      <c r="L1521" s="17">
        <f t="shared" si="71"/>
        <v>0</v>
      </c>
      <c r="M1521" t="str">
        <f>VLOOKUP(D1521,'Jer-Tip-Emp'!B:E,4,0)</f>
        <v>Bebidas</v>
      </c>
      <c r="N1521" t="str">
        <f>VLOOKUP(D1521,'Jer-Tip-Emp'!B:F,5,0)</f>
        <v>Bebidas</v>
      </c>
      <c r="O1521" t="str">
        <f>VLOOKUP(D1521,'Jer-Tip-Emp'!B:G,6,0)</f>
        <v>Bebidas</v>
      </c>
    </row>
    <row r="1522" spans="1:15" ht="27.5" customHeight="1" x14ac:dyDescent="0.2">
      <c r="A1522">
        <v>2025</v>
      </c>
      <c r="B1522" t="s">
        <v>617</v>
      </c>
      <c r="C1522" t="s">
        <v>609</v>
      </c>
      <c r="D1522" s="19" t="s">
        <v>214</v>
      </c>
      <c r="E1522" s="18" t="s">
        <v>81</v>
      </c>
      <c r="F1522" s="18">
        <v>13</v>
      </c>
      <c r="G1522" s="20">
        <v>778700</v>
      </c>
      <c r="H1522" s="18">
        <v>0</v>
      </c>
      <c r="I1522" s="20">
        <v>307294</v>
      </c>
      <c r="J1522" s="8">
        <f t="shared" si="69"/>
        <v>471406</v>
      </c>
      <c r="K1522" s="10">
        <f t="shared" si="70"/>
        <v>0.60537562604340567</v>
      </c>
      <c r="L1522" s="17">
        <f t="shared" si="71"/>
        <v>0</v>
      </c>
      <c r="M1522" t="str">
        <f>VLOOKUP(D1522,'Jer-Tip-Emp'!B:E,4,0)</f>
        <v>Combos para compartir</v>
      </c>
      <c r="N1522" t="str">
        <f>VLOOKUP(D1522,'Jer-Tip-Emp'!B:F,5,0)</f>
        <v>No Personal</v>
      </c>
      <c r="O1522" t="str">
        <f>VLOOKUP(D1522,'Jer-Tip-Emp'!B:G,6,0)</f>
        <v>Combo</v>
      </c>
    </row>
    <row r="1523" spans="1:15" ht="27.5" hidden="1" customHeight="1" x14ac:dyDescent="0.2">
      <c r="A1523">
        <v>2025</v>
      </c>
      <c r="B1523" t="s">
        <v>617</v>
      </c>
      <c r="C1523" t="s">
        <v>609</v>
      </c>
      <c r="D1523" s="19" t="s">
        <v>335</v>
      </c>
      <c r="E1523" s="18" t="s">
        <v>40</v>
      </c>
      <c r="F1523" s="18">
        <v>12</v>
      </c>
      <c r="G1523" s="20">
        <v>56836</v>
      </c>
      <c r="H1523" s="20">
        <v>-1964</v>
      </c>
      <c r="I1523" s="20">
        <v>16476</v>
      </c>
      <c r="J1523" s="8">
        <f t="shared" si="69"/>
        <v>40360</v>
      </c>
      <c r="K1523" s="10">
        <f t="shared" si="70"/>
        <v>0.71011330846646492</v>
      </c>
      <c r="L1523" s="17">
        <f t="shared" si="71"/>
        <v>3.4555563375325497E-2</v>
      </c>
      <c r="M1523" t="str">
        <f>VLOOKUP(D1523,'Jer-Tip-Emp'!B:E,4,0)</f>
        <v>Bebidas</v>
      </c>
      <c r="N1523" t="str">
        <f>VLOOKUP(D1523,'Jer-Tip-Emp'!B:F,5,0)</f>
        <v>Bebidas</v>
      </c>
      <c r="O1523" t="str">
        <f>VLOOKUP(D1523,'Jer-Tip-Emp'!B:G,6,0)</f>
        <v>Bebidas</v>
      </c>
    </row>
    <row r="1524" spans="1:15" ht="27.5" customHeight="1" x14ac:dyDescent="0.2">
      <c r="A1524">
        <v>2025</v>
      </c>
      <c r="B1524" t="s">
        <v>617</v>
      </c>
      <c r="C1524" t="s">
        <v>609</v>
      </c>
      <c r="D1524" s="19" t="s">
        <v>244</v>
      </c>
      <c r="E1524" s="18" t="s">
        <v>113</v>
      </c>
      <c r="F1524" s="18">
        <v>12</v>
      </c>
      <c r="G1524" s="20">
        <v>346800</v>
      </c>
      <c r="H1524" s="18">
        <v>0</v>
      </c>
      <c r="I1524" s="20">
        <v>91260</v>
      </c>
      <c r="J1524" s="8">
        <f t="shared" si="69"/>
        <v>255540</v>
      </c>
      <c r="K1524" s="10">
        <f t="shared" si="70"/>
        <v>0.73685121107266438</v>
      </c>
      <c r="L1524" s="17">
        <f t="shared" si="71"/>
        <v>0</v>
      </c>
      <c r="M1524" t="str">
        <f>VLOOKUP(D1524,'Jer-Tip-Emp'!B:E,4,0)</f>
        <v>Platos especiales</v>
      </c>
      <c r="N1524" t="str">
        <f>VLOOKUP(D1524,'Jer-Tip-Emp'!B:F,5,0)</f>
        <v>Personal</v>
      </c>
      <c r="O1524" t="str">
        <f>VLOOKUP(D1524,'Jer-Tip-Emp'!B:G,6,0)</f>
        <v>Platos especiales</v>
      </c>
    </row>
    <row r="1525" spans="1:15" ht="27.5" hidden="1" customHeight="1" x14ac:dyDescent="0.2">
      <c r="A1525">
        <v>2025</v>
      </c>
      <c r="B1525" t="s">
        <v>617</v>
      </c>
      <c r="C1525" t="s">
        <v>609</v>
      </c>
      <c r="D1525" s="19" t="s">
        <v>321</v>
      </c>
      <c r="E1525" s="18" t="s">
        <v>72</v>
      </c>
      <c r="F1525" s="18">
        <v>11</v>
      </c>
      <c r="G1525" s="20">
        <v>53900</v>
      </c>
      <c r="H1525" s="18">
        <v>0</v>
      </c>
      <c r="I1525" s="20">
        <v>14630</v>
      </c>
      <c r="J1525" s="8">
        <f t="shared" si="69"/>
        <v>39270</v>
      </c>
      <c r="K1525" s="10">
        <f t="shared" si="70"/>
        <v>0.72857142857142854</v>
      </c>
      <c r="L1525" s="17">
        <f t="shared" si="71"/>
        <v>0</v>
      </c>
      <c r="M1525" t="str">
        <f>VLOOKUP(D1525,'Jer-Tip-Emp'!B:E,4,0)</f>
        <v>Bebidas</v>
      </c>
      <c r="N1525" t="str">
        <f>VLOOKUP(D1525,'Jer-Tip-Emp'!B:F,5,0)</f>
        <v>Bebidas</v>
      </c>
      <c r="O1525" t="str">
        <f>VLOOKUP(D1525,'Jer-Tip-Emp'!B:G,6,0)</f>
        <v>Bebidas</v>
      </c>
    </row>
    <row r="1526" spans="1:15" ht="27.5" customHeight="1" x14ac:dyDescent="0.2">
      <c r="A1526">
        <v>2025</v>
      </c>
      <c r="B1526" t="s">
        <v>617</v>
      </c>
      <c r="C1526" t="s">
        <v>609</v>
      </c>
      <c r="D1526" s="19" t="s">
        <v>303</v>
      </c>
      <c r="E1526" s="18" t="s">
        <v>120</v>
      </c>
      <c r="F1526" s="18">
        <v>11</v>
      </c>
      <c r="G1526" s="20">
        <v>251900</v>
      </c>
      <c r="H1526" s="18">
        <v>0</v>
      </c>
      <c r="I1526" s="20">
        <v>82654</v>
      </c>
      <c r="J1526" s="8">
        <f t="shared" si="69"/>
        <v>169246</v>
      </c>
      <c r="K1526" s="10">
        <f t="shared" si="70"/>
        <v>0.67187772925764189</v>
      </c>
      <c r="L1526" s="17">
        <f t="shared" si="71"/>
        <v>0</v>
      </c>
      <c r="M1526" t="str">
        <f>VLOOKUP(D1526,'Jer-Tip-Emp'!B:E,4,0)</f>
        <v>Platos mong</v>
      </c>
      <c r="N1526" t="str">
        <f>VLOOKUP(D1526,'Jer-Tip-Emp'!B:F,5,0)</f>
        <v>Personal</v>
      </c>
      <c r="O1526" t="str">
        <f>VLOOKUP(D1526,'Jer-Tip-Emp'!B:G,6,0)</f>
        <v>Caja</v>
      </c>
    </row>
    <row r="1527" spans="1:15" ht="27.5" hidden="1" customHeight="1" x14ac:dyDescent="0.2">
      <c r="A1527">
        <v>2025</v>
      </c>
      <c r="B1527" t="s">
        <v>617</v>
      </c>
      <c r="C1527" t="s">
        <v>609</v>
      </c>
      <c r="D1527" s="19" t="s">
        <v>337</v>
      </c>
      <c r="E1527" s="18" t="s">
        <v>58</v>
      </c>
      <c r="F1527" s="18">
        <v>11</v>
      </c>
      <c r="G1527" s="20">
        <v>53900</v>
      </c>
      <c r="H1527" s="18">
        <v>0</v>
      </c>
      <c r="I1527" s="20">
        <v>17160</v>
      </c>
      <c r="J1527" s="8">
        <f t="shared" si="69"/>
        <v>36740</v>
      </c>
      <c r="K1527" s="10">
        <f t="shared" si="70"/>
        <v>0.68163265306122445</v>
      </c>
      <c r="L1527" s="17">
        <f t="shared" si="71"/>
        <v>0</v>
      </c>
      <c r="M1527" t="str">
        <f>VLOOKUP(D1527,'Jer-Tip-Emp'!B:E,4,0)</f>
        <v>Bebidas</v>
      </c>
      <c r="N1527" t="str">
        <f>VLOOKUP(D1527,'Jer-Tip-Emp'!B:F,5,0)</f>
        <v>Bebidas</v>
      </c>
      <c r="O1527" t="str">
        <f>VLOOKUP(D1527,'Jer-Tip-Emp'!B:G,6,0)</f>
        <v>Bebidas</v>
      </c>
    </row>
    <row r="1528" spans="1:15" ht="27.5" hidden="1" customHeight="1" x14ac:dyDescent="0.2">
      <c r="A1528">
        <v>2025</v>
      </c>
      <c r="B1528" t="s">
        <v>617</v>
      </c>
      <c r="C1528" t="s">
        <v>609</v>
      </c>
      <c r="D1528" s="19" t="s">
        <v>410</v>
      </c>
      <c r="E1528" s="18" t="s">
        <v>559</v>
      </c>
      <c r="F1528" s="18">
        <v>11</v>
      </c>
      <c r="G1528" s="20">
        <v>25300</v>
      </c>
      <c r="H1528" s="18">
        <v>0</v>
      </c>
      <c r="I1528" s="20">
        <v>24585</v>
      </c>
      <c r="J1528" s="8">
        <f t="shared" si="69"/>
        <v>715</v>
      </c>
      <c r="K1528" s="10">
        <f t="shared" si="70"/>
        <v>2.8260869565217391E-2</v>
      </c>
      <c r="L1528" s="17">
        <f t="shared" si="71"/>
        <v>0</v>
      </c>
      <c r="M1528" t="str">
        <f>VLOOKUP(D1528,'Jer-Tip-Emp'!B:E,4,0)</f>
        <v>Bebidas</v>
      </c>
      <c r="N1528" t="str">
        <f>VLOOKUP(D1528,'Jer-Tip-Emp'!B:F,5,0)</f>
        <v>Bebidas Cambio de bebida</v>
      </c>
      <c r="O1528" t="str">
        <f>VLOOKUP(D1528,'Jer-Tip-Emp'!B:G,6,0)</f>
        <v>Bebidas</v>
      </c>
    </row>
    <row r="1529" spans="1:15" ht="27.5" customHeight="1" x14ac:dyDescent="0.2">
      <c r="A1529">
        <v>2025</v>
      </c>
      <c r="B1529" t="s">
        <v>617</v>
      </c>
      <c r="C1529" t="s">
        <v>609</v>
      </c>
      <c r="D1529" s="19" t="s">
        <v>180</v>
      </c>
      <c r="E1529" s="18" t="s">
        <v>128</v>
      </c>
      <c r="F1529" s="18">
        <v>10</v>
      </c>
      <c r="G1529" s="20">
        <v>209000</v>
      </c>
      <c r="H1529" s="18">
        <v>0</v>
      </c>
      <c r="I1529" s="20">
        <v>68380</v>
      </c>
      <c r="J1529" s="8">
        <f t="shared" si="69"/>
        <v>140620</v>
      </c>
      <c r="K1529" s="10">
        <f t="shared" si="70"/>
        <v>0.67282296650717699</v>
      </c>
      <c r="L1529" s="17">
        <f t="shared" si="71"/>
        <v>0</v>
      </c>
      <c r="M1529" t="str">
        <f>VLOOKUP(D1529,'Jer-Tip-Emp'!B:E,4,0)</f>
        <v>Platos mong</v>
      </c>
      <c r="N1529" t="str">
        <f>VLOOKUP(D1529,'Jer-Tip-Emp'!B:F,5,0)</f>
        <v>Personal</v>
      </c>
      <c r="O1529" t="str">
        <f>VLOOKUP(D1529,'Jer-Tip-Emp'!B:G,6,0)</f>
        <v>Caja</v>
      </c>
    </row>
    <row r="1530" spans="1:15" ht="27.5" hidden="1" customHeight="1" x14ac:dyDescent="0.2">
      <c r="A1530">
        <v>2025</v>
      </c>
      <c r="B1530" t="s">
        <v>617</v>
      </c>
      <c r="C1530" t="s">
        <v>609</v>
      </c>
      <c r="D1530" s="19" t="s">
        <v>189</v>
      </c>
      <c r="E1530" s="18" t="s">
        <v>21</v>
      </c>
      <c r="F1530" s="18">
        <v>9</v>
      </c>
      <c r="G1530" s="20">
        <v>62100</v>
      </c>
      <c r="H1530" s="18">
        <v>0</v>
      </c>
      <c r="I1530" s="20">
        <v>22176</v>
      </c>
      <c r="J1530" s="8">
        <f t="shared" si="69"/>
        <v>39924</v>
      </c>
      <c r="K1530" s="10">
        <f t="shared" si="70"/>
        <v>0.64289855072463764</v>
      </c>
      <c r="L1530" s="17">
        <f t="shared" si="71"/>
        <v>0</v>
      </c>
      <c r="M1530" t="str">
        <f>VLOOKUP(D1530,'Jer-Tip-Emp'!B:E,4,0)</f>
        <v>Adición</v>
      </c>
      <c r="N1530" t="str">
        <f>VLOOKUP(D1530,'Jer-Tip-Emp'!B:F,5,0)</f>
        <v>Adición</v>
      </c>
      <c r="O1530" t="str">
        <f>VLOOKUP(D1530,'Jer-Tip-Emp'!B:G,6,0)</f>
        <v>Adición</v>
      </c>
    </row>
    <row r="1531" spans="1:15" ht="27.5" hidden="1" customHeight="1" x14ac:dyDescent="0.2">
      <c r="A1531">
        <v>2025</v>
      </c>
      <c r="B1531" t="s">
        <v>617</v>
      </c>
      <c r="C1531" t="s">
        <v>609</v>
      </c>
      <c r="D1531" s="19" t="s">
        <v>369</v>
      </c>
      <c r="E1531" s="18" t="s">
        <v>68</v>
      </c>
      <c r="F1531" s="18">
        <v>9</v>
      </c>
      <c r="G1531" s="20">
        <v>44100</v>
      </c>
      <c r="H1531" s="18">
        <v>0</v>
      </c>
      <c r="I1531" s="20">
        <v>11970</v>
      </c>
      <c r="J1531" s="8">
        <f t="shared" si="69"/>
        <v>32130</v>
      </c>
      <c r="K1531" s="10">
        <f t="shared" si="70"/>
        <v>0.72857142857142854</v>
      </c>
      <c r="L1531" s="17">
        <f t="shared" si="71"/>
        <v>0</v>
      </c>
      <c r="M1531" t="str">
        <f>VLOOKUP(D1531,'Jer-Tip-Emp'!B:E,4,0)</f>
        <v>Bebidas</v>
      </c>
      <c r="N1531" t="str">
        <f>VLOOKUP(D1531,'Jer-Tip-Emp'!B:F,5,0)</f>
        <v>Bebidas</v>
      </c>
      <c r="O1531" t="str">
        <f>VLOOKUP(D1531,'Jer-Tip-Emp'!B:G,6,0)</f>
        <v>Bebidas</v>
      </c>
    </row>
    <row r="1532" spans="1:15" ht="27.5" customHeight="1" x14ac:dyDescent="0.2">
      <c r="A1532">
        <v>2025</v>
      </c>
      <c r="B1532" t="s">
        <v>617</v>
      </c>
      <c r="C1532" t="s">
        <v>609</v>
      </c>
      <c r="D1532" s="19" t="s">
        <v>278</v>
      </c>
      <c r="E1532" s="18" t="s">
        <v>84</v>
      </c>
      <c r="F1532" s="18">
        <v>9</v>
      </c>
      <c r="G1532" s="20">
        <v>188100</v>
      </c>
      <c r="H1532" s="18">
        <v>0</v>
      </c>
      <c r="I1532" s="20">
        <v>71757</v>
      </c>
      <c r="J1532" s="8">
        <f t="shared" si="69"/>
        <v>116343</v>
      </c>
      <c r="K1532" s="10">
        <f t="shared" si="70"/>
        <v>0.61851674641148324</v>
      </c>
      <c r="L1532" s="17">
        <f t="shared" si="71"/>
        <v>0</v>
      </c>
      <c r="M1532" t="str">
        <f>VLOOKUP(D1532,'Jer-Tip-Emp'!B:E,4,0)</f>
        <v>Combos para compartir</v>
      </c>
      <c r="N1532" t="str">
        <f>VLOOKUP(D1532,'Jer-Tip-Emp'!B:F,5,0)</f>
        <v>No Personal</v>
      </c>
      <c r="O1532" t="str">
        <f>VLOOKUP(D1532,'Jer-Tip-Emp'!B:G,6,0)</f>
        <v>Combo</v>
      </c>
    </row>
    <row r="1533" spans="1:15" ht="27.5" customHeight="1" x14ac:dyDescent="0.2">
      <c r="A1533">
        <v>2025</v>
      </c>
      <c r="B1533" t="s">
        <v>617</v>
      </c>
      <c r="C1533" t="s">
        <v>609</v>
      </c>
      <c r="D1533" s="19" t="s">
        <v>185</v>
      </c>
      <c r="E1533" s="18" t="s">
        <v>137</v>
      </c>
      <c r="F1533" s="18">
        <v>9</v>
      </c>
      <c r="G1533" s="20">
        <v>422100</v>
      </c>
      <c r="H1533" s="18">
        <v>0</v>
      </c>
      <c r="I1533" s="20">
        <v>180477</v>
      </c>
      <c r="J1533" s="8">
        <f t="shared" si="69"/>
        <v>241623</v>
      </c>
      <c r="K1533" s="10">
        <f t="shared" si="70"/>
        <v>0.57243070362473347</v>
      </c>
      <c r="L1533" s="17">
        <f t="shared" si="71"/>
        <v>0</v>
      </c>
      <c r="M1533" t="str">
        <f>VLOOKUP(D1533,'Jer-Tip-Emp'!B:E,4,0)</f>
        <v>Platos mong</v>
      </c>
      <c r="N1533" t="str">
        <f>VLOOKUP(D1533,'Jer-Tip-Emp'!B:F,5,0)</f>
        <v>No Personal</v>
      </c>
      <c r="O1533" t="str">
        <f>VLOOKUP(D1533,'Jer-Tip-Emp'!B:G,6,0)</f>
        <v>Platos Especiales</v>
      </c>
    </row>
    <row r="1534" spans="1:15" ht="27.5" customHeight="1" x14ac:dyDescent="0.2">
      <c r="A1534">
        <v>2025</v>
      </c>
      <c r="B1534" t="s">
        <v>617</v>
      </c>
      <c r="C1534" t="s">
        <v>609</v>
      </c>
      <c r="D1534" s="19" t="s">
        <v>285</v>
      </c>
      <c r="E1534" s="18" t="s">
        <v>146</v>
      </c>
      <c r="F1534" s="18">
        <v>8</v>
      </c>
      <c r="G1534" s="20">
        <v>172300</v>
      </c>
      <c r="H1534" s="20">
        <v>-2900</v>
      </c>
      <c r="I1534" s="20">
        <v>67712</v>
      </c>
      <c r="J1534" s="8">
        <f t="shared" si="69"/>
        <v>104588</v>
      </c>
      <c r="K1534" s="10">
        <f t="shared" si="70"/>
        <v>0.60701102727800349</v>
      </c>
      <c r="L1534" s="17">
        <f t="shared" si="71"/>
        <v>1.6831108531630876E-2</v>
      </c>
      <c r="M1534" t="str">
        <f>VLOOKUP(D1534,'Jer-Tip-Emp'!B:E,4,0)</f>
        <v>Platos mong</v>
      </c>
      <c r="N1534" t="str">
        <f>VLOOKUP(D1534,'Jer-Tip-Emp'!B:F,5,0)</f>
        <v>Personal</v>
      </c>
      <c r="O1534" t="str">
        <f>VLOOKUP(D1534,'Jer-Tip-Emp'!B:G,6,0)</f>
        <v>Caja</v>
      </c>
    </row>
    <row r="1535" spans="1:15" ht="27.5" customHeight="1" x14ac:dyDescent="0.2">
      <c r="A1535">
        <v>2025</v>
      </c>
      <c r="B1535" t="s">
        <v>617</v>
      </c>
      <c r="C1535" t="s">
        <v>609</v>
      </c>
      <c r="D1535" s="19" t="s">
        <v>228</v>
      </c>
      <c r="E1535" s="18" t="s">
        <v>96</v>
      </c>
      <c r="F1535" s="18">
        <v>8</v>
      </c>
      <c r="G1535" s="20">
        <v>231200</v>
      </c>
      <c r="H1535" s="18">
        <v>0</v>
      </c>
      <c r="I1535" s="20">
        <v>81976</v>
      </c>
      <c r="J1535" s="8">
        <f t="shared" si="69"/>
        <v>149224</v>
      </c>
      <c r="K1535" s="10">
        <f t="shared" si="70"/>
        <v>0.64543252595155709</v>
      </c>
      <c r="L1535" s="17">
        <f t="shared" si="71"/>
        <v>0</v>
      </c>
      <c r="M1535" t="str">
        <f>VLOOKUP(D1535,'Jer-Tip-Emp'!B:E,4,0)</f>
        <v>Combos personales</v>
      </c>
      <c r="N1535" t="str">
        <f>VLOOKUP(D1535,'Jer-Tip-Emp'!B:F,5,0)</f>
        <v>Personal</v>
      </c>
      <c r="O1535" t="str">
        <f>VLOOKUP(D1535,'Jer-Tip-Emp'!B:G,6,0)</f>
        <v>Combo</v>
      </c>
    </row>
    <row r="1536" spans="1:15" ht="27.5" customHeight="1" x14ac:dyDescent="0.2">
      <c r="A1536">
        <v>2025</v>
      </c>
      <c r="B1536" t="s">
        <v>617</v>
      </c>
      <c r="C1536" t="s">
        <v>609</v>
      </c>
      <c r="D1536" s="19" t="s">
        <v>197</v>
      </c>
      <c r="E1536" s="18" t="s">
        <v>31</v>
      </c>
      <c r="F1536" s="18">
        <v>8</v>
      </c>
      <c r="G1536" s="20">
        <v>63200</v>
      </c>
      <c r="H1536" s="18">
        <v>0</v>
      </c>
      <c r="I1536" s="20">
        <v>25696</v>
      </c>
      <c r="J1536" s="8">
        <f t="shared" si="69"/>
        <v>37504</v>
      </c>
      <c r="K1536" s="10">
        <f t="shared" si="70"/>
        <v>0.59341772151898731</v>
      </c>
      <c r="L1536" s="17">
        <f t="shared" si="71"/>
        <v>0</v>
      </c>
      <c r="M1536" t="str">
        <f>VLOOKUP(D1536,'Jer-Tip-Emp'!B:E,4,0)</f>
        <v>Armalo en combo</v>
      </c>
      <c r="N1536" t="str">
        <f>VLOOKUP(D1536,'Jer-Tip-Emp'!B:F,5,0)</f>
        <v>Personal</v>
      </c>
      <c r="O1536" t="str">
        <f>VLOOKUP(D1536,'Jer-Tip-Emp'!B:G,6,0)</f>
        <v>Combo</v>
      </c>
    </row>
    <row r="1537" spans="1:15" ht="27.5" customHeight="1" x14ac:dyDescent="0.2">
      <c r="A1537">
        <v>2025</v>
      </c>
      <c r="B1537" t="s">
        <v>617</v>
      </c>
      <c r="C1537" t="s">
        <v>609</v>
      </c>
      <c r="D1537" s="19" t="s">
        <v>235</v>
      </c>
      <c r="E1537" s="18" t="s">
        <v>147</v>
      </c>
      <c r="F1537" s="18">
        <v>8</v>
      </c>
      <c r="G1537" s="20">
        <v>469200</v>
      </c>
      <c r="H1537" s="20">
        <v>-2000</v>
      </c>
      <c r="I1537" s="20">
        <v>150544</v>
      </c>
      <c r="J1537" s="8">
        <f t="shared" ref="J1537:J1600" si="72">G1537-I1537</f>
        <v>318656</v>
      </c>
      <c r="K1537" s="10">
        <f t="shared" ref="K1537:K1600" si="73">IFERROR(J1537/G1537,0)</f>
        <v>0.67914748508098888</v>
      </c>
      <c r="L1537" s="17">
        <f t="shared" ref="L1537:L1600" si="74">IFERROR((H1537/G1537)*-1,0)</f>
        <v>4.2625745950554137E-3</v>
      </c>
      <c r="M1537" t="str">
        <f>VLOOKUP(D1537,'Jer-Tip-Emp'!B:E,4,0)</f>
        <v>Platos mong</v>
      </c>
      <c r="N1537" t="str">
        <f>VLOOKUP(D1537,'Jer-Tip-Emp'!B:F,5,0)</f>
        <v>No Personal</v>
      </c>
      <c r="O1537" t="str">
        <f>VLOOKUP(D1537,'Jer-Tip-Emp'!B:G,6,0)</f>
        <v>Caja</v>
      </c>
    </row>
    <row r="1538" spans="1:15" ht="27.5" hidden="1" customHeight="1" x14ac:dyDescent="0.2">
      <c r="A1538">
        <v>2025</v>
      </c>
      <c r="B1538" t="s">
        <v>617</v>
      </c>
      <c r="C1538" t="s">
        <v>609</v>
      </c>
      <c r="D1538" s="19" t="s">
        <v>403</v>
      </c>
      <c r="E1538" s="18" t="s">
        <v>45</v>
      </c>
      <c r="F1538" s="18">
        <v>7</v>
      </c>
      <c r="G1538" s="20">
        <v>61364</v>
      </c>
      <c r="H1538" s="20">
        <v>-7936</v>
      </c>
      <c r="I1538" s="20">
        <v>31507</v>
      </c>
      <c r="J1538" s="8">
        <f t="shared" si="72"/>
        <v>29857</v>
      </c>
      <c r="K1538" s="10">
        <f t="shared" si="73"/>
        <v>0.48655563522586531</v>
      </c>
      <c r="L1538" s="17">
        <f t="shared" si="74"/>
        <v>0.12932664102731242</v>
      </c>
      <c r="M1538" t="str">
        <f>VLOOKUP(D1538,'Jer-Tip-Emp'!B:E,4,0)</f>
        <v>Bebidas</v>
      </c>
      <c r="N1538" t="str">
        <f>VLOOKUP(D1538,'Jer-Tip-Emp'!B:F,5,0)</f>
        <v>Bebidas</v>
      </c>
      <c r="O1538" t="str">
        <f>VLOOKUP(D1538,'Jer-Tip-Emp'!B:G,6,0)</f>
        <v>Bebidas</v>
      </c>
    </row>
    <row r="1539" spans="1:15" ht="27.5" hidden="1" customHeight="1" x14ac:dyDescent="0.2">
      <c r="A1539">
        <v>2025</v>
      </c>
      <c r="B1539" t="s">
        <v>617</v>
      </c>
      <c r="C1539" t="s">
        <v>609</v>
      </c>
      <c r="D1539" s="19" t="s">
        <v>326</v>
      </c>
      <c r="E1539" s="18" t="s">
        <v>69</v>
      </c>
      <c r="F1539" s="18">
        <v>7</v>
      </c>
      <c r="G1539" s="20">
        <v>34300</v>
      </c>
      <c r="H1539" s="18">
        <v>0</v>
      </c>
      <c r="I1539" s="20">
        <v>9310</v>
      </c>
      <c r="J1539" s="8">
        <f t="shared" si="72"/>
        <v>24990</v>
      </c>
      <c r="K1539" s="10">
        <f t="shared" si="73"/>
        <v>0.72857142857142854</v>
      </c>
      <c r="L1539" s="17">
        <f t="shared" si="74"/>
        <v>0</v>
      </c>
      <c r="M1539" t="str">
        <f>VLOOKUP(D1539,'Jer-Tip-Emp'!B:E,4,0)</f>
        <v>Bebidas</v>
      </c>
      <c r="N1539" t="str">
        <f>VLOOKUP(D1539,'Jer-Tip-Emp'!B:F,5,0)</f>
        <v>Bebidas</v>
      </c>
      <c r="O1539" t="str">
        <f>VLOOKUP(D1539,'Jer-Tip-Emp'!B:G,6,0)</f>
        <v>Bebidas</v>
      </c>
    </row>
    <row r="1540" spans="1:15" ht="27.5" hidden="1" customHeight="1" x14ac:dyDescent="0.2">
      <c r="A1540">
        <v>2025</v>
      </c>
      <c r="B1540" t="s">
        <v>617</v>
      </c>
      <c r="C1540" t="s">
        <v>609</v>
      </c>
      <c r="D1540" s="19" t="s">
        <v>282</v>
      </c>
      <c r="E1540" s="18" t="s">
        <v>19</v>
      </c>
      <c r="F1540" s="18">
        <v>7</v>
      </c>
      <c r="G1540" s="20">
        <v>40095</v>
      </c>
      <c r="H1540" s="20">
        <v>-1205</v>
      </c>
      <c r="I1540" s="20">
        <v>28686</v>
      </c>
      <c r="J1540" s="8">
        <f t="shared" si="72"/>
        <v>11409</v>
      </c>
      <c r="K1540" s="10">
        <f t="shared" si="73"/>
        <v>0.28454919566030679</v>
      </c>
      <c r="L1540" s="17">
        <f t="shared" si="74"/>
        <v>3.005362264621524E-2</v>
      </c>
      <c r="M1540" t="str">
        <f>VLOOKUP(D1540,'Jer-Tip-Emp'!B:E,4,0)</f>
        <v>Adición</v>
      </c>
      <c r="N1540" t="str">
        <f>VLOOKUP(D1540,'Jer-Tip-Emp'!B:F,5,0)</f>
        <v>Adición</v>
      </c>
      <c r="O1540" t="str">
        <f>VLOOKUP(D1540,'Jer-Tip-Emp'!B:G,6,0)</f>
        <v>Adición</v>
      </c>
    </row>
    <row r="1541" spans="1:15" ht="27.5" hidden="1" customHeight="1" x14ac:dyDescent="0.2">
      <c r="A1541">
        <v>2025</v>
      </c>
      <c r="B1541" t="s">
        <v>617</v>
      </c>
      <c r="C1541" t="s">
        <v>609</v>
      </c>
      <c r="D1541" s="19" t="s">
        <v>339</v>
      </c>
      <c r="E1541" s="18" t="s">
        <v>65</v>
      </c>
      <c r="F1541" s="18">
        <v>7</v>
      </c>
      <c r="G1541" s="20">
        <v>34300</v>
      </c>
      <c r="H1541" s="18">
        <v>0</v>
      </c>
      <c r="I1541" s="20">
        <v>10920</v>
      </c>
      <c r="J1541" s="8">
        <f t="shared" si="72"/>
        <v>23380</v>
      </c>
      <c r="K1541" s="10">
        <f t="shared" si="73"/>
        <v>0.68163265306122445</v>
      </c>
      <c r="L1541" s="17">
        <f t="shared" si="74"/>
        <v>0</v>
      </c>
      <c r="M1541" t="str">
        <f>VLOOKUP(D1541,'Jer-Tip-Emp'!B:E,4,0)</f>
        <v>Bebidas</v>
      </c>
      <c r="N1541" t="str">
        <f>VLOOKUP(D1541,'Jer-Tip-Emp'!B:F,5,0)</f>
        <v>Bebidas</v>
      </c>
      <c r="O1541" t="str">
        <f>VLOOKUP(D1541,'Jer-Tip-Emp'!B:G,6,0)</f>
        <v>Bebidas</v>
      </c>
    </row>
    <row r="1542" spans="1:15" ht="27.5" customHeight="1" x14ac:dyDescent="0.2">
      <c r="A1542">
        <v>2025</v>
      </c>
      <c r="B1542" t="s">
        <v>617</v>
      </c>
      <c r="C1542" t="s">
        <v>609</v>
      </c>
      <c r="D1542" s="19" t="s">
        <v>298</v>
      </c>
      <c r="E1542" s="18" t="s">
        <v>153</v>
      </c>
      <c r="F1542" s="18">
        <v>6</v>
      </c>
      <c r="G1542" s="20">
        <v>123400</v>
      </c>
      <c r="H1542" s="20">
        <v>-2000</v>
      </c>
      <c r="I1542" s="20">
        <v>51126</v>
      </c>
      <c r="J1542" s="8">
        <f t="shared" si="72"/>
        <v>72274</v>
      </c>
      <c r="K1542" s="10">
        <f t="shared" si="73"/>
        <v>0.58568881685575369</v>
      </c>
      <c r="L1542" s="17">
        <f t="shared" si="74"/>
        <v>1.6207455429497569E-2</v>
      </c>
      <c r="M1542" t="str">
        <f>VLOOKUP(D1542,'Jer-Tip-Emp'!B:E,4,0)</f>
        <v>Platos mong</v>
      </c>
      <c r="N1542" t="str">
        <f>VLOOKUP(D1542,'Jer-Tip-Emp'!B:F,5,0)</f>
        <v>Personal</v>
      </c>
      <c r="O1542" t="str">
        <f>VLOOKUP(D1542,'Jer-Tip-Emp'!B:G,6,0)</f>
        <v>Caja</v>
      </c>
    </row>
    <row r="1543" spans="1:15" ht="27.5" customHeight="1" x14ac:dyDescent="0.2">
      <c r="A1543">
        <v>2025</v>
      </c>
      <c r="B1543" t="s">
        <v>617</v>
      </c>
      <c r="C1543" t="s">
        <v>609</v>
      </c>
      <c r="D1543" s="19" t="s">
        <v>252</v>
      </c>
      <c r="E1543" s="18" t="s">
        <v>100</v>
      </c>
      <c r="F1543" s="18">
        <v>6</v>
      </c>
      <c r="G1543" s="20">
        <v>401400</v>
      </c>
      <c r="H1543" s="18">
        <v>0</v>
      </c>
      <c r="I1543" s="20">
        <v>194106</v>
      </c>
      <c r="J1543" s="8">
        <f t="shared" si="72"/>
        <v>207294</v>
      </c>
      <c r="K1543" s="10">
        <f t="shared" si="73"/>
        <v>0.51642750373692081</v>
      </c>
      <c r="L1543" s="17">
        <f t="shared" si="74"/>
        <v>0</v>
      </c>
      <c r="M1543" t="str">
        <f>VLOOKUP(D1543,'Jer-Tip-Emp'!B:E,4,0)</f>
        <v>Platos mong</v>
      </c>
      <c r="N1543" t="str">
        <f>VLOOKUP(D1543,'Jer-Tip-Emp'!B:F,5,0)</f>
        <v>No Personal</v>
      </c>
      <c r="O1543" t="str">
        <f>VLOOKUP(D1543,'Jer-Tip-Emp'!B:G,6,0)</f>
        <v>Caja</v>
      </c>
    </row>
    <row r="1544" spans="1:15" ht="27.5" hidden="1" customHeight="1" x14ac:dyDescent="0.2">
      <c r="A1544">
        <v>2025</v>
      </c>
      <c r="B1544" t="s">
        <v>617</v>
      </c>
      <c r="C1544" t="s">
        <v>609</v>
      </c>
      <c r="D1544" s="19" t="s">
        <v>350</v>
      </c>
      <c r="E1544" s="18" t="s">
        <v>66</v>
      </c>
      <c r="F1544" s="18">
        <v>6</v>
      </c>
      <c r="G1544" s="20">
        <v>29400</v>
      </c>
      <c r="H1544" s="18">
        <v>0</v>
      </c>
      <c r="I1544" s="20">
        <v>9360</v>
      </c>
      <c r="J1544" s="8">
        <f t="shared" si="72"/>
        <v>20040</v>
      </c>
      <c r="K1544" s="10">
        <f t="shared" si="73"/>
        <v>0.68163265306122445</v>
      </c>
      <c r="L1544" s="17">
        <f t="shared" si="74"/>
        <v>0</v>
      </c>
      <c r="M1544" t="str">
        <f>VLOOKUP(D1544,'Jer-Tip-Emp'!B:E,4,0)</f>
        <v>Bebidas</v>
      </c>
      <c r="N1544" t="str">
        <f>VLOOKUP(D1544,'Jer-Tip-Emp'!B:F,5,0)</f>
        <v>Bebidas</v>
      </c>
      <c r="O1544" t="str">
        <f>VLOOKUP(D1544,'Jer-Tip-Emp'!B:G,6,0)</f>
        <v>Bebidas</v>
      </c>
    </row>
    <row r="1545" spans="1:15" ht="27.5" customHeight="1" x14ac:dyDescent="0.2">
      <c r="A1545">
        <v>2025</v>
      </c>
      <c r="B1545" t="s">
        <v>617</v>
      </c>
      <c r="C1545" t="s">
        <v>609</v>
      </c>
      <c r="D1545" s="19" t="s">
        <v>232</v>
      </c>
      <c r="E1545" s="18" t="s">
        <v>94</v>
      </c>
      <c r="F1545" s="18">
        <v>6</v>
      </c>
      <c r="G1545" s="20">
        <v>137400</v>
      </c>
      <c r="H1545" s="18">
        <v>0</v>
      </c>
      <c r="I1545" s="20">
        <v>56424</v>
      </c>
      <c r="J1545" s="8">
        <f t="shared" si="72"/>
        <v>80976</v>
      </c>
      <c r="K1545" s="10">
        <f t="shared" si="73"/>
        <v>0.58934497816593889</v>
      </c>
      <c r="L1545" s="17">
        <f t="shared" si="74"/>
        <v>0</v>
      </c>
      <c r="M1545" t="str">
        <f>VLOOKUP(D1545,'Jer-Tip-Emp'!B:E,4,0)</f>
        <v>Platos mong</v>
      </c>
      <c r="N1545" t="str">
        <f>VLOOKUP(D1545,'Jer-Tip-Emp'!B:F,5,0)</f>
        <v>Personal</v>
      </c>
      <c r="O1545" t="str">
        <f>VLOOKUP(D1545,'Jer-Tip-Emp'!B:G,6,0)</f>
        <v>Caja</v>
      </c>
    </row>
    <row r="1546" spans="1:15" ht="27.5" hidden="1" customHeight="1" x14ac:dyDescent="0.2">
      <c r="A1546">
        <v>2025</v>
      </c>
      <c r="B1546" t="s">
        <v>617</v>
      </c>
      <c r="C1546" t="s">
        <v>609</v>
      </c>
      <c r="D1546" s="19" t="s">
        <v>426</v>
      </c>
      <c r="E1546" s="18" t="s">
        <v>561</v>
      </c>
      <c r="F1546" s="18">
        <v>6</v>
      </c>
      <c r="G1546" s="20">
        <v>9600</v>
      </c>
      <c r="H1546" s="18">
        <v>0</v>
      </c>
      <c r="I1546" s="20">
        <v>9096</v>
      </c>
      <c r="J1546" s="8">
        <f t="shared" si="72"/>
        <v>504</v>
      </c>
      <c r="K1546" s="10">
        <f t="shared" si="73"/>
        <v>5.2499999999999998E-2</v>
      </c>
      <c r="L1546" s="17">
        <f t="shared" si="74"/>
        <v>0</v>
      </c>
      <c r="M1546" t="str">
        <f>VLOOKUP(D1546,'Jer-Tip-Emp'!B:E,4,0)</f>
        <v>Bebidas</v>
      </c>
      <c r="N1546" t="str">
        <f>VLOOKUP(D1546,'Jer-Tip-Emp'!B:F,5,0)</f>
        <v>Bebidas Cambio de bebida</v>
      </c>
      <c r="O1546" t="str">
        <f>VLOOKUP(D1546,'Jer-Tip-Emp'!B:G,6,0)</f>
        <v>Bebidas</v>
      </c>
    </row>
    <row r="1547" spans="1:15" ht="27.5" hidden="1" customHeight="1" x14ac:dyDescent="0.2">
      <c r="A1547">
        <v>2025</v>
      </c>
      <c r="B1547" t="s">
        <v>617</v>
      </c>
      <c r="C1547" t="s">
        <v>609</v>
      </c>
      <c r="D1547" s="19" t="s">
        <v>402</v>
      </c>
      <c r="E1547" s="18" t="s">
        <v>63</v>
      </c>
      <c r="F1547" s="18">
        <v>6</v>
      </c>
      <c r="G1547" s="20">
        <v>29400</v>
      </c>
      <c r="H1547" s="18">
        <v>0</v>
      </c>
      <c r="I1547" s="20">
        <v>9360</v>
      </c>
      <c r="J1547" s="8">
        <f t="shared" si="72"/>
        <v>20040</v>
      </c>
      <c r="K1547" s="10">
        <f t="shared" si="73"/>
        <v>0.68163265306122445</v>
      </c>
      <c r="L1547" s="17">
        <f t="shared" si="74"/>
        <v>0</v>
      </c>
      <c r="M1547" t="str">
        <f>VLOOKUP(D1547,'Jer-Tip-Emp'!B:E,4,0)</f>
        <v>Bebidas</v>
      </c>
      <c r="N1547" t="str">
        <f>VLOOKUP(D1547,'Jer-Tip-Emp'!B:F,5,0)</f>
        <v>Bebidas</v>
      </c>
      <c r="O1547" t="str">
        <f>VLOOKUP(D1547,'Jer-Tip-Emp'!B:G,6,0)</f>
        <v>Bebidas</v>
      </c>
    </row>
    <row r="1548" spans="1:15" ht="27.5" customHeight="1" x14ac:dyDescent="0.2">
      <c r="A1548">
        <v>2025</v>
      </c>
      <c r="B1548" t="s">
        <v>617</v>
      </c>
      <c r="C1548" t="s">
        <v>609</v>
      </c>
      <c r="D1548" s="19" t="s">
        <v>202</v>
      </c>
      <c r="E1548" s="18" t="s">
        <v>142</v>
      </c>
      <c r="F1548" s="18">
        <v>5</v>
      </c>
      <c r="G1548" s="20">
        <v>195600</v>
      </c>
      <c r="H1548" s="20">
        <v>-3900</v>
      </c>
      <c r="I1548" s="20">
        <v>71155</v>
      </c>
      <c r="J1548" s="8">
        <f t="shared" si="72"/>
        <v>124445</v>
      </c>
      <c r="K1548" s="10">
        <f t="shared" si="73"/>
        <v>0.6362218813905931</v>
      </c>
      <c r="L1548" s="17">
        <f t="shared" si="74"/>
        <v>1.9938650306748466E-2</v>
      </c>
      <c r="M1548" t="str">
        <f>VLOOKUP(D1548,'Jer-Tip-Emp'!B:E,4,0)</f>
        <v>Platos mong</v>
      </c>
      <c r="N1548" t="str">
        <f>VLOOKUP(D1548,'Jer-Tip-Emp'!B:F,5,0)</f>
        <v>No Personal</v>
      </c>
      <c r="O1548" t="str">
        <f>VLOOKUP(D1548,'Jer-Tip-Emp'!B:G,6,0)</f>
        <v>Caja</v>
      </c>
    </row>
    <row r="1549" spans="1:15" ht="27.5" customHeight="1" x14ac:dyDescent="0.2">
      <c r="A1549">
        <v>2025</v>
      </c>
      <c r="B1549" t="s">
        <v>617</v>
      </c>
      <c r="C1549" t="s">
        <v>609</v>
      </c>
      <c r="D1549" s="19" t="s">
        <v>290</v>
      </c>
      <c r="E1549" s="18" t="s">
        <v>86</v>
      </c>
      <c r="F1549" s="18">
        <v>5</v>
      </c>
      <c r="G1549" s="20">
        <v>484500</v>
      </c>
      <c r="H1549" s="18">
        <v>0</v>
      </c>
      <c r="I1549" s="20">
        <v>233900</v>
      </c>
      <c r="J1549" s="8">
        <f t="shared" si="72"/>
        <v>250600</v>
      </c>
      <c r="K1549" s="10">
        <f t="shared" si="73"/>
        <v>0.51723426212590295</v>
      </c>
      <c r="L1549" s="17">
        <f t="shared" si="74"/>
        <v>0</v>
      </c>
      <c r="M1549" t="str">
        <f>VLOOKUP(D1549,'Jer-Tip-Emp'!B:E,4,0)</f>
        <v>Combos para compartir</v>
      </c>
      <c r="N1549" t="str">
        <f>VLOOKUP(D1549,'Jer-Tip-Emp'!B:F,5,0)</f>
        <v>No Personal</v>
      </c>
      <c r="O1549" t="str">
        <f>VLOOKUP(D1549,'Jer-Tip-Emp'!B:G,6,0)</f>
        <v>Combo</v>
      </c>
    </row>
    <row r="1550" spans="1:15" ht="27.5" hidden="1" customHeight="1" x14ac:dyDescent="0.2">
      <c r="A1550">
        <v>2025</v>
      </c>
      <c r="B1550" t="s">
        <v>617</v>
      </c>
      <c r="C1550" t="s">
        <v>609</v>
      </c>
      <c r="D1550" s="19" t="s">
        <v>409</v>
      </c>
      <c r="E1550" s="18" t="s">
        <v>64</v>
      </c>
      <c r="F1550" s="18">
        <v>5</v>
      </c>
      <c r="G1550" s="20">
        <v>40000</v>
      </c>
      <c r="H1550" s="18">
        <v>0</v>
      </c>
      <c r="I1550" s="18">
        <v>0</v>
      </c>
      <c r="J1550" s="8">
        <f t="shared" si="72"/>
        <v>40000</v>
      </c>
      <c r="K1550" s="10">
        <f t="shared" si="73"/>
        <v>1</v>
      </c>
      <c r="L1550" s="17">
        <f t="shared" si="74"/>
        <v>0</v>
      </c>
      <c r="M1550" t="str">
        <f>VLOOKUP(D1550,'Jer-Tip-Emp'!B:E,4,0)</f>
        <v>Bebidas</v>
      </c>
      <c r="N1550" t="str">
        <f>VLOOKUP(D1550,'Jer-Tip-Emp'!B:F,5,0)</f>
        <v>Bebidas</v>
      </c>
      <c r="O1550" t="str">
        <f>VLOOKUP(D1550,'Jer-Tip-Emp'!B:G,6,0)</f>
        <v>Bebidas</v>
      </c>
    </row>
    <row r="1551" spans="1:15" ht="27.5" hidden="1" customHeight="1" x14ac:dyDescent="0.2">
      <c r="A1551">
        <v>2025</v>
      </c>
      <c r="B1551" t="s">
        <v>617</v>
      </c>
      <c r="C1551" t="s">
        <v>609</v>
      </c>
      <c r="D1551" s="19" t="s">
        <v>193</v>
      </c>
      <c r="E1551" s="18" t="s">
        <v>18</v>
      </c>
      <c r="F1551" s="18">
        <v>5</v>
      </c>
      <c r="G1551" s="20">
        <v>34500</v>
      </c>
      <c r="H1551" s="18">
        <v>0</v>
      </c>
      <c r="I1551" s="20">
        <v>15540</v>
      </c>
      <c r="J1551" s="8">
        <f t="shared" si="72"/>
        <v>18960</v>
      </c>
      <c r="K1551" s="10">
        <f t="shared" si="73"/>
        <v>0.54956521739130437</v>
      </c>
      <c r="L1551" s="17">
        <f t="shared" si="74"/>
        <v>0</v>
      </c>
      <c r="M1551" t="str">
        <f>VLOOKUP(D1551,'Jer-Tip-Emp'!B:E,4,0)</f>
        <v>Adición</v>
      </c>
      <c r="N1551" t="str">
        <f>VLOOKUP(D1551,'Jer-Tip-Emp'!B:F,5,0)</f>
        <v>Adición</v>
      </c>
      <c r="O1551" t="str">
        <f>VLOOKUP(D1551,'Jer-Tip-Emp'!B:G,6,0)</f>
        <v>Adición</v>
      </c>
    </row>
    <row r="1552" spans="1:15" ht="27.5" hidden="1" customHeight="1" x14ac:dyDescent="0.2">
      <c r="A1552">
        <v>2025</v>
      </c>
      <c r="B1552" t="s">
        <v>617</v>
      </c>
      <c r="C1552" t="s">
        <v>609</v>
      </c>
      <c r="D1552" s="19" t="s">
        <v>314</v>
      </c>
      <c r="E1552" s="18" t="s">
        <v>67</v>
      </c>
      <c r="F1552" s="18">
        <v>4</v>
      </c>
      <c r="G1552" s="20">
        <v>19600</v>
      </c>
      <c r="H1552" s="18">
        <v>0</v>
      </c>
      <c r="I1552" s="20">
        <v>5320</v>
      </c>
      <c r="J1552" s="8">
        <f t="shared" si="72"/>
        <v>14280</v>
      </c>
      <c r="K1552" s="10">
        <f t="shared" si="73"/>
        <v>0.72857142857142854</v>
      </c>
      <c r="L1552" s="17">
        <f t="shared" si="74"/>
        <v>0</v>
      </c>
      <c r="M1552" t="str">
        <f>VLOOKUP(D1552,'Jer-Tip-Emp'!B:E,4,0)</f>
        <v>Bebidas</v>
      </c>
      <c r="N1552" t="str">
        <f>VLOOKUP(D1552,'Jer-Tip-Emp'!B:F,5,0)</f>
        <v>Bebidas</v>
      </c>
      <c r="O1552" t="str">
        <f>VLOOKUP(D1552,'Jer-Tip-Emp'!B:G,6,0)</f>
        <v>Bebidas</v>
      </c>
    </row>
    <row r="1553" spans="1:15" ht="27.5" customHeight="1" x14ac:dyDescent="0.2">
      <c r="A1553">
        <v>2025</v>
      </c>
      <c r="B1553" t="s">
        <v>617</v>
      </c>
      <c r="C1553" t="s">
        <v>609</v>
      </c>
      <c r="D1553" s="19" t="s">
        <v>204</v>
      </c>
      <c r="E1553" s="18" t="s">
        <v>154</v>
      </c>
      <c r="F1553" s="18">
        <v>4</v>
      </c>
      <c r="G1553" s="20">
        <v>178742</v>
      </c>
      <c r="H1553" s="20">
        <v>-4858</v>
      </c>
      <c r="I1553" s="20">
        <v>77764</v>
      </c>
      <c r="J1553" s="8">
        <f t="shared" si="72"/>
        <v>100978</v>
      </c>
      <c r="K1553" s="10">
        <f t="shared" si="73"/>
        <v>0.56493717201329285</v>
      </c>
      <c r="L1553" s="17">
        <f t="shared" si="74"/>
        <v>2.7178838773203835E-2</v>
      </c>
      <c r="M1553" t="str">
        <f>VLOOKUP(D1553,'Jer-Tip-Emp'!B:E,4,0)</f>
        <v>Platos mong</v>
      </c>
      <c r="N1553" t="str">
        <f>VLOOKUP(D1553,'Jer-Tip-Emp'!B:F,5,0)</f>
        <v>No Personal</v>
      </c>
      <c r="O1553" t="str">
        <f>VLOOKUP(D1553,'Jer-Tip-Emp'!B:G,6,0)</f>
        <v>Caja</v>
      </c>
    </row>
    <row r="1554" spans="1:15" ht="27.5" hidden="1" customHeight="1" x14ac:dyDescent="0.2">
      <c r="A1554">
        <v>2025</v>
      </c>
      <c r="B1554" t="s">
        <v>617</v>
      </c>
      <c r="C1554" t="s">
        <v>609</v>
      </c>
      <c r="D1554" s="19" t="s">
        <v>445</v>
      </c>
      <c r="E1554" s="18" t="s">
        <v>570</v>
      </c>
      <c r="F1554" s="18">
        <v>4</v>
      </c>
      <c r="G1554" s="20">
        <v>6400</v>
      </c>
      <c r="H1554" s="18">
        <v>0</v>
      </c>
      <c r="I1554" s="20">
        <v>6844</v>
      </c>
      <c r="J1554" s="8">
        <f t="shared" si="72"/>
        <v>-444</v>
      </c>
      <c r="K1554" s="10">
        <f t="shared" si="73"/>
        <v>-6.9375000000000006E-2</v>
      </c>
      <c r="L1554" s="17">
        <f t="shared" si="74"/>
        <v>0</v>
      </c>
      <c r="M1554" t="str">
        <f>VLOOKUP(D1554,'Jer-Tip-Emp'!B:E,4,0)</f>
        <v>Bebidas</v>
      </c>
      <c r="N1554" t="str">
        <f>VLOOKUP(D1554,'Jer-Tip-Emp'!B:F,5,0)</f>
        <v>Bebidas Cambio de bebida</v>
      </c>
      <c r="O1554" t="str">
        <f>VLOOKUP(D1554,'Jer-Tip-Emp'!B:G,6,0)</f>
        <v>Bebidas</v>
      </c>
    </row>
    <row r="1555" spans="1:15" ht="27.5" hidden="1" customHeight="1" x14ac:dyDescent="0.2">
      <c r="A1555">
        <v>2025</v>
      </c>
      <c r="B1555" t="s">
        <v>617</v>
      </c>
      <c r="C1555" t="s">
        <v>609</v>
      </c>
      <c r="D1555" s="19" t="s">
        <v>494</v>
      </c>
      <c r="E1555" s="18" t="s">
        <v>568</v>
      </c>
      <c r="F1555" s="18">
        <v>4</v>
      </c>
      <c r="G1555" s="20">
        <v>6400</v>
      </c>
      <c r="H1555" s="18">
        <v>0</v>
      </c>
      <c r="I1555" s="20">
        <v>8556</v>
      </c>
      <c r="J1555" s="8">
        <f t="shared" si="72"/>
        <v>-2156</v>
      </c>
      <c r="K1555" s="10">
        <f t="shared" si="73"/>
        <v>-0.33687499999999998</v>
      </c>
      <c r="L1555" s="17">
        <f t="shared" si="74"/>
        <v>0</v>
      </c>
      <c r="M1555" t="str">
        <f>VLOOKUP(D1555,'Jer-Tip-Emp'!B:E,4,0)</f>
        <v>Bebidas</v>
      </c>
      <c r="N1555" t="str">
        <f>VLOOKUP(D1555,'Jer-Tip-Emp'!B:F,5,0)</f>
        <v>Bebidas Cambio de bebida</v>
      </c>
      <c r="O1555" t="str">
        <f>VLOOKUP(D1555,'Jer-Tip-Emp'!B:G,6,0)</f>
        <v>Bebidas</v>
      </c>
    </row>
    <row r="1556" spans="1:15" ht="27.5" customHeight="1" x14ac:dyDescent="0.2">
      <c r="A1556">
        <v>2025</v>
      </c>
      <c r="B1556" t="s">
        <v>617</v>
      </c>
      <c r="C1556" t="s">
        <v>609</v>
      </c>
      <c r="D1556" s="19" t="s">
        <v>266</v>
      </c>
      <c r="E1556" s="18" t="s">
        <v>85</v>
      </c>
      <c r="F1556" s="18">
        <v>4</v>
      </c>
      <c r="G1556" s="20">
        <v>331600</v>
      </c>
      <c r="H1556" s="18">
        <v>0</v>
      </c>
      <c r="I1556" s="20">
        <v>156884</v>
      </c>
      <c r="J1556" s="8">
        <f t="shared" si="72"/>
        <v>174716</v>
      </c>
      <c r="K1556" s="10">
        <f t="shared" si="73"/>
        <v>0.52688781664656215</v>
      </c>
      <c r="L1556" s="17">
        <f t="shared" si="74"/>
        <v>0</v>
      </c>
      <c r="M1556" t="str">
        <f>VLOOKUP(D1556,'Jer-Tip-Emp'!B:E,4,0)</f>
        <v>Combos para compartir</v>
      </c>
      <c r="N1556" t="str">
        <f>VLOOKUP(D1556,'Jer-Tip-Emp'!B:F,5,0)</f>
        <v>No Personal</v>
      </c>
      <c r="O1556" t="str">
        <f>VLOOKUP(D1556,'Jer-Tip-Emp'!B:G,6,0)</f>
        <v>Combo</v>
      </c>
    </row>
    <row r="1557" spans="1:15" ht="27.5" hidden="1" customHeight="1" x14ac:dyDescent="0.2">
      <c r="A1557">
        <v>2025</v>
      </c>
      <c r="B1557" t="s">
        <v>617</v>
      </c>
      <c r="C1557" t="s">
        <v>609</v>
      </c>
      <c r="D1557" s="19" t="s">
        <v>218</v>
      </c>
      <c r="E1557" s="18" t="s">
        <v>33</v>
      </c>
      <c r="F1557" s="18">
        <v>4</v>
      </c>
      <c r="G1557" s="20">
        <v>31600</v>
      </c>
      <c r="H1557" s="18">
        <v>0</v>
      </c>
      <c r="I1557" s="18">
        <v>0</v>
      </c>
      <c r="J1557" s="8">
        <f t="shared" si="72"/>
        <v>31600</v>
      </c>
      <c r="K1557" s="10">
        <f t="shared" si="73"/>
        <v>1</v>
      </c>
      <c r="L1557" s="17">
        <f t="shared" si="74"/>
        <v>0</v>
      </c>
      <c r="M1557" t="str">
        <f>VLOOKUP(D1557,'Jer-Tip-Emp'!B:E,4,0)</f>
        <v>Adición</v>
      </c>
      <c r="N1557" t="str">
        <f>VLOOKUP(D1557,'Jer-Tip-Emp'!B:F,5,0)</f>
        <v>Adición</v>
      </c>
      <c r="O1557" t="str">
        <f>VLOOKUP(D1557,'Jer-Tip-Emp'!B:G,6,0)</f>
        <v>Adición</v>
      </c>
    </row>
    <row r="1558" spans="1:15" ht="27.5" hidden="1" customHeight="1" x14ac:dyDescent="0.2">
      <c r="A1558">
        <v>2025</v>
      </c>
      <c r="B1558" t="s">
        <v>617</v>
      </c>
      <c r="C1558" t="s">
        <v>609</v>
      </c>
      <c r="D1558" s="19" t="s">
        <v>431</v>
      </c>
      <c r="E1558" s="18" t="s">
        <v>560</v>
      </c>
      <c r="F1558" s="18">
        <v>3</v>
      </c>
      <c r="G1558" s="20">
        <v>4800</v>
      </c>
      <c r="H1558" s="18">
        <v>0</v>
      </c>
      <c r="I1558" s="20">
        <v>3990</v>
      </c>
      <c r="J1558" s="8">
        <f t="shared" si="72"/>
        <v>810</v>
      </c>
      <c r="K1558" s="10">
        <f t="shared" si="73"/>
        <v>0.16875000000000001</v>
      </c>
      <c r="L1558" s="17">
        <f t="shared" si="74"/>
        <v>0</v>
      </c>
      <c r="M1558" t="str">
        <f>VLOOKUP(D1558,'Jer-Tip-Emp'!B:E,4,0)</f>
        <v>Bebidas</v>
      </c>
      <c r="N1558" t="str">
        <f>VLOOKUP(D1558,'Jer-Tip-Emp'!B:F,5,0)</f>
        <v>Bebidas Cambio de bebida</v>
      </c>
      <c r="O1558" t="str">
        <f>VLOOKUP(D1558,'Jer-Tip-Emp'!B:G,6,0)</f>
        <v>Bebidas</v>
      </c>
    </row>
    <row r="1559" spans="1:15" ht="27.5" hidden="1" customHeight="1" x14ac:dyDescent="0.2">
      <c r="A1559">
        <v>2025</v>
      </c>
      <c r="B1559" t="s">
        <v>617</v>
      </c>
      <c r="C1559" t="s">
        <v>609</v>
      </c>
      <c r="D1559" s="19" t="s">
        <v>296</v>
      </c>
      <c r="E1559" s="18" t="s">
        <v>22</v>
      </c>
      <c r="F1559" s="18">
        <v>3</v>
      </c>
      <c r="G1559" s="20">
        <v>20700</v>
      </c>
      <c r="H1559" s="18">
        <v>0</v>
      </c>
      <c r="I1559" s="20">
        <v>2067</v>
      </c>
      <c r="J1559" s="8">
        <f t="shared" si="72"/>
        <v>18633</v>
      </c>
      <c r="K1559" s="10">
        <f t="shared" si="73"/>
        <v>0.90014492753623188</v>
      </c>
      <c r="L1559" s="17">
        <f t="shared" si="74"/>
        <v>0</v>
      </c>
      <c r="M1559" t="str">
        <f>VLOOKUP(D1559,'Jer-Tip-Emp'!B:E,4,0)</f>
        <v>Adición</v>
      </c>
      <c r="N1559" t="str">
        <f>VLOOKUP(D1559,'Jer-Tip-Emp'!B:F,5,0)</f>
        <v>Adición</v>
      </c>
      <c r="O1559" t="str">
        <f>VLOOKUP(D1559,'Jer-Tip-Emp'!B:G,6,0)</f>
        <v>Adición</v>
      </c>
    </row>
    <row r="1560" spans="1:15" ht="27.5" hidden="1" customHeight="1" x14ac:dyDescent="0.2">
      <c r="A1560">
        <v>2025</v>
      </c>
      <c r="B1560" t="s">
        <v>617</v>
      </c>
      <c r="C1560" t="s">
        <v>609</v>
      </c>
      <c r="D1560" s="19" t="s">
        <v>365</v>
      </c>
      <c r="E1560" s="18" t="s">
        <v>558</v>
      </c>
      <c r="F1560" s="18">
        <v>3</v>
      </c>
      <c r="G1560" s="20">
        <v>1500</v>
      </c>
      <c r="H1560" s="18">
        <v>0</v>
      </c>
      <c r="I1560" s="20">
        <v>4707</v>
      </c>
      <c r="J1560" s="8">
        <f t="shared" si="72"/>
        <v>-3207</v>
      </c>
      <c r="K1560" s="10">
        <f t="shared" si="73"/>
        <v>-2.1379999999999999</v>
      </c>
      <c r="L1560" s="17">
        <f t="shared" si="74"/>
        <v>0</v>
      </c>
      <c r="M1560" t="str">
        <f>VLOOKUP(D1560,'Jer-Tip-Emp'!B:E,4,0)</f>
        <v>Adición</v>
      </c>
      <c r="N1560" t="str">
        <f>VLOOKUP(D1560,'Jer-Tip-Emp'!B:F,5,0)</f>
        <v>Otro</v>
      </c>
      <c r="O1560" t="str">
        <f>VLOOKUP(D1560,'Jer-Tip-Emp'!B:G,6,0)</f>
        <v>Otro</v>
      </c>
    </row>
    <row r="1561" spans="1:15" ht="27.5" customHeight="1" x14ac:dyDescent="0.2">
      <c r="A1561">
        <v>2025</v>
      </c>
      <c r="B1561" t="s">
        <v>617</v>
      </c>
      <c r="C1561" t="s">
        <v>609</v>
      </c>
      <c r="D1561" s="19" t="s">
        <v>200</v>
      </c>
      <c r="E1561" s="18" t="s">
        <v>149</v>
      </c>
      <c r="F1561" s="18">
        <v>3</v>
      </c>
      <c r="G1561" s="20">
        <v>72700</v>
      </c>
      <c r="H1561" s="20">
        <v>-2000</v>
      </c>
      <c r="I1561" s="20">
        <v>31443</v>
      </c>
      <c r="J1561" s="8">
        <f t="shared" si="72"/>
        <v>41257</v>
      </c>
      <c r="K1561" s="10">
        <f t="shared" si="73"/>
        <v>0.56749656121045389</v>
      </c>
      <c r="L1561" s="17">
        <f t="shared" si="74"/>
        <v>2.7510316368638238E-2</v>
      </c>
      <c r="M1561" t="str">
        <f>VLOOKUP(D1561,'Jer-Tip-Emp'!B:E,4,0)</f>
        <v>Platos mong</v>
      </c>
      <c r="N1561" t="str">
        <f>VLOOKUP(D1561,'Jer-Tip-Emp'!B:F,5,0)</f>
        <v>Personal</v>
      </c>
      <c r="O1561" t="str">
        <f>VLOOKUP(D1561,'Jer-Tip-Emp'!B:G,6,0)</f>
        <v>Caja</v>
      </c>
    </row>
    <row r="1562" spans="1:15" ht="27.5" hidden="1" customHeight="1" x14ac:dyDescent="0.2">
      <c r="A1562">
        <v>2025</v>
      </c>
      <c r="B1562" t="s">
        <v>617</v>
      </c>
      <c r="C1562" t="s">
        <v>609</v>
      </c>
      <c r="D1562" s="19" t="s">
        <v>254</v>
      </c>
      <c r="E1562" s="18" t="s">
        <v>20</v>
      </c>
      <c r="F1562" s="18">
        <v>3</v>
      </c>
      <c r="G1562" s="20">
        <v>14700</v>
      </c>
      <c r="H1562" s="18">
        <v>0</v>
      </c>
      <c r="I1562" s="20">
        <v>9030</v>
      </c>
      <c r="J1562" s="8">
        <f t="shared" si="72"/>
        <v>5670</v>
      </c>
      <c r="K1562" s="10">
        <f t="shared" si="73"/>
        <v>0.38571428571428573</v>
      </c>
      <c r="L1562" s="17">
        <f t="shared" si="74"/>
        <v>0</v>
      </c>
      <c r="M1562" t="str">
        <f>VLOOKUP(D1562,'Jer-Tip-Emp'!B:E,4,0)</f>
        <v>Adición</v>
      </c>
      <c r="N1562" t="str">
        <f>VLOOKUP(D1562,'Jer-Tip-Emp'!B:F,5,0)</f>
        <v>Adición</v>
      </c>
      <c r="O1562" t="str">
        <f>VLOOKUP(D1562,'Jer-Tip-Emp'!B:G,6,0)</f>
        <v>Adición</v>
      </c>
    </row>
    <row r="1563" spans="1:15" ht="27.5" customHeight="1" x14ac:dyDescent="0.2">
      <c r="A1563">
        <v>2025</v>
      </c>
      <c r="B1563" t="s">
        <v>617</v>
      </c>
      <c r="C1563" t="s">
        <v>609</v>
      </c>
      <c r="D1563" s="19" t="s">
        <v>178</v>
      </c>
      <c r="E1563" s="18" t="s">
        <v>145</v>
      </c>
      <c r="F1563" s="18">
        <v>3</v>
      </c>
      <c r="G1563" s="20">
        <v>341700</v>
      </c>
      <c r="H1563" s="18">
        <v>0</v>
      </c>
      <c r="I1563" s="20">
        <v>145824</v>
      </c>
      <c r="J1563" s="8">
        <f t="shared" si="72"/>
        <v>195876</v>
      </c>
      <c r="K1563" s="10">
        <f t="shared" si="73"/>
        <v>0.57323968393327485</v>
      </c>
      <c r="L1563" s="17">
        <f t="shared" si="74"/>
        <v>0</v>
      </c>
      <c r="M1563" t="str">
        <f>VLOOKUP(D1563,'Jer-Tip-Emp'!B:E,4,0)</f>
        <v>Platos mong</v>
      </c>
      <c r="N1563" t="str">
        <f>VLOOKUP(D1563,'Jer-Tip-Emp'!B:F,5,0)</f>
        <v>No Personal</v>
      </c>
      <c r="O1563" t="str">
        <f>VLOOKUP(D1563,'Jer-Tip-Emp'!B:G,6,0)</f>
        <v>Caja</v>
      </c>
    </row>
    <row r="1564" spans="1:15" ht="27.5" customHeight="1" x14ac:dyDescent="0.2">
      <c r="A1564">
        <v>2025</v>
      </c>
      <c r="B1564" t="s">
        <v>617</v>
      </c>
      <c r="C1564" t="s">
        <v>609</v>
      </c>
      <c r="D1564" s="19" t="s">
        <v>181</v>
      </c>
      <c r="E1564" s="18" t="s">
        <v>121</v>
      </c>
      <c r="F1564" s="18">
        <v>2</v>
      </c>
      <c r="G1564" s="20">
        <v>39800</v>
      </c>
      <c r="H1564" s="18">
        <v>0</v>
      </c>
      <c r="I1564" s="20">
        <v>12276</v>
      </c>
      <c r="J1564" s="8">
        <f t="shared" si="72"/>
        <v>27524</v>
      </c>
      <c r="K1564" s="10">
        <f t="shared" si="73"/>
        <v>0.69155778894472364</v>
      </c>
      <c r="L1564" s="17">
        <f t="shared" si="74"/>
        <v>0</v>
      </c>
      <c r="M1564" t="str">
        <f>VLOOKUP(D1564,'Jer-Tip-Emp'!B:E,4,0)</f>
        <v>Platos mong</v>
      </c>
      <c r="N1564" t="str">
        <f>VLOOKUP(D1564,'Jer-Tip-Emp'!B:F,5,0)</f>
        <v>Personal</v>
      </c>
      <c r="O1564" t="str">
        <f>VLOOKUP(D1564,'Jer-Tip-Emp'!B:G,6,0)</f>
        <v>Caja</v>
      </c>
    </row>
    <row r="1565" spans="1:15" ht="27.5" hidden="1" customHeight="1" x14ac:dyDescent="0.2">
      <c r="A1565">
        <v>2025</v>
      </c>
      <c r="B1565" t="s">
        <v>617</v>
      </c>
      <c r="C1565" t="s">
        <v>609</v>
      </c>
      <c r="D1565" s="19" t="s">
        <v>308</v>
      </c>
      <c r="E1565" s="18" t="s">
        <v>606</v>
      </c>
      <c r="F1565" s="18">
        <v>2</v>
      </c>
      <c r="G1565" s="20">
        <v>4000</v>
      </c>
      <c r="H1565" s="18">
        <v>0</v>
      </c>
      <c r="I1565" s="18">
        <v>0</v>
      </c>
      <c r="J1565" s="8">
        <f t="shared" si="72"/>
        <v>4000</v>
      </c>
      <c r="K1565" s="10">
        <f t="shared" si="73"/>
        <v>1</v>
      </c>
      <c r="L1565" s="17">
        <f t="shared" si="74"/>
        <v>0</v>
      </c>
      <c r="M1565" t="str">
        <f>VLOOKUP(D1565,'Jer-Tip-Emp'!B:E,4,0)</f>
        <v>Bebidas</v>
      </c>
      <c r="N1565" t="str">
        <f>VLOOKUP(D1565,'Jer-Tip-Emp'!B:F,5,0)</f>
        <v>Bebidas Cambio de bebida</v>
      </c>
      <c r="O1565" t="str">
        <f>VLOOKUP(D1565,'Jer-Tip-Emp'!B:G,6,0)</f>
        <v>Bebidas</v>
      </c>
    </row>
    <row r="1566" spans="1:15" ht="27.5" customHeight="1" x14ac:dyDescent="0.2">
      <c r="A1566">
        <v>2025</v>
      </c>
      <c r="B1566" t="s">
        <v>617</v>
      </c>
      <c r="C1566" t="s">
        <v>609</v>
      </c>
      <c r="D1566" s="19" t="s">
        <v>225</v>
      </c>
      <c r="E1566" s="18" t="s">
        <v>157</v>
      </c>
      <c r="F1566" s="18">
        <v>2</v>
      </c>
      <c r="G1566" s="20">
        <v>35800</v>
      </c>
      <c r="H1566" s="18">
        <v>0</v>
      </c>
      <c r="I1566" s="20">
        <v>14282</v>
      </c>
      <c r="J1566" s="8">
        <f t="shared" si="72"/>
        <v>21518</v>
      </c>
      <c r="K1566" s="10">
        <f t="shared" si="73"/>
        <v>0.60106145251396648</v>
      </c>
      <c r="L1566" s="17">
        <f t="shared" si="74"/>
        <v>0</v>
      </c>
      <c r="M1566" t="str">
        <f>VLOOKUP(D1566,'Jer-Tip-Emp'!B:E,4,0)</f>
        <v>Platos mong</v>
      </c>
      <c r="N1566" t="str">
        <f>VLOOKUP(D1566,'Jer-Tip-Emp'!B:F,5,0)</f>
        <v>Personal</v>
      </c>
      <c r="O1566" t="str">
        <f>VLOOKUP(D1566,'Jer-Tip-Emp'!B:G,6,0)</f>
        <v>Caja</v>
      </c>
    </row>
    <row r="1567" spans="1:15" ht="27.5" hidden="1" customHeight="1" x14ac:dyDescent="0.2">
      <c r="A1567">
        <v>2025</v>
      </c>
      <c r="B1567" t="s">
        <v>617</v>
      </c>
      <c r="C1567" t="s">
        <v>609</v>
      </c>
      <c r="D1567" s="19" t="s">
        <v>452</v>
      </c>
      <c r="E1567" s="18" t="s">
        <v>573</v>
      </c>
      <c r="F1567" s="18">
        <v>2</v>
      </c>
      <c r="G1567" s="20">
        <v>3200</v>
      </c>
      <c r="H1567" s="18">
        <v>0</v>
      </c>
      <c r="I1567" s="20">
        <v>3748</v>
      </c>
      <c r="J1567" s="8">
        <f t="shared" si="72"/>
        <v>-548</v>
      </c>
      <c r="K1567" s="10">
        <f t="shared" si="73"/>
        <v>-0.17125000000000001</v>
      </c>
      <c r="L1567" s="17">
        <f t="shared" si="74"/>
        <v>0</v>
      </c>
      <c r="M1567" t="str">
        <f>VLOOKUP(D1567,'Jer-Tip-Emp'!B:E,4,0)</f>
        <v>Bebidas</v>
      </c>
      <c r="N1567" t="str">
        <f>VLOOKUP(D1567,'Jer-Tip-Emp'!B:F,5,0)</f>
        <v>Bebidas Cambio de bebida</v>
      </c>
      <c r="O1567" t="str">
        <f>VLOOKUP(D1567,'Jer-Tip-Emp'!B:G,6,0)</f>
        <v>Bebidas</v>
      </c>
    </row>
    <row r="1568" spans="1:15" ht="27.5" customHeight="1" x14ac:dyDescent="0.2">
      <c r="A1568">
        <v>2025</v>
      </c>
      <c r="B1568" t="s">
        <v>617</v>
      </c>
      <c r="C1568" t="s">
        <v>609</v>
      </c>
      <c r="D1568" s="19" t="s">
        <v>291</v>
      </c>
      <c r="E1568" s="18" t="s">
        <v>119</v>
      </c>
      <c r="F1568" s="18">
        <v>2</v>
      </c>
      <c r="G1568" s="20">
        <v>119800</v>
      </c>
      <c r="H1568" s="18">
        <v>0</v>
      </c>
      <c r="I1568" s="20">
        <v>36390</v>
      </c>
      <c r="J1568" s="8">
        <f t="shared" si="72"/>
        <v>83410</v>
      </c>
      <c r="K1568" s="10">
        <f t="shared" si="73"/>
        <v>0.69624373956594321</v>
      </c>
      <c r="L1568" s="17">
        <f t="shared" si="74"/>
        <v>0</v>
      </c>
      <c r="M1568" t="str">
        <f>VLOOKUP(D1568,'Jer-Tip-Emp'!B:E,4,0)</f>
        <v>Platos mong</v>
      </c>
      <c r="N1568" t="str">
        <f>VLOOKUP(D1568,'Jer-Tip-Emp'!B:F,5,0)</f>
        <v>No Personal</v>
      </c>
      <c r="O1568" t="str">
        <f>VLOOKUP(D1568,'Jer-Tip-Emp'!B:G,6,0)</f>
        <v>Caja</v>
      </c>
    </row>
    <row r="1569" spans="1:15" ht="27.5" customHeight="1" x14ac:dyDescent="0.2">
      <c r="A1569">
        <v>2025</v>
      </c>
      <c r="B1569" t="s">
        <v>617</v>
      </c>
      <c r="C1569" t="s">
        <v>609</v>
      </c>
      <c r="D1569" s="19" t="s">
        <v>198</v>
      </c>
      <c r="E1569" s="18" t="s">
        <v>124</v>
      </c>
      <c r="F1569" s="18">
        <v>2</v>
      </c>
      <c r="G1569" s="20">
        <v>47800</v>
      </c>
      <c r="H1569" s="18">
        <v>0</v>
      </c>
      <c r="I1569" s="20">
        <v>17514</v>
      </c>
      <c r="J1569" s="8">
        <f t="shared" si="72"/>
        <v>30286</v>
      </c>
      <c r="K1569" s="10">
        <f t="shared" si="73"/>
        <v>0.6335983263598326</v>
      </c>
      <c r="L1569" s="17">
        <f t="shared" si="74"/>
        <v>0</v>
      </c>
      <c r="M1569" t="str">
        <f>VLOOKUP(D1569,'Jer-Tip-Emp'!B:E,4,0)</f>
        <v>Platos mong</v>
      </c>
      <c r="N1569" t="str">
        <f>VLOOKUP(D1569,'Jer-Tip-Emp'!B:F,5,0)</f>
        <v>Personal</v>
      </c>
      <c r="O1569" t="str">
        <f>VLOOKUP(D1569,'Jer-Tip-Emp'!B:G,6,0)</f>
        <v>Caja</v>
      </c>
    </row>
    <row r="1570" spans="1:15" ht="27.5" hidden="1" customHeight="1" x14ac:dyDescent="0.2">
      <c r="A1570">
        <v>2025</v>
      </c>
      <c r="B1570" t="s">
        <v>617</v>
      </c>
      <c r="C1570" t="s">
        <v>609</v>
      </c>
      <c r="D1570" s="19" t="s">
        <v>444</v>
      </c>
      <c r="E1570" s="18" t="s">
        <v>562</v>
      </c>
      <c r="F1570" s="18">
        <v>2</v>
      </c>
      <c r="G1570" s="20">
        <v>3200</v>
      </c>
      <c r="H1570" s="18">
        <v>0</v>
      </c>
      <c r="I1570" s="20">
        <v>3220</v>
      </c>
      <c r="J1570" s="8">
        <f t="shared" si="72"/>
        <v>-20</v>
      </c>
      <c r="K1570" s="10">
        <f t="shared" si="73"/>
        <v>-6.2500000000000003E-3</v>
      </c>
      <c r="L1570" s="17">
        <f t="shared" si="74"/>
        <v>0</v>
      </c>
      <c r="M1570" t="str">
        <f>VLOOKUP(D1570,'Jer-Tip-Emp'!B:E,4,0)</f>
        <v>Bebidas</v>
      </c>
      <c r="N1570" t="str">
        <f>VLOOKUP(D1570,'Jer-Tip-Emp'!B:F,5,0)</f>
        <v>Bebidas Cambio de bebida</v>
      </c>
      <c r="O1570" t="str">
        <f>VLOOKUP(D1570,'Jer-Tip-Emp'!B:G,6,0)</f>
        <v>Bebidas</v>
      </c>
    </row>
    <row r="1571" spans="1:15" ht="27.5" hidden="1" customHeight="1" x14ac:dyDescent="0.2">
      <c r="A1571">
        <v>2025</v>
      </c>
      <c r="B1571" t="s">
        <v>617</v>
      </c>
      <c r="C1571" t="s">
        <v>609</v>
      </c>
      <c r="D1571" s="19" t="s">
        <v>411</v>
      </c>
      <c r="E1571" s="18" t="s">
        <v>569</v>
      </c>
      <c r="F1571" s="18">
        <v>2</v>
      </c>
      <c r="G1571" s="20">
        <v>3200</v>
      </c>
      <c r="H1571" s="18">
        <v>0</v>
      </c>
      <c r="I1571" s="20">
        <v>4470</v>
      </c>
      <c r="J1571" s="8">
        <f t="shared" si="72"/>
        <v>-1270</v>
      </c>
      <c r="K1571" s="10">
        <f t="shared" si="73"/>
        <v>-0.39687499999999998</v>
      </c>
      <c r="L1571" s="17">
        <f t="shared" si="74"/>
        <v>0</v>
      </c>
      <c r="M1571" t="str">
        <f>VLOOKUP(D1571,'Jer-Tip-Emp'!B:E,4,0)</f>
        <v>Bebidas</v>
      </c>
      <c r="N1571" t="str">
        <f>VLOOKUP(D1571,'Jer-Tip-Emp'!B:F,5,0)</f>
        <v>Bebidas Cambio de bebida</v>
      </c>
      <c r="O1571" t="str">
        <f>VLOOKUP(D1571,'Jer-Tip-Emp'!B:G,6,0)</f>
        <v>Bebidas</v>
      </c>
    </row>
    <row r="1572" spans="1:15" ht="27.5" customHeight="1" x14ac:dyDescent="0.2">
      <c r="A1572">
        <v>2025</v>
      </c>
      <c r="B1572" t="s">
        <v>617</v>
      </c>
      <c r="C1572" t="s">
        <v>609</v>
      </c>
      <c r="D1572" s="19" t="s">
        <v>261</v>
      </c>
      <c r="E1572" s="18" t="s">
        <v>135</v>
      </c>
      <c r="F1572" s="18">
        <v>2</v>
      </c>
      <c r="G1572" s="20">
        <v>35800</v>
      </c>
      <c r="H1572" s="18">
        <v>0</v>
      </c>
      <c r="I1572" s="20">
        <v>10932</v>
      </c>
      <c r="J1572" s="8">
        <f t="shared" si="72"/>
        <v>24868</v>
      </c>
      <c r="K1572" s="10">
        <f t="shared" si="73"/>
        <v>0.69463687150837994</v>
      </c>
      <c r="L1572" s="17">
        <f t="shared" si="74"/>
        <v>0</v>
      </c>
      <c r="M1572" t="str">
        <f>VLOOKUP(D1572,'Jer-Tip-Emp'!B:E,4,0)</f>
        <v>Platos mong</v>
      </c>
      <c r="N1572" t="str">
        <f>VLOOKUP(D1572,'Jer-Tip-Emp'!B:F,5,0)</f>
        <v>Personal</v>
      </c>
      <c r="O1572" t="str">
        <f>VLOOKUP(D1572,'Jer-Tip-Emp'!B:G,6,0)</f>
        <v>Caja</v>
      </c>
    </row>
    <row r="1573" spans="1:15" ht="27.5" hidden="1" customHeight="1" x14ac:dyDescent="0.2">
      <c r="A1573">
        <v>2025</v>
      </c>
      <c r="B1573" t="s">
        <v>617</v>
      </c>
      <c r="C1573" t="s">
        <v>609</v>
      </c>
      <c r="D1573" s="19" t="s">
        <v>490</v>
      </c>
      <c r="E1573" s="18" t="s">
        <v>554</v>
      </c>
      <c r="F1573" s="18">
        <v>2</v>
      </c>
      <c r="G1573" s="18">
        <v>0</v>
      </c>
      <c r="H1573" s="18">
        <v>0</v>
      </c>
      <c r="I1573" s="20">
        <v>4098</v>
      </c>
      <c r="J1573" s="8">
        <f t="shared" si="72"/>
        <v>-4098</v>
      </c>
      <c r="K1573" s="10">
        <f t="shared" si="73"/>
        <v>0</v>
      </c>
      <c r="L1573" s="17">
        <f t="shared" si="74"/>
        <v>0</v>
      </c>
      <c r="M1573" t="str">
        <f>VLOOKUP(D1573,'Jer-Tip-Emp'!B:E,4,0)</f>
        <v>Adición</v>
      </c>
      <c r="N1573" t="str">
        <f>VLOOKUP(D1573,'Jer-Tip-Emp'!B:F,5,0)</f>
        <v>Otro</v>
      </c>
      <c r="O1573" t="str">
        <f>VLOOKUP(D1573,'Jer-Tip-Emp'!B:G,6,0)</f>
        <v>Otro</v>
      </c>
    </row>
    <row r="1574" spans="1:15" ht="27.5" hidden="1" customHeight="1" x14ac:dyDescent="0.2">
      <c r="A1574">
        <v>2025</v>
      </c>
      <c r="B1574" t="s">
        <v>617</v>
      </c>
      <c r="C1574" t="s">
        <v>609</v>
      </c>
      <c r="D1574" s="19" t="s">
        <v>465</v>
      </c>
      <c r="E1574" s="18" t="s">
        <v>578</v>
      </c>
      <c r="F1574" s="18">
        <v>2</v>
      </c>
      <c r="G1574" s="20">
        <v>4600</v>
      </c>
      <c r="H1574" s="18">
        <v>0</v>
      </c>
      <c r="I1574" s="20">
        <v>4478</v>
      </c>
      <c r="J1574" s="8">
        <f t="shared" si="72"/>
        <v>122</v>
      </c>
      <c r="K1574" s="10">
        <f t="shared" si="73"/>
        <v>2.6521739130434784E-2</v>
      </c>
      <c r="L1574" s="17">
        <f t="shared" si="74"/>
        <v>0</v>
      </c>
      <c r="M1574" t="str">
        <f>VLOOKUP(D1574,'Jer-Tip-Emp'!B:E,4,0)</f>
        <v>Bebidas</v>
      </c>
      <c r="N1574" t="str">
        <f>VLOOKUP(D1574,'Jer-Tip-Emp'!B:F,5,0)</f>
        <v>Bebidas Cambio de bebida</v>
      </c>
      <c r="O1574" t="str">
        <f>VLOOKUP(D1574,'Jer-Tip-Emp'!B:G,6,0)</f>
        <v>Bebidas</v>
      </c>
    </row>
    <row r="1575" spans="1:15" ht="27.5" hidden="1" customHeight="1" x14ac:dyDescent="0.2">
      <c r="A1575">
        <v>2025</v>
      </c>
      <c r="B1575" t="s">
        <v>617</v>
      </c>
      <c r="C1575" t="s">
        <v>609</v>
      </c>
      <c r="D1575" s="19" t="s">
        <v>275</v>
      </c>
      <c r="E1575" s="18" t="s">
        <v>16</v>
      </c>
      <c r="F1575" s="18">
        <v>2</v>
      </c>
      <c r="G1575" s="20">
        <v>13800</v>
      </c>
      <c r="H1575" s="18">
        <v>0</v>
      </c>
      <c r="I1575" s="20">
        <v>4490</v>
      </c>
      <c r="J1575" s="8">
        <f t="shared" si="72"/>
        <v>9310</v>
      </c>
      <c r="K1575" s="10">
        <f t="shared" si="73"/>
        <v>0.67463768115942024</v>
      </c>
      <c r="L1575" s="17">
        <f t="shared" si="74"/>
        <v>0</v>
      </c>
      <c r="M1575" t="str">
        <f>VLOOKUP(D1575,'Jer-Tip-Emp'!B:E,4,0)</f>
        <v>Adición</v>
      </c>
      <c r="N1575" t="str">
        <f>VLOOKUP(D1575,'Jer-Tip-Emp'!B:F,5,0)</f>
        <v>Adición</v>
      </c>
      <c r="O1575" t="str">
        <f>VLOOKUP(D1575,'Jer-Tip-Emp'!B:G,6,0)</f>
        <v>Adición</v>
      </c>
    </row>
    <row r="1576" spans="1:15" ht="27.5" customHeight="1" x14ac:dyDescent="0.2">
      <c r="A1576">
        <v>2025</v>
      </c>
      <c r="B1576" t="s">
        <v>617</v>
      </c>
      <c r="C1576" t="s">
        <v>609</v>
      </c>
      <c r="D1576" s="19" t="s">
        <v>221</v>
      </c>
      <c r="E1576" s="18" t="s">
        <v>27</v>
      </c>
      <c r="F1576" s="18">
        <v>2</v>
      </c>
      <c r="G1576" s="20">
        <v>15800</v>
      </c>
      <c r="H1576" s="18">
        <v>0</v>
      </c>
      <c r="I1576" s="18">
        <v>0</v>
      </c>
      <c r="J1576" s="8">
        <f t="shared" si="72"/>
        <v>15800</v>
      </c>
      <c r="K1576" s="10">
        <f t="shared" si="73"/>
        <v>1</v>
      </c>
      <c r="L1576" s="17">
        <f t="shared" si="74"/>
        <v>0</v>
      </c>
      <c r="M1576" t="str">
        <f>VLOOKUP(D1576,'Jer-Tip-Emp'!B:E,4,0)</f>
        <v>Armalo en combo</v>
      </c>
      <c r="N1576" t="str">
        <f>VLOOKUP(D1576,'Jer-Tip-Emp'!B:F,5,0)</f>
        <v>Personal</v>
      </c>
      <c r="O1576" t="str">
        <f>VLOOKUP(D1576,'Jer-Tip-Emp'!B:G,6,0)</f>
        <v>Combo</v>
      </c>
    </row>
    <row r="1577" spans="1:15" ht="27.5" hidden="1" customHeight="1" x14ac:dyDescent="0.2">
      <c r="A1577">
        <v>2025</v>
      </c>
      <c r="B1577" t="s">
        <v>617</v>
      </c>
      <c r="C1577" t="s">
        <v>609</v>
      </c>
      <c r="D1577" s="19" t="s">
        <v>450</v>
      </c>
      <c r="E1577" s="18" t="s">
        <v>565</v>
      </c>
      <c r="F1577" s="18">
        <v>2</v>
      </c>
      <c r="G1577" s="20">
        <v>3200</v>
      </c>
      <c r="H1577" s="18">
        <v>0</v>
      </c>
      <c r="I1577" s="20">
        <v>3748</v>
      </c>
      <c r="J1577" s="8">
        <f t="shared" si="72"/>
        <v>-548</v>
      </c>
      <c r="K1577" s="10">
        <f t="shared" si="73"/>
        <v>-0.17125000000000001</v>
      </c>
      <c r="L1577" s="17">
        <f t="shared" si="74"/>
        <v>0</v>
      </c>
      <c r="M1577" t="str">
        <f>VLOOKUP(D1577,'Jer-Tip-Emp'!B:E,4,0)</f>
        <v>Bebidas</v>
      </c>
      <c r="N1577" t="str">
        <f>VLOOKUP(D1577,'Jer-Tip-Emp'!B:F,5,0)</f>
        <v>Bebidas Cambio de bebida</v>
      </c>
      <c r="O1577" t="str">
        <f>VLOOKUP(D1577,'Jer-Tip-Emp'!B:G,6,0)</f>
        <v>Bebidas</v>
      </c>
    </row>
    <row r="1578" spans="1:15" ht="27.5" hidden="1" customHeight="1" x14ac:dyDescent="0.2">
      <c r="A1578">
        <v>2025</v>
      </c>
      <c r="B1578" t="s">
        <v>617</v>
      </c>
      <c r="C1578" t="s">
        <v>609</v>
      </c>
      <c r="D1578" s="19" t="s">
        <v>495</v>
      </c>
      <c r="E1578" s="18" t="s">
        <v>572</v>
      </c>
      <c r="F1578" s="18">
        <v>2</v>
      </c>
      <c r="G1578" s="20">
        <v>3200</v>
      </c>
      <c r="H1578" s="18">
        <v>0</v>
      </c>
      <c r="I1578" s="20">
        <v>3792</v>
      </c>
      <c r="J1578" s="8">
        <f t="shared" si="72"/>
        <v>-592</v>
      </c>
      <c r="K1578" s="10">
        <f t="shared" si="73"/>
        <v>-0.185</v>
      </c>
      <c r="L1578" s="17">
        <f t="shared" si="74"/>
        <v>0</v>
      </c>
      <c r="M1578" t="str">
        <f>VLOOKUP(D1578,'Jer-Tip-Emp'!B:E,4,0)</f>
        <v>Bebidas</v>
      </c>
      <c r="N1578" t="str">
        <f>VLOOKUP(D1578,'Jer-Tip-Emp'!B:F,5,0)</f>
        <v>Bebidas Cambio de bebida</v>
      </c>
      <c r="O1578" t="str">
        <f>VLOOKUP(D1578,'Jer-Tip-Emp'!B:G,6,0)</f>
        <v>Bebidas</v>
      </c>
    </row>
    <row r="1579" spans="1:15" ht="27.5" customHeight="1" x14ac:dyDescent="0.2">
      <c r="A1579">
        <v>2025</v>
      </c>
      <c r="B1579" t="s">
        <v>617</v>
      </c>
      <c r="C1579" t="s">
        <v>609</v>
      </c>
      <c r="D1579" s="19" t="s">
        <v>299</v>
      </c>
      <c r="E1579" s="18" t="s">
        <v>129</v>
      </c>
      <c r="F1579" s="18">
        <v>2</v>
      </c>
      <c r="G1579" s="20">
        <v>93800</v>
      </c>
      <c r="H1579" s="18">
        <v>0</v>
      </c>
      <c r="I1579" s="20">
        <v>22664</v>
      </c>
      <c r="J1579" s="8">
        <f t="shared" si="72"/>
        <v>71136</v>
      </c>
      <c r="K1579" s="10">
        <f t="shared" si="73"/>
        <v>0.7583795309168444</v>
      </c>
      <c r="L1579" s="17">
        <f t="shared" si="74"/>
        <v>0</v>
      </c>
      <c r="M1579" t="str">
        <f>VLOOKUP(D1579,'Jer-Tip-Emp'!B:E,4,0)</f>
        <v>Platos mong</v>
      </c>
      <c r="N1579" t="str">
        <f>VLOOKUP(D1579,'Jer-Tip-Emp'!B:F,5,0)</f>
        <v>No Personal</v>
      </c>
      <c r="O1579" t="str">
        <f>VLOOKUP(D1579,'Jer-Tip-Emp'!B:G,6,0)</f>
        <v>Caja</v>
      </c>
    </row>
    <row r="1580" spans="1:15" ht="27.5" customHeight="1" x14ac:dyDescent="0.2">
      <c r="A1580">
        <v>2025</v>
      </c>
      <c r="B1580" t="s">
        <v>617</v>
      </c>
      <c r="C1580" t="s">
        <v>609</v>
      </c>
      <c r="D1580" s="19" t="s">
        <v>279</v>
      </c>
      <c r="E1580" s="18" t="s">
        <v>132</v>
      </c>
      <c r="F1580" s="18">
        <v>2</v>
      </c>
      <c r="G1580" s="20">
        <v>83800</v>
      </c>
      <c r="H1580" s="18">
        <v>0</v>
      </c>
      <c r="I1580" s="20">
        <v>22434</v>
      </c>
      <c r="J1580" s="8">
        <f t="shared" si="72"/>
        <v>61366</v>
      </c>
      <c r="K1580" s="10">
        <f t="shared" si="73"/>
        <v>0.73229116945107398</v>
      </c>
      <c r="L1580" s="17">
        <f t="shared" si="74"/>
        <v>0</v>
      </c>
      <c r="M1580" t="str">
        <f>VLOOKUP(D1580,'Jer-Tip-Emp'!B:E,4,0)</f>
        <v>Platos mong</v>
      </c>
      <c r="N1580" t="str">
        <f>VLOOKUP(D1580,'Jer-Tip-Emp'!B:F,5,0)</f>
        <v>No Personal</v>
      </c>
      <c r="O1580" t="str">
        <f>VLOOKUP(D1580,'Jer-Tip-Emp'!B:G,6,0)</f>
        <v>Caja</v>
      </c>
    </row>
    <row r="1581" spans="1:15" ht="27.5" customHeight="1" x14ac:dyDescent="0.2">
      <c r="A1581">
        <v>2025</v>
      </c>
      <c r="B1581" t="s">
        <v>617</v>
      </c>
      <c r="C1581" t="s">
        <v>609</v>
      </c>
      <c r="D1581" s="19" t="s">
        <v>208</v>
      </c>
      <c r="E1581" s="18" t="s">
        <v>30</v>
      </c>
      <c r="F1581" s="18">
        <v>1</v>
      </c>
      <c r="G1581" s="20">
        <v>7900</v>
      </c>
      <c r="H1581" s="18">
        <v>0</v>
      </c>
      <c r="I1581" s="20">
        <v>2917</v>
      </c>
      <c r="J1581" s="8">
        <f t="shared" si="72"/>
        <v>4983</v>
      </c>
      <c r="K1581" s="10">
        <f t="shared" si="73"/>
        <v>0.63075949367088613</v>
      </c>
      <c r="L1581" s="17">
        <f t="shared" si="74"/>
        <v>0</v>
      </c>
      <c r="M1581" t="str">
        <f>VLOOKUP(D1581,'Jer-Tip-Emp'!B:E,4,0)</f>
        <v>Armalo en combo</v>
      </c>
      <c r="N1581" t="str">
        <f>VLOOKUP(D1581,'Jer-Tip-Emp'!B:F,5,0)</f>
        <v>Personal</v>
      </c>
      <c r="O1581" t="str">
        <f>VLOOKUP(D1581,'Jer-Tip-Emp'!B:G,6,0)</f>
        <v>Combo</v>
      </c>
    </row>
    <row r="1582" spans="1:15" ht="27.5" hidden="1" customHeight="1" x14ac:dyDescent="0.2">
      <c r="A1582">
        <v>2025</v>
      </c>
      <c r="B1582" t="s">
        <v>617</v>
      </c>
      <c r="C1582" t="s">
        <v>609</v>
      </c>
      <c r="D1582" s="19" t="s">
        <v>346</v>
      </c>
      <c r="E1582" s="18" t="s">
        <v>551</v>
      </c>
      <c r="F1582" s="18">
        <v>1</v>
      </c>
      <c r="G1582" s="18">
        <v>0</v>
      </c>
      <c r="H1582" s="18">
        <v>0</v>
      </c>
      <c r="I1582" s="18">
        <v>0</v>
      </c>
      <c r="J1582" s="8">
        <f t="shared" si="72"/>
        <v>0</v>
      </c>
      <c r="K1582" s="10">
        <f t="shared" si="73"/>
        <v>0</v>
      </c>
      <c r="L1582" s="17">
        <f t="shared" si="74"/>
        <v>0</v>
      </c>
      <c r="M1582" t="str">
        <f>VLOOKUP(D1582,'Jer-Tip-Emp'!B:E,4,0)</f>
        <v>Adición</v>
      </c>
      <c r="N1582" t="str">
        <f>VLOOKUP(D1582,'Jer-Tip-Emp'!B:F,5,0)</f>
        <v>Adición</v>
      </c>
      <c r="O1582" t="str">
        <f>VLOOKUP(D1582,'Jer-Tip-Emp'!B:G,6,0)</f>
        <v>Adición</v>
      </c>
    </row>
    <row r="1583" spans="1:15" ht="27.5" hidden="1" customHeight="1" x14ac:dyDescent="0.2">
      <c r="A1583">
        <v>2025</v>
      </c>
      <c r="B1583" t="s">
        <v>617</v>
      </c>
      <c r="C1583" t="s">
        <v>609</v>
      </c>
      <c r="D1583" s="19" t="s">
        <v>496</v>
      </c>
      <c r="E1583" s="18" t="s">
        <v>581</v>
      </c>
      <c r="F1583" s="18">
        <v>1</v>
      </c>
      <c r="G1583" s="20">
        <v>1600</v>
      </c>
      <c r="H1583" s="18">
        <v>0</v>
      </c>
      <c r="I1583" s="20">
        <v>1896</v>
      </c>
      <c r="J1583" s="8">
        <f t="shared" si="72"/>
        <v>-296</v>
      </c>
      <c r="K1583" s="10">
        <f t="shared" si="73"/>
        <v>-0.185</v>
      </c>
      <c r="L1583" s="17">
        <f t="shared" si="74"/>
        <v>0</v>
      </c>
      <c r="M1583" t="str">
        <f>VLOOKUP(D1583,'Jer-Tip-Emp'!B:E,4,0)</f>
        <v>Bebidas</v>
      </c>
      <c r="N1583" t="str">
        <f>VLOOKUP(D1583,'Jer-Tip-Emp'!B:F,5,0)</f>
        <v>Bebidas Cambio de bebida</v>
      </c>
      <c r="O1583" t="str">
        <f>VLOOKUP(D1583,'Jer-Tip-Emp'!B:G,6,0)</f>
        <v>Bebidas</v>
      </c>
    </row>
    <row r="1584" spans="1:15" ht="27.5" customHeight="1" x14ac:dyDescent="0.2">
      <c r="A1584">
        <v>2025</v>
      </c>
      <c r="B1584" t="s">
        <v>617</v>
      </c>
      <c r="C1584" t="s">
        <v>609</v>
      </c>
      <c r="D1584" s="19" t="s">
        <v>286</v>
      </c>
      <c r="E1584" s="18" t="s">
        <v>144</v>
      </c>
      <c r="F1584" s="18">
        <v>1</v>
      </c>
      <c r="G1584" s="20">
        <v>76900</v>
      </c>
      <c r="H1584" s="18">
        <v>0</v>
      </c>
      <c r="I1584" s="20">
        <v>34655</v>
      </c>
      <c r="J1584" s="8">
        <f t="shared" si="72"/>
        <v>42245</v>
      </c>
      <c r="K1584" s="10">
        <f t="shared" si="73"/>
        <v>0.54934980494148244</v>
      </c>
      <c r="L1584" s="17">
        <f t="shared" si="74"/>
        <v>0</v>
      </c>
      <c r="M1584" t="str">
        <f>VLOOKUP(D1584,'Jer-Tip-Emp'!B:E,4,0)</f>
        <v>Platos mong</v>
      </c>
      <c r="N1584" t="str">
        <f>VLOOKUP(D1584,'Jer-Tip-Emp'!B:F,5,0)</f>
        <v>No Personal</v>
      </c>
      <c r="O1584" t="str">
        <f>VLOOKUP(D1584,'Jer-Tip-Emp'!B:G,6,0)</f>
        <v>Caja</v>
      </c>
    </row>
    <row r="1585" spans="1:15" ht="27.5" customHeight="1" x14ac:dyDescent="0.2">
      <c r="A1585">
        <v>2025</v>
      </c>
      <c r="B1585" t="s">
        <v>617</v>
      </c>
      <c r="C1585" t="s">
        <v>609</v>
      </c>
      <c r="D1585" s="19" t="s">
        <v>216</v>
      </c>
      <c r="E1585" s="18" t="s">
        <v>158</v>
      </c>
      <c r="F1585" s="18">
        <v>1</v>
      </c>
      <c r="G1585" s="20">
        <v>39900</v>
      </c>
      <c r="H1585" s="18">
        <v>0</v>
      </c>
      <c r="I1585" s="20">
        <v>15895</v>
      </c>
      <c r="J1585" s="8">
        <f t="shared" si="72"/>
        <v>24005</v>
      </c>
      <c r="K1585" s="10">
        <f t="shared" si="73"/>
        <v>0.60162907268170429</v>
      </c>
      <c r="L1585" s="17">
        <f t="shared" si="74"/>
        <v>0</v>
      </c>
      <c r="M1585" t="str">
        <f>VLOOKUP(D1585,'Jer-Tip-Emp'!B:E,4,0)</f>
        <v>Platos mong</v>
      </c>
      <c r="N1585" t="str">
        <f>VLOOKUP(D1585,'Jer-Tip-Emp'!B:F,5,0)</f>
        <v>No Personal</v>
      </c>
      <c r="O1585" t="str">
        <f>VLOOKUP(D1585,'Jer-Tip-Emp'!B:G,6,0)</f>
        <v>Caja</v>
      </c>
    </row>
    <row r="1586" spans="1:15" ht="27.5" customHeight="1" x14ac:dyDescent="0.2">
      <c r="A1586">
        <v>2025</v>
      </c>
      <c r="B1586" t="s">
        <v>617</v>
      </c>
      <c r="C1586" t="s">
        <v>609</v>
      </c>
      <c r="D1586" s="19" t="s">
        <v>199</v>
      </c>
      <c r="E1586" s="18" t="s">
        <v>115</v>
      </c>
      <c r="F1586" s="18">
        <v>1</v>
      </c>
      <c r="G1586" s="20">
        <v>11900</v>
      </c>
      <c r="H1586" s="18">
        <v>0</v>
      </c>
      <c r="I1586" s="18">
        <v>0</v>
      </c>
      <c r="J1586" s="8">
        <f t="shared" si="72"/>
        <v>11900</v>
      </c>
      <c r="K1586" s="10">
        <f t="shared" si="73"/>
        <v>1</v>
      </c>
      <c r="L1586" s="17">
        <f t="shared" si="74"/>
        <v>0</v>
      </c>
      <c r="M1586" t="str">
        <f>VLOOKUP(D1586,'Jer-Tip-Emp'!B:E,4,0)</f>
        <v>Platos especiales</v>
      </c>
      <c r="N1586" t="str">
        <f>VLOOKUP(D1586,'Jer-Tip-Emp'!B:F,5,0)</f>
        <v>Personal</v>
      </c>
      <c r="O1586" t="str">
        <f>VLOOKUP(D1586,'Jer-Tip-Emp'!B:G,6,0)</f>
        <v>Platos especiales</v>
      </c>
    </row>
    <row r="1587" spans="1:15" ht="27.5" customHeight="1" x14ac:dyDescent="0.2">
      <c r="A1587">
        <v>2025</v>
      </c>
      <c r="B1587" t="s">
        <v>617</v>
      </c>
      <c r="C1587" t="s">
        <v>609</v>
      </c>
      <c r="D1587" s="19" t="s">
        <v>182</v>
      </c>
      <c r="E1587" s="18" t="s">
        <v>118</v>
      </c>
      <c r="F1587" s="18">
        <v>1</v>
      </c>
      <c r="G1587" s="20">
        <v>26458</v>
      </c>
      <c r="H1587" s="20">
        <v>-1442</v>
      </c>
      <c r="I1587" s="20">
        <v>9478</v>
      </c>
      <c r="J1587" s="8">
        <f t="shared" si="72"/>
        <v>16980</v>
      </c>
      <c r="K1587" s="10">
        <f t="shared" si="73"/>
        <v>0.64177186484239168</v>
      </c>
      <c r="L1587" s="17">
        <f t="shared" si="74"/>
        <v>5.4501474034318542E-2</v>
      </c>
      <c r="M1587" t="str">
        <f>VLOOKUP(D1587,'Jer-Tip-Emp'!B:E,4,0)</f>
        <v>Platos mong</v>
      </c>
      <c r="N1587" t="str">
        <f>VLOOKUP(D1587,'Jer-Tip-Emp'!B:F,5,0)</f>
        <v>Personal</v>
      </c>
      <c r="O1587" t="str">
        <f>VLOOKUP(D1587,'Jer-Tip-Emp'!B:G,6,0)</f>
        <v>Caja</v>
      </c>
    </row>
    <row r="1588" spans="1:15" ht="27.5" hidden="1" customHeight="1" x14ac:dyDescent="0.2">
      <c r="A1588">
        <v>2025</v>
      </c>
      <c r="B1588" t="s">
        <v>617</v>
      </c>
      <c r="C1588" t="s">
        <v>609</v>
      </c>
      <c r="D1588" s="19" t="s">
        <v>492</v>
      </c>
      <c r="E1588" s="18" t="s">
        <v>577</v>
      </c>
      <c r="F1588" s="18">
        <v>1</v>
      </c>
      <c r="G1588" s="20">
        <v>1600</v>
      </c>
      <c r="H1588" s="18">
        <v>0</v>
      </c>
      <c r="I1588" s="20">
        <v>1895</v>
      </c>
      <c r="J1588" s="8">
        <f t="shared" si="72"/>
        <v>-295</v>
      </c>
      <c r="K1588" s="10">
        <f t="shared" si="73"/>
        <v>-0.18437500000000001</v>
      </c>
      <c r="L1588" s="17">
        <f t="shared" si="74"/>
        <v>0</v>
      </c>
      <c r="M1588" t="str">
        <f>VLOOKUP(D1588,'Jer-Tip-Emp'!B:E,4,0)</f>
        <v>Bebidas</v>
      </c>
      <c r="N1588" t="str">
        <f>VLOOKUP(D1588,'Jer-Tip-Emp'!B:F,5,0)</f>
        <v>Bebidas Cambio de bebida</v>
      </c>
      <c r="O1588" t="str">
        <f>VLOOKUP(D1588,'Jer-Tip-Emp'!B:G,6,0)</f>
        <v>Bebidas</v>
      </c>
    </row>
    <row r="1589" spans="1:15" ht="27.5" hidden="1" customHeight="1" x14ac:dyDescent="0.2">
      <c r="A1589">
        <v>2025</v>
      </c>
      <c r="B1589" t="s">
        <v>617</v>
      </c>
      <c r="C1589" t="s">
        <v>609</v>
      </c>
      <c r="D1589" s="19" t="s">
        <v>300</v>
      </c>
      <c r="E1589" s="18" t="s">
        <v>26</v>
      </c>
      <c r="F1589" s="18">
        <v>1</v>
      </c>
      <c r="G1589" s="20">
        <v>7900</v>
      </c>
      <c r="H1589" s="18">
        <v>0</v>
      </c>
      <c r="I1589" s="18">
        <v>0</v>
      </c>
      <c r="J1589" s="8">
        <f t="shared" si="72"/>
        <v>7900</v>
      </c>
      <c r="K1589" s="10">
        <f t="shared" si="73"/>
        <v>1</v>
      </c>
      <c r="L1589" s="17">
        <f t="shared" si="74"/>
        <v>0</v>
      </c>
      <c r="M1589" t="str">
        <f>VLOOKUP(D1589,'Jer-Tip-Emp'!B:E,4,0)</f>
        <v>Adición</v>
      </c>
      <c r="N1589" t="str">
        <f>VLOOKUP(D1589,'Jer-Tip-Emp'!B:F,5,0)</f>
        <v>Adición</v>
      </c>
      <c r="O1589" t="str">
        <f>VLOOKUP(D1589,'Jer-Tip-Emp'!B:G,6,0)</f>
        <v>Adición</v>
      </c>
    </row>
    <row r="1590" spans="1:15" ht="27.5" hidden="1" customHeight="1" x14ac:dyDescent="0.2">
      <c r="A1590">
        <v>2025</v>
      </c>
      <c r="B1590" t="s">
        <v>617</v>
      </c>
      <c r="C1590" t="s">
        <v>609</v>
      </c>
      <c r="D1590" s="19" t="s">
        <v>183</v>
      </c>
      <c r="E1590" s="18" t="s">
        <v>104</v>
      </c>
      <c r="F1590" s="18">
        <v>1</v>
      </c>
      <c r="G1590" s="20">
        <v>15900</v>
      </c>
      <c r="H1590" s="18">
        <v>0</v>
      </c>
      <c r="I1590" s="20">
        <v>10028</v>
      </c>
      <c r="J1590" s="8">
        <f t="shared" si="72"/>
        <v>5872</v>
      </c>
      <c r="K1590" s="10">
        <f t="shared" si="73"/>
        <v>0.36930817610062894</v>
      </c>
      <c r="L1590" s="17">
        <f t="shared" si="74"/>
        <v>0</v>
      </c>
      <c r="M1590" t="str">
        <f>VLOOKUP(D1590,'Jer-Tip-Emp'!B:E,4,0)</f>
        <v>Entradas</v>
      </c>
      <c r="N1590" t="str">
        <f>VLOOKUP(D1590,'Jer-Tip-Emp'!B:F,5,0)</f>
        <v>Otro</v>
      </c>
      <c r="O1590" t="str">
        <f>VLOOKUP(D1590,'Jer-Tip-Emp'!B:G,6,0)</f>
        <v>Otro</v>
      </c>
    </row>
    <row r="1591" spans="1:15" ht="27.5" hidden="1" customHeight="1" x14ac:dyDescent="0.2">
      <c r="A1591">
        <v>2025</v>
      </c>
      <c r="B1591" t="s">
        <v>617</v>
      </c>
      <c r="C1591" t="s">
        <v>609</v>
      </c>
      <c r="D1591" s="19" t="s">
        <v>231</v>
      </c>
      <c r="E1591" s="18" t="s">
        <v>34</v>
      </c>
      <c r="F1591" s="18">
        <v>1</v>
      </c>
      <c r="G1591" s="20">
        <v>8900</v>
      </c>
      <c r="H1591" s="18">
        <v>0</v>
      </c>
      <c r="I1591" s="18">
        <v>0</v>
      </c>
      <c r="J1591" s="8">
        <f t="shared" si="72"/>
        <v>8900</v>
      </c>
      <c r="K1591" s="10">
        <f t="shared" si="73"/>
        <v>1</v>
      </c>
      <c r="L1591" s="17">
        <f t="shared" si="74"/>
        <v>0</v>
      </c>
      <c r="M1591" t="str">
        <f>VLOOKUP(D1591,'Jer-Tip-Emp'!B:E,4,0)</f>
        <v>Adición</v>
      </c>
      <c r="N1591" t="str">
        <f>VLOOKUP(D1591,'Jer-Tip-Emp'!B:F,5,0)</f>
        <v>Adición</v>
      </c>
      <c r="O1591" t="str">
        <f>VLOOKUP(D1591,'Jer-Tip-Emp'!B:G,6,0)</f>
        <v>Adición</v>
      </c>
    </row>
    <row r="1592" spans="1:15" ht="27.5" customHeight="1" x14ac:dyDescent="0.2">
      <c r="A1592">
        <v>2025</v>
      </c>
      <c r="B1592" t="s">
        <v>617</v>
      </c>
      <c r="C1592" t="s">
        <v>609</v>
      </c>
      <c r="D1592" s="19" t="s">
        <v>265</v>
      </c>
      <c r="E1592" s="18" t="s">
        <v>140</v>
      </c>
      <c r="F1592" s="18">
        <v>1</v>
      </c>
      <c r="G1592" s="20">
        <v>85900</v>
      </c>
      <c r="H1592" s="18">
        <v>0</v>
      </c>
      <c r="I1592" s="20">
        <v>32179</v>
      </c>
      <c r="J1592" s="8">
        <f t="shared" si="72"/>
        <v>53721</v>
      </c>
      <c r="K1592" s="10">
        <f t="shared" si="73"/>
        <v>0.62538998835855641</v>
      </c>
      <c r="L1592" s="17">
        <f t="shared" si="74"/>
        <v>0</v>
      </c>
      <c r="M1592" t="str">
        <f>VLOOKUP(D1592,'Jer-Tip-Emp'!B:E,4,0)</f>
        <v>Platos mong</v>
      </c>
      <c r="N1592" t="str">
        <f>VLOOKUP(D1592,'Jer-Tip-Emp'!B:F,5,0)</f>
        <v>No Personal</v>
      </c>
      <c r="O1592" t="str">
        <f>VLOOKUP(D1592,'Jer-Tip-Emp'!B:G,6,0)</f>
        <v>Caja</v>
      </c>
    </row>
    <row r="1593" spans="1:15" ht="27.5" hidden="1" customHeight="1" x14ac:dyDescent="0.2">
      <c r="A1593">
        <v>2025</v>
      </c>
      <c r="B1593" t="s">
        <v>617</v>
      </c>
      <c r="C1593" t="s">
        <v>594</v>
      </c>
      <c r="D1593" s="19" t="s">
        <v>173</v>
      </c>
      <c r="E1593" s="18" t="s">
        <v>542</v>
      </c>
      <c r="F1593" s="18">
        <v>51</v>
      </c>
      <c r="G1593" s="18">
        <v>0</v>
      </c>
      <c r="H1593" s="18">
        <v>0</v>
      </c>
      <c r="I1593" s="18">
        <v>0</v>
      </c>
      <c r="J1593" s="8">
        <f t="shared" si="72"/>
        <v>0</v>
      </c>
      <c r="K1593" s="10">
        <f t="shared" si="73"/>
        <v>0</v>
      </c>
      <c r="L1593" s="17">
        <f t="shared" si="74"/>
        <v>0</v>
      </c>
      <c r="M1593" t="str">
        <f>VLOOKUP(D1593,'Jer-Tip-Emp'!B:E,4,0)</f>
        <v>Bebidas</v>
      </c>
      <c r="N1593" t="str">
        <f>VLOOKUP(D1593,'Jer-Tip-Emp'!B:F,5,0)</f>
        <v>Bebidas Cambio de bebida</v>
      </c>
      <c r="O1593" t="str">
        <f>VLOOKUP(D1593,'Jer-Tip-Emp'!B:G,6,0)</f>
        <v>Bebidas</v>
      </c>
    </row>
    <row r="1594" spans="1:15" ht="27.5" customHeight="1" x14ac:dyDescent="0.2">
      <c r="A1594">
        <v>2025</v>
      </c>
      <c r="B1594" t="s">
        <v>617</v>
      </c>
      <c r="C1594" t="s">
        <v>594</v>
      </c>
      <c r="D1594" s="19" t="s">
        <v>207</v>
      </c>
      <c r="E1594" s="18" t="s">
        <v>92</v>
      </c>
      <c r="F1594" s="18">
        <v>43</v>
      </c>
      <c r="G1594" s="20">
        <v>1098300</v>
      </c>
      <c r="H1594" s="20">
        <v>-273400</v>
      </c>
      <c r="I1594" s="20">
        <v>413961</v>
      </c>
      <c r="J1594" s="8">
        <f t="shared" si="72"/>
        <v>684339</v>
      </c>
      <c r="K1594" s="10">
        <f t="shared" si="73"/>
        <v>0.62308931985796234</v>
      </c>
      <c r="L1594" s="17">
        <f t="shared" si="74"/>
        <v>0.24893016480014568</v>
      </c>
      <c r="M1594" t="str">
        <f>VLOOKUP(D1594,'Jer-Tip-Emp'!B:E,4,0)</f>
        <v>Combos personales</v>
      </c>
      <c r="N1594" t="str">
        <f>VLOOKUP(D1594,'Jer-Tip-Emp'!B:F,5,0)</f>
        <v>Personal</v>
      </c>
      <c r="O1594" t="str">
        <f>VLOOKUP(D1594,'Jer-Tip-Emp'!B:G,6,0)</f>
        <v>Combo</v>
      </c>
    </row>
    <row r="1595" spans="1:15" ht="27.5" hidden="1" customHeight="1" x14ac:dyDescent="0.2">
      <c r="A1595">
        <v>2025</v>
      </c>
      <c r="B1595" t="s">
        <v>617</v>
      </c>
      <c r="C1595" t="s">
        <v>594</v>
      </c>
      <c r="D1595" s="19" t="s">
        <v>346</v>
      </c>
      <c r="E1595" s="18" t="s">
        <v>551</v>
      </c>
      <c r="F1595" s="18">
        <v>15</v>
      </c>
      <c r="G1595" s="18">
        <v>0</v>
      </c>
      <c r="H1595" s="18">
        <v>0</v>
      </c>
      <c r="I1595" s="18">
        <v>0</v>
      </c>
      <c r="J1595" s="8">
        <f t="shared" si="72"/>
        <v>0</v>
      </c>
      <c r="K1595" s="10">
        <f t="shared" si="73"/>
        <v>0</v>
      </c>
      <c r="L1595" s="17">
        <f t="shared" si="74"/>
        <v>0</v>
      </c>
      <c r="M1595" t="str">
        <f>VLOOKUP(D1595,'Jer-Tip-Emp'!B:E,4,0)</f>
        <v>Adición</v>
      </c>
      <c r="N1595" t="str">
        <f>VLOOKUP(D1595,'Jer-Tip-Emp'!B:F,5,0)</f>
        <v>Adición</v>
      </c>
      <c r="O1595" t="str">
        <f>VLOOKUP(D1595,'Jer-Tip-Emp'!B:G,6,0)</f>
        <v>Adición</v>
      </c>
    </row>
    <row r="1596" spans="1:15" ht="27.5" customHeight="1" x14ac:dyDescent="0.2">
      <c r="A1596">
        <v>2025</v>
      </c>
      <c r="B1596" t="s">
        <v>617</v>
      </c>
      <c r="C1596" t="s">
        <v>594</v>
      </c>
      <c r="D1596" s="19" t="s">
        <v>184</v>
      </c>
      <c r="E1596" s="18" t="s">
        <v>162</v>
      </c>
      <c r="F1596" s="18">
        <v>14</v>
      </c>
      <c r="G1596" s="20">
        <v>349650</v>
      </c>
      <c r="H1596" s="20">
        <v>-26950</v>
      </c>
      <c r="I1596" s="18">
        <v>0</v>
      </c>
      <c r="J1596" s="8">
        <f t="shared" si="72"/>
        <v>349650</v>
      </c>
      <c r="K1596" s="10">
        <f t="shared" si="73"/>
        <v>1</v>
      </c>
      <c r="L1596" s="17">
        <f t="shared" si="74"/>
        <v>7.7077077077077075E-2</v>
      </c>
      <c r="M1596" t="str">
        <f>VLOOKUP(D1596,'Jer-Tip-Emp'!B:E,4,0)</f>
        <v>Combos personales</v>
      </c>
      <c r="N1596" t="str">
        <f>VLOOKUP(D1596,'Jer-Tip-Emp'!B:F,5,0)</f>
        <v>Personal</v>
      </c>
      <c r="O1596" t="str">
        <f>VLOOKUP(D1596,'Jer-Tip-Emp'!B:G,6,0)</f>
        <v>Caja</v>
      </c>
    </row>
    <row r="1597" spans="1:15" ht="27.5" customHeight="1" x14ac:dyDescent="0.2">
      <c r="A1597">
        <v>2025</v>
      </c>
      <c r="B1597" t="s">
        <v>617</v>
      </c>
      <c r="C1597" t="s">
        <v>594</v>
      </c>
      <c r="D1597" s="19" t="s">
        <v>196</v>
      </c>
      <c r="E1597" s="18" t="s">
        <v>159</v>
      </c>
      <c r="F1597" s="18">
        <v>12</v>
      </c>
      <c r="G1597" s="20">
        <v>319050</v>
      </c>
      <c r="H1597" s="20">
        <v>-99750</v>
      </c>
      <c r="I1597" s="20">
        <v>114012</v>
      </c>
      <c r="J1597" s="8">
        <f t="shared" si="72"/>
        <v>205038</v>
      </c>
      <c r="K1597" s="10">
        <f t="shared" si="73"/>
        <v>0.64265162200282089</v>
      </c>
      <c r="L1597" s="17">
        <f t="shared" si="74"/>
        <v>0.31264692054536908</v>
      </c>
      <c r="M1597" t="str">
        <f>VLOOKUP(D1597,'Jer-Tip-Emp'!B:E,4,0)</f>
        <v>Combos personales</v>
      </c>
      <c r="N1597" t="str">
        <f>VLOOKUP(D1597,'Jer-Tip-Emp'!B:F,5,0)</f>
        <v>Personal</v>
      </c>
      <c r="O1597" t="str">
        <f>VLOOKUP(D1597,'Jer-Tip-Emp'!B:G,6,0)</f>
        <v>Combo</v>
      </c>
    </row>
    <row r="1598" spans="1:15" ht="27.5" customHeight="1" x14ac:dyDescent="0.2">
      <c r="A1598">
        <v>2025</v>
      </c>
      <c r="B1598" t="s">
        <v>617</v>
      </c>
      <c r="C1598" t="s">
        <v>594</v>
      </c>
      <c r="D1598" s="19" t="s">
        <v>212</v>
      </c>
      <c r="E1598" s="18" t="s">
        <v>160</v>
      </c>
      <c r="F1598" s="18">
        <v>11</v>
      </c>
      <c r="G1598" s="20">
        <v>330400</v>
      </c>
      <c r="H1598" s="20">
        <v>-97500</v>
      </c>
      <c r="I1598" s="20">
        <v>123783</v>
      </c>
      <c r="J1598" s="8">
        <f t="shared" si="72"/>
        <v>206617</v>
      </c>
      <c r="K1598" s="10">
        <f t="shared" si="73"/>
        <v>0.62535411622276027</v>
      </c>
      <c r="L1598" s="17">
        <f t="shared" si="74"/>
        <v>0.29509685230024213</v>
      </c>
      <c r="M1598" t="str">
        <f>VLOOKUP(D1598,'Jer-Tip-Emp'!B:E,4,0)</f>
        <v>Combos personales</v>
      </c>
      <c r="N1598" t="str">
        <f>VLOOKUP(D1598,'Jer-Tip-Emp'!B:F,5,0)</f>
        <v>Personal</v>
      </c>
      <c r="O1598" t="str">
        <f>VLOOKUP(D1598,'Jer-Tip-Emp'!B:G,6,0)</f>
        <v>Combo</v>
      </c>
    </row>
    <row r="1599" spans="1:15" ht="27.5" customHeight="1" x14ac:dyDescent="0.2">
      <c r="A1599">
        <v>2025</v>
      </c>
      <c r="B1599" t="s">
        <v>617</v>
      </c>
      <c r="C1599" t="s">
        <v>594</v>
      </c>
      <c r="D1599" s="19" t="s">
        <v>228</v>
      </c>
      <c r="E1599" s="18" t="s">
        <v>96</v>
      </c>
      <c r="F1599" s="18">
        <v>10</v>
      </c>
      <c r="G1599" s="20">
        <v>291500</v>
      </c>
      <c r="H1599" s="20">
        <v>-97500</v>
      </c>
      <c r="I1599" s="20">
        <v>102470</v>
      </c>
      <c r="J1599" s="8">
        <f t="shared" si="72"/>
        <v>189030</v>
      </c>
      <c r="K1599" s="10">
        <f t="shared" si="73"/>
        <v>0.64847341337907372</v>
      </c>
      <c r="L1599" s="17">
        <f t="shared" si="74"/>
        <v>0.33447684391080618</v>
      </c>
      <c r="M1599" t="str">
        <f>VLOOKUP(D1599,'Jer-Tip-Emp'!B:E,4,0)</f>
        <v>Combos personales</v>
      </c>
      <c r="N1599" t="str">
        <f>VLOOKUP(D1599,'Jer-Tip-Emp'!B:F,5,0)</f>
        <v>Personal</v>
      </c>
      <c r="O1599" t="str">
        <f>VLOOKUP(D1599,'Jer-Tip-Emp'!B:G,6,0)</f>
        <v>Combo</v>
      </c>
    </row>
    <row r="1600" spans="1:15" ht="27.5" hidden="1" customHeight="1" x14ac:dyDescent="0.2">
      <c r="A1600">
        <v>2025</v>
      </c>
      <c r="B1600" t="s">
        <v>617</v>
      </c>
      <c r="C1600" t="s">
        <v>594</v>
      </c>
      <c r="D1600" s="19" t="s">
        <v>500</v>
      </c>
      <c r="E1600" s="18" t="s">
        <v>546</v>
      </c>
      <c r="F1600" s="18">
        <v>10</v>
      </c>
      <c r="G1600" s="18">
        <v>0</v>
      </c>
      <c r="H1600" s="18">
        <v>0</v>
      </c>
      <c r="I1600" s="20">
        <v>8680</v>
      </c>
      <c r="J1600" s="8">
        <f t="shared" si="72"/>
        <v>-8680</v>
      </c>
      <c r="K1600" s="10">
        <f t="shared" si="73"/>
        <v>0</v>
      </c>
      <c r="L1600" s="17">
        <f t="shared" si="74"/>
        <v>0</v>
      </c>
      <c r="M1600" t="str">
        <f>VLOOKUP(D1600,'Jer-Tip-Emp'!B:E,4,0)</f>
        <v>Bebidas</v>
      </c>
      <c r="N1600" t="str">
        <f>VLOOKUP(D1600,'Jer-Tip-Emp'!B:F,5,0)</f>
        <v>Bebidas Cambio de bebida</v>
      </c>
      <c r="O1600" t="str">
        <f>VLOOKUP(D1600,'Jer-Tip-Emp'!B:G,6,0)</f>
        <v>Bebidas</v>
      </c>
    </row>
    <row r="1601" spans="1:15" ht="27.5" customHeight="1" x14ac:dyDescent="0.2">
      <c r="A1601">
        <v>2025</v>
      </c>
      <c r="B1601" t="s">
        <v>617</v>
      </c>
      <c r="C1601" t="s">
        <v>594</v>
      </c>
      <c r="D1601" s="19" t="s">
        <v>186</v>
      </c>
      <c r="E1601" s="18" t="s">
        <v>95</v>
      </c>
      <c r="F1601" s="18">
        <v>9</v>
      </c>
      <c r="G1601" s="20">
        <v>311100</v>
      </c>
      <c r="H1601" s="20">
        <v>-39000</v>
      </c>
      <c r="I1601" s="20">
        <v>86130</v>
      </c>
      <c r="J1601" s="8">
        <f t="shared" ref="J1601:J1664" si="75">G1601-I1601</f>
        <v>224970</v>
      </c>
      <c r="K1601" s="10">
        <f t="shared" ref="K1601:K1664" si="76">IFERROR(J1601/G1601,0)</f>
        <v>0.72314368370298943</v>
      </c>
      <c r="L1601" s="17">
        <f t="shared" ref="L1601:L1664" si="77">IFERROR((H1601/G1601)*-1,0)</f>
        <v>0.1253616200578592</v>
      </c>
      <c r="M1601" t="str">
        <f>VLOOKUP(D1601,'Jer-Tip-Emp'!B:E,4,0)</f>
        <v>Combos personales</v>
      </c>
      <c r="N1601" t="str">
        <f>VLOOKUP(D1601,'Jer-Tip-Emp'!B:F,5,0)</f>
        <v>Personal</v>
      </c>
      <c r="O1601" t="str">
        <f>VLOOKUP(D1601,'Jer-Tip-Emp'!B:G,6,0)</f>
        <v>Combo</v>
      </c>
    </row>
    <row r="1602" spans="1:15" ht="27.5" hidden="1" customHeight="1" x14ac:dyDescent="0.2">
      <c r="A1602">
        <v>2025</v>
      </c>
      <c r="B1602" t="s">
        <v>617</v>
      </c>
      <c r="C1602" t="s">
        <v>594</v>
      </c>
      <c r="D1602" s="19" t="s">
        <v>342</v>
      </c>
      <c r="E1602" s="18" t="s">
        <v>556</v>
      </c>
      <c r="F1602" s="18">
        <v>7</v>
      </c>
      <c r="G1602" s="20">
        <v>53200</v>
      </c>
      <c r="H1602" s="18">
        <v>0</v>
      </c>
      <c r="I1602" s="20">
        <v>21756</v>
      </c>
      <c r="J1602" s="8">
        <f t="shared" si="75"/>
        <v>31444</v>
      </c>
      <c r="K1602" s="10">
        <f t="shared" si="76"/>
        <v>0.59105263157894739</v>
      </c>
      <c r="L1602" s="17">
        <f t="shared" si="77"/>
        <v>0</v>
      </c>
      <c r="M1602" t="str">
        <f>VLOOKUP(D1602,'Jer-Tip-Emp'!B:E,4,0)</f>
        <v>Adición</v>
      </c>
      <c r="N1602" t="str">
        <f>VLOOKUP(D1602,'Jer-Tip-Emp'!B:F,5,0)</f>
        <v>Adición</v>
      </c>
      <c r="O1602" t="str">
        <f>VLOOKUP(D1602,'Jer-Tip-Emp'!B:G,6,0)</f>
        <v>Adición</v>
      </c>
    </row>
    <row r="1603" spans="1:15" ht="27.5" hidden="1" customHeight="1" x14ac:dyDescent="0.2">
      <c r="A1603">
        <v>2025</v>
      </c>
      <c r="B1603" t="s">
        <v>617</v>
      </c>
      <c r="C1603" t="s">
        <v>594</v>
      </c>
      <c r="D1603" s="19" t="s">
        <v>410</v>
      </c>
      <c r="E1603" s="18" t="s">
        <v>559</v>
      </c>
      <c r="F1603" s="18">
        <v>6</v>
      </c>
      <c r="G1603" s="20">
        <v>15600</v>
      </c>
      <c r="H1603" s="18">
        <v>0</v>
      </c>
      <c r="I1603" s="20">
        <v>13410</v>
      </c>
      <c r="J1603" s="8">
        <f t="shared" si="75"/>
        <v>2190</v>
      </c>
      <c r="K1603" s="10">
        <f t="shared" si="76"/>
        <v>0.14038461538461539</v>
      </c>
      <c r="L1603" s="17">
        <f t="shared" si="77"/>
        <v>0</v>
      </c>
      <c r="M1603" t="str">
        <f>VLOOKUP(D1603,'Jer-Tip-Emp'!B:E,4,0)</f>
        <v>Bebidas</v>
      </c>
      <c r="N1603" t="str">
        <f>VLOOKUP(D1603,'Jer-Tip-Emp'!B:F,5,0)</f>
        <v>Bebidas Cambio de bebida</v>
      </c>
      <c r="O1603" t="str">
        <f>VLOOKUP(D1603,'Jer-Tip-Emp'!B:G,6,0)</f>
        <v>Bebidas</v>
      </c>
    </row>
    <row r="1604" spans="1:15" ht="27.5" hidden="1" customHeight="1" x14ac:dyDescent="0.2">
      <c r="A1604">
        <v>2025</v>
      </c>
      <c r="B1604" t="s">
        <v>617</v>
      </c>
      <c r="C1604" t="s">
        <v>594</v>
      </c>
      <c r="D1604" s="19" t="s">
        <v>438</v>
      </c>
      <c r="E1604" s="18" t="s">
        <v>563</v>
      </c>
      <c r="F1604" s="18">
        <v>6</v>
      </c>
      <c r="G1604" s="20">
        <v>45600</v>
      </c>
      <c r="H1604" s="18">
        <v>0</v>
      </c>
      <c r="I1604" s="20">
        <v>17094</v>
      </c>
      <c r="J1604" s="8">
        <f t="shared" si="75"/>
        <v>28506</v>
      </c>
      <c r="K1604" s="10">
        <f t="shared" si="76"/>
        <v>0.62513157894736837</v>
      </c>
      <c r="L1604" s="17">
        <f t="shared" si="77"/>
        <v>0</v>
      </c>
      <c r="M1604" t="str">
        <f>VLOOKUP(D1604,'Jer-Tip-Emp'!B:E,4,0)</f>
        <v>Adición</v>
      </c>
      <c r="N1604" t="str">
        <f>VLOOKUP(D1604,'Jer-Tip-Emp'!B:F,5,0)</f>
        <v>Adición</v>
      </c>
      <c r="O1604" t="str">
        <f>VLOOKUP(D1604,'Jer-Tip-Emp'!B:G,6,0)</f>
        <v>Adición</v>
      </c>
    </row>
    <row r="1605" spans="1:15" ht="27.5" hidden="1" customHeight="1" x14ac:dyDescent="0.2">
      <c r="A1605">
        <v>2025</v>
      </c>
      <c r="B1605" t="s">
        <v>617</v>
      </c>
      <c r="C1605" t="s">
        <v>594</v>
      </c>
      <c r="D1605" s="19" t="s">
        <v>176</v>
      </c>
      <c r="E1605" s="18" t="s">
        <v>544</v>
      </c>
      <c r="F1605" s="18">
        <v>5</v>
      </c>
      <c r="G1605" s="20">
        <v>5000</v>
      </c>
      <c r="H1605" s="18">
        <v>0</v>
      </c>
      <c r="I1605" s="20">
        <v>9725</v>
      </c>
      <c r="J1605" s="8">
        <f t="shared" si="75"/>
        <v>-4725</v>
      </c>
      <c r="K1605" s="10">
        <f t="shared" si="76"/>
        <v>-0.94499999999999995</v>
      </c>
      <c r="L1605" s="17">
        <f t="shared" si="77"/>
        <v>0</v>
      </c>
      <c r="M1605" t="str">
        <f>VLOOKUP(D1605,'Jer-Tip-Emp'!B:E,4,0)</f>
        <v>Bebidas</v>
      </c>
      <c r="N1605" t="str">
        <f>VLOOKUP(D1605,'Jer-Tip-Emp'!B:F,5,0)</f>
        <v>Bebidas Cambio de bebida</v>
      </c>
      <c r="O1605" t="str">
        <f>VLOOKUP(D1605,'Jer-Tip-Emp'!B:G,6,0)</f>
        <v>Bebidas</v>
      </c>
    </row>
    <row r="1606" spans="1:15" ht="27.5" hidden="1" customHeight="1" x14ac:dyDescent="0.2">
      <c r="A1606">
        <v>2025</v>
      </c>
      <c r="B1606" t="s">
        <v>617</v>
      </c>
      <c r="C1606" t="s">
        <v>594</v>
      </c>
      <c r="D1606" s="19" t="s">
        <v>490</v>
      </c>
      <c r="E1606" s="18" t="s">
        <v>554</v>
      </c>
      <c r="F1606" s="18">
        <v>5</v>
      </c>
      <c r="G1606" s="18">
        <v>0</v>
      </c>
      <c r="H1606" s="18">
        <v>0</v>
      </c>
      <c r="I1606" s="20">
        <v>10245</v>
      </c>
      <c r="J1606" s="8">
        <f t="shared" si="75"/>
        <v>-10245</v>
      </c>
      <c r="K1606" s="10">
        <f t="shared" si="76"/>
        <v>0</v>
      </c>
      <c r="L1606" s="17">
        <f t="shared" si="77"/>
        <v>0</v>
      </c>
      <c r="M1606" t="str">
        <f>VLOOKUP(D1606,'Jer-Tip-Emp'!B:E,4,0)</f>
        <v>Adición</v>
      </c>
      <c r="N1606" t="str">
        <f>VLOOKUP(D1606,'Jer-Tip-Emp'!B:F,5,0)</f>
        <v>Otro</v>
      </c>
      <c r="O1606" t="str">
        <f>VLOOKUP(D1606,'Jer-Tip-Emp'!B:G,6,0)</f>
        <v>Otro</v>
      </c>
    </row>
    <row r="1607" spans="1:15" ht="27.5" hidden="1" customHeight="1" x14ac:dyDescent="0.2">
      <c r="A1607">
        <v>2025</v>
      </c>
      <c r="B1607" t="s">
        <v>617</v>
      </c>
      <c r="C1607" t="s">
        <v>594</v>
      </c>
      <c r="D1607" s="19" t="s">
        <v>400</v>
      </c>
      <c r="E1607" s="18" t="s">
        <v>564</v>
      </c>
      <c r="F1607" s="18">
        <v>5</v>
      </c>
      <c r="G1607" s="20">
        <v>24000</v>
      </c>
      <c r="H1607" s="18">
        <v>0</v>
      </c>
      <c r="I1607" s="20">
        <v>6410</v>
      </c>
      <c r="J1607" s="8">
        <f t="shared" si="75"/>
        <v>17590</v>
      </c>
      <c r="K1607" s="10">
        <f t="shared" si="76"/>
        <v>0.73291666666666666</v>
      </c>
      <c r="L1607" s="17">
        <f t="shared" si="77"/>
        <v>0</v>
      </c>
      <c r="M1607" t="str">
        <f>VLOOKUP(D1607,'Jer-Tip-Emp'!B:E,4,0)</f>
        <v>Adición</v>
      </c>
      <c r="N1607" t="str">
        <f>VLOOKUP(D1607,'Jer-Tip-Emp'!B:F,5,0)</f>
        <v>Adición</v>
      </c>
      <c r="O1607" t="str">
        <f>VLOOKUP(D1607,'Jer-Tip-Emp'!B:G,6,0)</f>
        <v>Adición</v>
      </c>
    </row>
    <row r="1608" spans="1:15" ht="27.5" hidden="1" customHeight="1" x14ac:dyDescent="0.2">
      <c r="A1608">
        <v>2025</v>
      </c>
      <c r="B1608" t="s">
        <v>617</v>
      </c>
      <c r="C1608" t="s">
        <v>594</v>
      </c>
      <c r="D1608" s="19" t="s">
        <v>284</v>
      </c>
      <c r="E1608" s="18" t="s">
        <v>106</v>
      </c>
      <c r="F1608" s="18">
        <v>5</v>
      </c>
      <c r="G1608" s="20">
        <v>64500</v>
      </c>
      <c r="H1608" s="18">
        <v>0</v>
      </c>
      <c r="I1608" s="20">
        <v>15695</v>
      </c>
      <c r="J1608" s="8">
        <f t="shared" si="75"/>
        <v>48805</v>
      </c>
      <c r="K1608" s="10">
        <f t="shared" si="76"/>
        <v>0.75666666666666671</v>
      </c>
      <c r="L1608" s="17">
        <f t="shared" si="77"/>
        <v>0</v>
      </c>
      <c r="M1608" t="str">
        <f>VLOOKUP(D1608,'Jer-Tip-Emp'!B:E,4,0)</f>
        <v>Entradas</v>
      </c>
      <c r="N1608" t="str">
        <f>VLOOKUP(D1608,'Jer-Tip-Emp'!B:F,5,0)</f>
        <v>Otro</v>
      </c>
      <c r="O1608" t="str">
        <f>VLOOKUP(D1608,'Jer-Tip-Emp'!B:G,6,0)</f>
        <v>Otro</v>
      </c>
    </row>
    <row r="1609" spans="1:15" ht="27.5" customHeight="1" x14ac:dyDescent="0.2">
      <c r="A1609">
        <v>2025</v>
      </c>
      <c r="B1609" t="s">
        <v>617</v>
      </c>
      <c r="C1609" t="s">
        <v>594</v>
      </c>
      <c r="D1609" s="19" t="s">
        <v>206</v>
      </c>
      <c r="E1609" s="18" t="s">
        <v>117</v>
      </c>
      <c r="F1609" s="18">
        <v>4</v>
      </c>
      <c r="G1609" s="20">
        <v>64600</v>
      </c>
      <c r="H1609" s="20">
        <v>-15000</v>
      </c>
      <c r="I1609" s="20">
        <v>28500</v>
      </c>
      <c r="J1609" s="8">
        <f t="shared" si="75"/>
        <v>36100</v>
      </c>
      <c r="K1609" s="10">
        <f t="shared" si="76"/>
        <v>0.55882352941176472</v>
      </c>
      <c r="L1609" s="17">
        <f t="shared" si="77"/>
        <v>0.23219814241486067</v>
      </c>
      <c r="M1609" t="str">
        <f>VLOOKUP(D1609,'Jer-Tip-Emp'!B:E,4,0)</f>
        <v>Platos especiales</v>
      </c>
      <c r="N1609" t="str">
        <f>VLOOKUP(D1609,'Jer-Tip-Emp'!B:F,5,0)</f>
        <v>Personal</v>
      </c>
      <c r="O1609" t="str">
        <f>VLOOKUP(D1609,'Jer-Tip-Emp'!B:G,6,0)</f>
        <v>Platos especiales</v>
      </c>
    </row>
    <row r="1610" spans="1:15" ht="27.5" hidden="1" customHeight="1" x14ac:dyDescent="0.2">
      <c r="A1610">
        <v>2025</v>
      </c>
      <c r="B1610" t="s">
        <v>617</v>
      </c>
      <c r="C1610" t="s">
        <v>594</v>
      </c>
      <c r="D1610" s="19" t="s">
        <v>328</v>
      </c>
      <c r="E1610" s="18" t="s">
        <v>555</v>
      </c>
      <c r="F1610" s="18">
        <v>4</v>
      </c>
      <c r="G1610" s="20">
        <v>4000</v>
      </c>
      <c r="H1610" s="18">
        <v>0</v>
      </c>
      <c r="I1610" s="18">
        <v>236</v>
      </c>
      <c r="J1610" s="8">
        <f t="shared" si="75"/>
        <v>3764</v>
      </c>
      <c r="K1610" s="10">
        <f t="shared" si="76"/>
        <v>0.94099999999999995</v>
      </c>
      <c r="L1610" s="17">
        <f t="shared" si="77"/>
        <v>0</v>
      </c>
      <c r="M1610" t="str">
        <f>VLOOKUP(D1610,'Jer-Tip-Emp'!B:E,4,0)</f>
        <v>Adición</v>
      </c>
      <c r="N1610" t="str">
        <f>VLOOKUP(D1610,'Jer-Tip-Emp'!B:F,5,0)</f>
        <v>Adición</v>
      </c>
      <c r="O1610" t="str">
        <f>VLOOKUP(D1610,'Jer-Tip-Emp'!B:G,6,0)</f>
        <v>Adición</v>
      </c>
    </row>
    <row r="1611" spans="1:15" ht="27.5" customHeight="1" x14ac:dyDescent="0.2">
      <c r="A1611">
        <v>2025</v>
      </c>
      <c r="B1611" t="s">
        <v>617</v>
      </c>
      <c r="C1611" t="s">
        <v>594</v>
      </c>
      <c r="D1611" s="19" t="s">
        <v>177</v>
      </c>
      <c r="E1611" s="18" t="s">
        <v>99</v>
      </c>
      <c r="F1611" s="18">
        <v>4</v>
      </c>
      <c r="G1611" s="20">
        <v>126350</v>
      </c>
      <c r="H1611" s="20">
        <v>-29250</v>
      </c>
      <c r="I1611" s="18">
        <v>0</v>
      </c>
      <c r="J1611" s="8">
        <f t="shared" si="75"/>
        <v>126350</v>
      </c>
      <c r="K1611" s="10">
        <f t="shared" si="76"/>
        <v>1</v>
      </c>
      <c r="L1611" s="17">
        <f t="shared" si="77"/>
        <v>0.23149980213692126</v>
      </c>
      <c r="M1611" t="str">
        <f>VLOOKUP(D1611,'Jer-Tip-Emp'!B:E,4,0)</f>
        <v>Combos personales</v>
      </c>
      <c r="N1611" t="str">
        <f>VLOOKUP(D1611,'Jer-Tip-Emp'!B:F,5,0)</f>
        <v>Personal</v>
      </c>
      <c r="O1611" t="str">
        <f>VLOOKUP(D1611,'Jer-Tip-Emp'!B:G,6,0)</f>
        <v>Combo</v>
      </c>
    </row>
    <row r="1612" spans="1:15" ht="27.5" customHeight="1" x14ac:dyDescent="0.2">
      <c r="A1612">
        <v>2025</v>
      </c>
      <c r="B1612" t="s">
        <v>617</v>
      </c>
      <c r="C1612" t="s">
        <v>594</v>
      </c>
      <c r="D1612" s="19" t="s">
        <v>213</v>
      </c>
      <c r="E1612" s="18" t="s">
        <v>101</v>
      </c>
      <c r="F1612" s="18">
        <v>3</v>
      </c>
      <c r="G1612" s="20">
        <v>119700</v>
      </c>
      <c r="H1612" s="18">
        <v>0</v>
      </c>
      <c r="I1612" s="20">
        <v>98403</v>
      </c>
      <c r="J1612" s="8">
        <f t="shared" si="75"/>
        <v>21297</v>
      </c>
      <c r="K1612" s="10">
        <f t="shared" si="76"/>
        <v>0.17791979949874687</v>
      </c>
      <c r="L1612" s="17">
        <f t="shared" si="77"/>
        <v>0</v>
      </c>
      <c r="M1612" t="str">
        <f>VLOOKUP(D1612,'Jer-Tip-Emp'!B:E,4,0)</f>
        <v>Combos personales</v>
      </c>
      <c r="N1612" t="str">
        <f>VLOOKUP(D1612,'Jer-Tip-Emp'!B:F,5,0)</f>
        <v>Personal</v>
      </c>
      <c r="O1612" t="str">
        <f>VLOOKUP(D1612,'Jer-Tip-Emp'!B:G,6,0)</f>
        <v>Combo</v>
      </c>
    </row>
    <row r="1613" spans="1:15" ht="27.5" hidden="1" customHeight="1" x14ac:dyDescent="0.2">
      <c r="A1613">
        <v>2025</v>
      </c>
      <c r="B1613" t="s">
        <v>617</v>
      </c>
      <c r="C1613" t="s">
        <v>594</v>
      </c>
      <c r="D1613" s="19" t="s">
        <v>282</v>
      </c>
      <c r="E1613" s="18" t="s">
        <v>19</v>
      </c>
      <c r="F1613" s="18">
        <v>3</v>
      </c>
      <c r="G1613" s="20">
        <v>23700</v>
      </c>
      <c r="H1613" s="18">
        <v>0</v>
      </c>
      <c r="I1613" s="20">
        <v>12294</v>
      </c>
      <c r="J1613" s="8">
        <f t="shared" si="75"/>
        <v>11406</v>
      </c>
      <c r="K1613" s="10">
        <f t="shared" si="76"/>
        <v>0.48126582278481012</v>
      </c>
      <c r="L1613" s="17">
        <f t="shared" si="77"/>
        <v>0</v>
      </c>
      <c r="M1613" t="str">
        <f>VLOOKUP(D1613,'Jer-Tip-Emp'!B:E,4,0)</f>
        <v>Adición</v>
      </c>
      <c r="N1613" t="str">
        <f>VLOOKUP(D1613,'Jer-Tip-Emp'!B:F,5,0)</f>
        <v>Adición</v>
      </c>
      <c r="O1613" t="str">
        <f>VLOOKUP(D1613,'Jer-Tip-Emp'!B:G,6,0)</f>
        <v>Adición</v>
      </c>
    </row>
    <row r="1614" spans="1:15" ht="27.5" customHeight="1" x14ac:dyDescent="0.2">
      <c r="A1614">
        <v>2025</v>
      </c>
      <c r="B1614" t="s">
        <v>617</v>
      </c>
      <c r="C1614" t="s">
        <v>594</v>
      </c>
      <c r="D1614" s="19" t="s">
        <v>333</v>
      </c>
      <c r="E1614" s="18" t="s">
        <v>547</v>
      </c>
      <c r="F1614" s="18">
        <v>3</v>
      </c>
      <c r="G1614" s="18">
        <v>0</v>
      </c>
      <c r="H1614" s="18">
        <v>0</v>
      </c>
      <c r="I1614" s="20">
        <v>9966</v>
      </c>
      <c r="J1614" s="8">
        <f t="shared" si="75"/>
        <v>-9966</v>
      </c>
      <c r="K1614" s="10">
        <f t="shared" si="76"/>
        <v>0</v>
      </c>
      <c r="L1614" s="17">
        <f t="shared" si="77"/>
        <v>0</v>
      </c>
      <c r="M1614" t="str">
        <f>VLOOKUP(D1614,'Jer-Tip-Emp'!B:E,4,0)</f>
        <v>Arma tu plato</v>
      </c>
      <c r="N1614" t="str">
        <f>VLOOKUP(D1614,'Jer-Tip-Emp'!B:F,5,0)</f>
        <v>Personal</v>
      </c>
      <c r="O1614" t="str">
        <f>VLOOKUP(D1614,'Jer-Tip-Emp'!B:G,6,0)</f>
        <v>Caja</v>
      </c>
    </row>
    <row r="1615" spans="1:15" ht="27.5" customHeight="1" x14ac:dyDescent="0.2">
      <c r="A1615">
        <v>2025</v>
      </c>
      <c r="B1615" t="s">
        <v>617</v>
      </c>
      <c r="C1615" t="s">
        <v>594</v>
      </c>
      <c r="D1615" s="19" t="s">
        <v>354</v>
      </c>
      <c r="E1615" s="18" t="s">
        <v>548</v>
      </c>
      <c r="F1615" s="18">
        <v>3</v>
      </c>
      <c r="G1615" s="18">
        <v>0</v>
      </c>
      <c r="H1615" s="18">
        <v>0</v>
      </c>
      <c r="I1615" s="20">
        <v>7902</v>
      </c>
      <c r="J1615" s="8">
        <f t="shared" si="75"/>
        <v>-7902</v>
      </c>
      <c r="K1615" s="10">
        <f t="shared" si="76"/>
        <v>0</v>
      </c>
      <c r="L1615" s="17">
        <f t="shared" si="77"/>
        <v>0</v>
      </c>
      <c r="M1615" t="str">
        <f>VLOOKUP(D1615,'Jer-Tip-Emp'!B:E,4,0)</f>
        <v>Arma tu plato</v>
      </c>
      <c r="N1615" t="str">
        <f>VLOOKUP(D1615,'Jer-Tip-Emp'!B:F,5,0)</f>
        <v>Personal</v>
      </c>
      <c r="O1615" t="str">
        <f>VLOOKUP(D1615,'Jer-Tip-Emp'!B:G,6,0)</f>
        <v>Caja</v>
      </c>
    </row>
    <row r="1616" spans="1:15" ht="27.5" customHeight="1" x14ac:dyDescent="0.2">
      <c r="A1616">
        <v>2025</v>
      </c>
      <c r="B1616" t="s">
        <v>617</v>
      </c>
      <c r="C1616" t="s">
        <v>594</v>
      </c>
      <c r="D1616" s="19" t="s">
        <v>313</v>
      </c>
      <c r="E1616" s="18" t="s">
        <v>540</v>
      </c>
      <c r="F1616" s="18">
        <v>3</v>
      </c>
      <c r="G1616" s="18">
        <v>0</v>
      </c>
      <c r="H1616" s="18">
        <v>0</v>
      </c>
      <c r="I1616" s="20">
        <v>16473</v>
      </c>
      <c r="J1616" s="8">
        <f t="shared" si="75"/>
        <v>-16473</v>
      </c>
      <c r="K1616" s="10">
        <f t="shared" si="76"/>
        <v>0</v>
      </c>
      <c r="L1616" s="17">
        <f t="shared" si="77"/>
        <v>0</v>
      </c>
      <c r="M1616" t="str">
        <f>VLOOKUP(D1616,'Jer-Tip-Emp'!B:E,4,0)</f>
        <v>Arma tu plato</v>
      </c>
      <c r="N1616" t="str">
        <f>VLOOKUP(D1616,'Jer-Tip-Emp'!B:F,5,0)</f>
        <v>Personal</v>
      </c>
      <c r="O1616" t="str">
        <f>VLOOKUP(D1616,'Jer-Tip-Emp'!B:G,6,0)</f>
        <v>Caja</v>
      </c>
    </row>
    <row r="1617" spans="1:15" ht="27.5" hidden="1" customHeight="1" x14ac:dyDescent="0.2">
      <c r="A1617">
        <v>2025</v>
      </c>
      <c r="B1617" t="s">
        <v>617</v>
      </c>
      <c r="C1617" t="s">
        <v>594</v>
      </c>
      <c r="D1617" s="19" t="s">
        <v>348</v>
      </c>
      <c r="E1617" s="18" t="s">
        <v>567</v>
      </c>
      <c r="F1617" s="18">
        <v>2</v>
      </c>
      <c r="G1617" s="20">
        <v>16000</v>
      </c>
      <c r="H1617" s="18">
        <v>0</v>
      </c>
      <c r="I1617" s="20">
        <v>3494</v>
      </c>
      <c r="J1617" s="8">
        <f t="shared" si="75"/>
        <v>12506</v>
      </c>
      <c r="K1617" s="10">
        <f t="shared" si="76"/>
        <v>0.78162500000000001</v>
      </c>
      <c r="L1617" s="17">
        <f t="shared" si="77"/>
        <v>0</v>
      </c>
      <c r="M1617" t="str">
        <f>VLOOKUP(D1617,'Jer-Tip-Emp'!B:E,4,0)</f>
        <v>Adición</v>
      </c>
      <c r="N1617" t="str">
        <f>VLOOKUP(D1617,'Jer-Tip-Emp'!B:F,5,0)</f>
        <v>Adición</v>
      </c>
      <c r="O1617" t="str">
        <f>VLOOKUP(D1617,'Jer-Tip-Emp'!B:G,6,0)</f>
        <v>Adición</v>
      </c>
    </row>
    <row r="1618" spans="1:15" ht="27.5" customHeight="1" x14ac:dyDescent="0.2">
      <c r="A1618">
        <v>2025</v>
      </c>
      <c r="B1618" t="s">
        <v>617</v>
      </c>
      <c r="C1618" t="s">
        <v>594</v>
      </c>
      <c r="D1618" s="19" t="s">
        <v>294</v>
      </c>
      <c r="E1618" s="18" t="s">
        <v>108</v>
      </c>
      <c r="F1618" s="18">
        <v>2</v>
      </c>
      <c r="G1618" s="20">
        <v>47050</v>
      </c>
      <c r="H1618" s="20">
        <v>-6750</v>
      </c>
      <c r="I1618" s="20">
        <v>16366</v>
      </c>
      <c r="J1618" s="8">
        <f t="shared" si="75"/>
        <v>30684</v>
      </c>
      <c r="K1618" s="10">
        <f t="shared" si="76"/>
        <v>0.65215727948990432</v>
      </c>
      <c r="L1618" s="17">
        <f t="shared" si="77"/>
        <v>0.1434643995749203</v>
      </c>
      <c r="M1618" t="str">
        <f>VLOOKUP(D1618,'Jer-Tip-Emp'!B:E,4,0)</f>
        <v>Mong Express</v>
      </c>
      <c r="N1618" t="str">
        <f>VLOOKUP(D1618,'Jer-Tip-Emp'!B:F,5,0)</f>
        <v>Personal</v>
      </c>
      <c r="O1618" t="str">
        <f>VLOOKUP(D1618,'Jer-Tip-Emp'!B:G,6,0)</f>
        <v>Caja</v>
      </c>
    </row>
    <row r="1619" spans="1:15" ht="27.5" hidden="1" customHeight="1" x14ac:dyDescent="0.2">
      <c r="A1619">
        <v>2025</v>
      </c>
      <c r="B1619" t="s">
        <v>617</v>
      </c>
      <c r="C1619" t="s">
        <v>594</v>
      </c>
      <c r="D1619" s="19" t="s">
        <v>367</v>
      </c>
      <c r="E1619" s="18" t="s">
        <v>566</v>
      </c>
      <c r="F1619" s="18">
        <v>2</v>
      </c>
      <c r="G1619" s="20">
        <v>2000</v>
      </c>
      <c r="H1619" s="18">
        <v>0</v>
      </c>
      <c r="I1619" s="18">
        <v>0</v>
      </c>
      <c r="J1619" s="8">
        <f t="shared" si="75"/>
        <v>2000</v>
      </c>
      <c r="K1619" s="10">
        <f t="shared" si="76"/>
        <v>1</v>
      </c>
      <c r="L1619" s="17">
        <f t="shared" si="77"/>
        <v>0</v>
      </c>
      <c r="M1619" t="str">
        <f>VLOOKUP(D1619,'Jer-Tip-Emp'!B:E,4,0)</f>
        <v>Adición</v>
      </c>
      <c r="N1619" t="str">
        <f>VLOOKUP(D1619,'Jer-Tip-Emp'!B:F,5,0)</f>
        <v>Adición</v>
      </c>
      <c r="O1619" t="str">
        <f>VLOOKUP(D1619,'Jer-Tip-Emp'!B:G,6,0)</f>
        <v>Adición</v>
      </c>
    </row>
    <row r="1620" spans="1:15" ht="27.5" customHeight="1" x14ac:dyDescent="0.2">
      <c r="A1620">
        <v>2025</v>
      </c>
      <c r="B1620" t="s">
        <v>617</v>
      </c>
      <c r="C1620" t="s">
        <v>594</v>
      </c>
      <c r="D1620" s="19" t="s">
        <v>214</v>
      </c>
      <c r="E1620" s="18" t="s">
        <v>81</v>
      </c>
      <c r="F1620" s="18">
        <v>2</v>
      </c>
      <c r="G1620" s="20">
        <v>161800</v>
      </c>
      <c r="H1620" s="18">
        <v>0</v>
      </c>
      <c r="I1620" s="20">
        <v>47276</v>
      </c>
      <c r="J1620" s="8">
        <f t="shared" si="75"/>
        <v>114524</v>
      </c>
      <c r="K1620" s="10">
        <f t="shared" si="76"/>
        <v>0.70781211372064279</v>
      </c>
      <c r="L1620" s="17">
        <f t="shared" si="77"/>
        <v>0</v>
      </c>
      <c r="M1620" t="str">
        <f>VLOOKUP(D1620,'Jer-Tip-Emp'!B:E,4,0)</f>
        <v>Combos para compartir</v>
      </c>
      <c r="N1620" t="str">
        <f>VLOOKUP(D1620,'Jer-Tip-Emp'!B:F,5,0)</f>
        <v>No Personal</v>
      </c>
      <c r="O1620" t="str">
        <f>VLOOKUP(D1620,'Jer-Tip-Emp'!B:G,6,0)</f>
        <v>Combo</v>
      </c>
    </row>
    <row r="1621" spans="1:15" ht="27.5" hidden="1" customHeight="1" x14ac:dyDescent="0.2">
      <c r="A1621">
        <v>2025</v>
      </c>
      <c r="B1621" t="s">
        <v>617</v>
      </c>
      <c r="C1621" t="s">
        <v>594</v>
      </c>
      <c r="D1621" s="19" t="s">
        <v>426</v>
      </c>
      <c r="E1621" s="18" t="s">
        <v>561</v>
      </c>
      <c r="F1621" s="18">
        <v>1</v>
      </c>
      <c r="G1621" s="20">
        <v>2000</v>
      </c>
      <c r="H1621" s="18">
        <v>0</v>
      </c>
      <c r="I1621" s="20">
        <v>1516</v>
      </c>
      <c r="J1621" s="8">
        <f t="shared" si="75"/>
        <v>484</v>
      </c>
      <c r="K1621" s="10">
        <f t="shared" si="76"/>
        <v>0.24199999999999999</v>
      </c>
      <c r="L1621" s="17">
        <f t="shared" si="77"/>
        <v>0</v>
      </c>
      <c r="M1621" t="str">
        <f>VLOOKUP(D1621,'Jer-Tip-Emp'!B:E,4,0)</f>
        <v>Bebidas</v>
      </c>
      <c r="N1621" t="str">
        <f>VLOOKUP(D1621,'Jer-Tip-Emp'!B:F,5,0)</f>
        <v>Bebidas Cambio de bebida</v>
      </c>
      <c r="O1621" t="str">
        <f>VLOOKUP(D1621,'Jer-Tip-Emp'!B:G,6,0)</f>
        <v>Bebidas</v>
      </c>
    </row>
    <row r="1622" spans="1:15" ht="27.5" hidden="1" customHeight="1" x14ac:dyDescent="0.2">
      <c r="A1622">
        <v>2025</v>
      </c>
      <c r="B1622" t="s">
        <v>617</v>
      </c>
      <c r="C1622" t="s">
        <v>594</v>
      </c>
      <c r="D1622" s="19" t="s">
        <v>262</v>
      </c>
      <c r="E1622" s="18" t="s">
        <v>102</v>
      </c>
      <c r="F1622" s="18">
        <v>1</v>
      </c>
      <c r="G1622" s="20">
        <v>18300</v>
      </c>
      <c r="H1622" s="20">
        <v>-4600</v>
      </c>
      <c r="I1622" s="20">
        <v>6215</v>
      </c>
      <c r="J1622" s="8">
        <f t="shared" si="75"/>
        <v>12085</v>
      </c>
      <c r="K1622" s="10">
        <f t="shared" si="76"/>
        <v>0.66038251366120215</v>
      </c>
      <c r="L1622" s="17">
        <f t="shared" si="77"/>
        <v>0.25136612021857924</v>
      </c>
      <c r="M1622" t="str">
        <f>VLOOKUP(D1622,'Jer-Tip-Emp'!B:E,4,0)</f>
        <v>Entradas</v>
      </c>
      <c r="N1622" t="str">
        <f>VLOOKUP(D1622,'Jer-Tip-Emp'!B:F,5,0)</f>
        <v>Otro</v>
      </c>
      <c r="O1622" t="str">
        <f>VLOOKUP(D1622,'Jer-Tip-Emp'!B:G,6,0)</f>
        <v>Otro</v>
      </c>
    </row>
    <row r="1623" spans="1:15" ht="27.5" customHeight="1" x14ac:dyDescent="0.2">
      <c r="A1623">
        <v>2025</v>
      </c>
      <c r="B1623" t="s">
        <v>617</v>
      </c>
      <c r="C1623" t="s">
        <v>594</v>
      </c>
      <c r="D1623" s="19" t="s">
        <v>389</v>
      </c>
      <c r="E1623" s="18" t="s">
        <v>541</v>
      </c>
      <c r="F1623" s="18">
        <v>1</v>
      </c>
      <c r="G1623" s="18">
        <v>0</v>
      </c>
      <c r="H1623" s="18">
        <v>0</v>
      </c>
      <c r="I1623" s="20">
        <v>5467</v>
      </c>
      <c r="J1623" s="8">
        <f t="shared" si="75"/>
        <v>-5467</v>
      </c>
      <c r="K1623" s="10">
        <f t="shared" si="76"/>
        <v>0</v>
      </c>
      <c r="L1623" s="17">
        <f t="shared" si="77"/>
        <v>0</v>
      </c>
      <c r="M1623" t="str">
        <f>VLOOKUP(D1623,'Jer-Tip-Emp'!B:E,4,0)</f>
        <v>Arma tu plato</v>
      </c>
      <c r="N1623" t="str">
        <f>VLOOKUP(D1623,'Jer-Tip-Emp'!B:F,5,0)</f>
        <v>Personal</v>
      </c>
      <c r="O1623" t="str">
        <f>VLOOKUP(D1623,'Jer-Tip-Emp'!B:G,6,0)</f>
        <v>Caja</v>
      </c>
    </row>
    <row r="1624" spans="1:15" ht="27.5" customHeight="1" x14ac:dyDescent="0.2">
      <c r="A1624">
        <v>2025</v>
      </c>
      <c r="B1624" t="s">
        <v>617</v>
      </c>
      <c r="C1624" t="s">
        <v>594</v>
      </c>
      <c r="D1624" s="19" t="s">
        <v>290</v>
      </c>
      <c r="E1624" s="18" t="s">
        <v>86</v>
      </c>
      <c r="F1624" s="18">
        <v>1</v>
      </c>
      <c r="G1624" s="20">
        <v>130900</v>
      </c>
      <c r="H1624" s="18">
        <v>0</v>
      </c>
      <c r="I1624" s="20">
        <v>46780</v>
      </c>
      <c r="J1624" s="8">
        <f t="shared" si="75"/>
        <v>84120</v>
      </c>
      <c r="K1624" s="10">
        <f t="shared" si="76"/>
        <v>0.64262796027501912</v>
      </c>
      <c r="L1624" s="17">
        <f t="shared" si="77"/>
        <v>0</v>
      </c>
      <c r="M1624" t="str">
        <f>VLOOKUP(D1624,'Jer-Tip-Emp'!B:E,4,0)</f>
        <v>Combos para compartir</v>
      </c>
      <c r="N1624" t="str">
        <f>VLOOKUP(D1624,'Jer-Tip-Emp'!B:F,5,0)</f>
        <v>No Personal</v>
      </c>
      <c r="O1624" t="str">
        <f>VLOOKUP(D1624,'Jer-Tip-Emp'!B:G,6,0)</f>
        <v>Combo</v>
      </c>
    </row>
    <row r="1625" spans="1:15" ht="27.5" hidden="1" customHeight="1" x14ac:dyDescent="0.2">
      <c r="A1625">
        <v>2025</v>
      </c>
      <c r="B1625" t="s">
        <v>617</v>
      </c>
      <c r="C1625" t="s">
        <v>594</v>
      </c>
      <c r="D1625" s="19" t="s">
        <v>296</v>
      </c>
      <c r="E1625" s="18" t="s">
        <v>22</v>
      </c>
      <c r="F1625" s="18">
        <v>1</v>
      </c>
      <c r="G1625" s="20">
        <v>8900</v>
      </c>
      <c r="H1625" s="18">
        <v>0</v>
      </c>
      <c r="I1625" s="18">
        <v>689</v>
      </c>
      <c r="J1625" s="8">
        <f t="shared" si="75"/>
        <v>8211</v>
      </c>
      <c r="K1625" s="10">
        <f t="shared" si="76"/>
        <v>0.9225842696629214</v>
      </c>
      <c r="L1625" s="17">
        <f t="shared" si="77"/>
        <v>0</v>
      </c>
      <c r="M1625" t="str">
        <f>VLOOKUP(D1625,'Jer-Tip-Emp'!B:E,4,0)</f>
        <v>Adición</v>
      </c>
      <c r="N1625" t="str">
        <f>VLOOKUP(D1625,'Jer-Tip-Emp'!B:F,5,0)</f>
        <v>Adición</v>
      </c>
      <c r="O1625" t="str">
        <f>VLOOKUP(D1625,'Jer-Tip-Emp'!B:G,6,0)</f>
        <v>Adición</v>
      </c>
    </row>
    <row r="1626" spans="1:15" ht="27.5" customHeight="1" x14ac:dyDescent="0.2">
      <c r="A1626">
        <v>2025</v>
      </c>
      <c r="B1626" t="s">
        <v>617</v>
      </c>
      <c r="C1626" t="s">
        <v>594</v>
      </c>
      <c r="D1626" s="19" t="s">
        <v>470</v>
      </c>
      <c r="E1626" s="18" t="s">
        <v>550</v>
      </c>
      <c r="F1626" s="18">
        <v>1</v>
      </c>
      <c r="G1626" s="18">
        <v>0</v>
      </c>
      <c r="H1626" s="18">
        <v>0</v>
      </c>
      <c r="I1626" s="20">
        <v>3097</v>
      </c>
      <c r="J1626" s="8">
        <f t="shared" si="75"/>
        <v>-3097</v>
      </c>
      <c r="K1626" s="10">
        <f t="shared" si="76"/>
        <v>0</v>
      </c>
      <c r="L1626" s="17">
        <f t="shared" si="77"/>
        <v>0</v>
      </c>
      <c r="M1626" t="str">
        <f>VLOOKUP(D1626,'Jer-Tip-Emp'!B:E,4,0)</f>
        <v>Arma tu plato</v>
      </c>
      <c r="N1626" t="str">
        <f>VLOOKUP(D1626,'Jer-Tip-Emp'!B:F,5,0)</f>
        <v>Personal</v>
      </c>
      <c r="O1626" t="str">
        <f>VLOOKUP(D1626,'Jer-Tip-Emp'!B:G,6,0)</f>
        <v>Caja</v>
      </c>
    </row>
    <row r="1627" spans="1:15" ht="27.5" customHeight="1" x14ac:dyDescent="0.2">
      <c r="A1627">
        <v>2025</v>
      </c>
      <c r="B1627" t="s">
        <v>617</v>
      </c>
      <c r="C1627" t="s">
        <v>594</v>
      </c>
      <c r="D1627" s="19" t="s">
        <v>448</v>
      </c>
      <c r="E1627" s="18" t="s">
        <v>552</v>
      </c>
      <c r="F1627" s="18">
        <v>1</v>
      </c>
      <c r="G1627" s="18">
        <v>0</v>
      </c>
      <c r="H1627" s="18">
        <v>0</v>
      </c>
      <c r="I1627" s="20">
        <v>5263</v>
      </c>
      <c r="J1627" s="8">
        <f t="shared" si="75"/>
        <v>-5263</v>
      </c>
      <c r="K1627" s="10">
        <f t="shared" si="76"/>
        <v>0</v>
      </c>
      <c r="L1627" s="17">
        <f t="shared" si="77"/>
        <v>0</v>
      </c>
      <c r="M1627" t="str">
        <f>VLOOKUP(D1627,'Jer-Tip-Emp'!B:E,4,0)</f>
        <v>Arma tu plato</v>
      </c>
      <c r="N1627" t="str">
        <f>VLOOKUP(D1627,'Jer-Tip-Emp'!B:F,5,0)</f>
        <v>Personal</v>
      </c>
      <c r="O1627" t="str">
        <f>VLOOKUP(D1627,'Jer-Tip-Emp'!B:G,6,0)</f>
        <v>Caja</v>
      </c>
    </row>
    <row r="1628" spans="1:15" ht="27.5" customHeight="1" x14ac:dyDescent="0.2">
      <c r="A1628">
        <v>2025</v>
      </c>
      <c r="B1628" t="s">
        <v>617</v>
      </c>
      <c r="C1628" t="s">
        <v>594</v>
      </c>
      <c r="D1628" s="19" t="s">
        <v>278</v>
      </c>
      <c r="E1628" s="18" t="s">
        <v>84</v>
      </c>
      <c r="F1628" s="18">
        <v>1</v>
      </c>
      <c r="G1628" s="20">
        <v>29900</v>
      </c>
      <c r="H1628" s="18">
        <v>0</v>
      </c>
      <c r="I1628" s="20">
        <v>7973</v>
      </c>
      <c r="J1628" s="8">
        <f t="shared" si="75"/>
        <v>21927</v>
      </c>
      <c r="K1628" s="10">
        <f t="shared" si="76"/>
        <v>0.73334448160535115</v>
      </c>
      <c r="L1628" s="17">
        <f t="shared" si="77"/>
        <v>0</v>
      </c>
      <c r="M1628" t="str">
        <f>VLOOKUP(D1628,'Jer-Tip-Emp'!B:E,4,0)</f>
        <v>Combos para compartir</v>
      </c>
      <c r="N1628" t="str">
        <f>VLOOKUP(D1628,'Jer-Tip-Emp'!B:F,5,0)</f>
        <v>No Personal</v>
      </c>
      <c r="O1628" t="str">
        <f>VLOOKUP(D1628,'Jer-Tip-Emp'!B:G,6,0)</f>
        <v>Combo</v>
      </c>
    </row>
    <row r="1629" spans="1:15" ht="27.5" hidden="1" customHeight="1" x14ac:dyDescent="0.2">
      <c r="A1629">
        <v>2025</v>
      </c>
      <c r="B1629" t="s">
        <v>617</v>
      </c>
      <c r="C1629" t="s">
        <v>595</v>
      </c>
      <c r="D1629" s="19" t="s">
        <v>284</v>
      </c>
      <c r="E1629" s="18" t="s">
        <v>106</v>
      </c>
      <c r="F1629" s="18">
        <v>38</v>
      </c>
      <c r="G1629" s="20">
        <v>334033</v>
      </c>
      <c r="H1629" s="20">
        <v>-4167</v>
      </c>
      <c r="I1629" s="20">
        <v>119282</v>
      </c>
      <c r="J1629" s="8">
        <f t="shared" si="75"/>
        <v>214751</v>
      </c>
      <c r="K1629" s="10">
        <f t="shared" si="76"/>
        <v>0.64290354545808348</v>
      </c>
      <c r="L1629" s="17">
        <f t="shared" si="77"/>
        <v>1.2474815362553999E-2</v>
      </c>
      <c r="M1629" t="str">
        <f>VLOOKUP(D1629,'Jer-Tip-Emp'!B:E,4,0)</f>
        <v>Entradas</v>
      </c>
      <c r="N1629" t="str">
        <f>VLOOKUP(D1629,'Jer-Tip-Emp'!B:F,5,0)</f>
        <v>Otro</v>
      </c>
      <c r="O1629" t="str">
        <f>VLOOKUP(D1629,'Jer-Tip-Emp'!B:G,6,0)</f>
        <v>Otro</v>
      </c>
    </row>
    <row r="1630" spans="1:15" ht="27.5" customHeight="1" x14ac:dyDescent="0.2">
      <c r="A1630">
        <v>2025</v>
      </c>
      <c r="B1630" t="s">
        <v>617</v>
      </c>
      <c r="C1630" t="s">
        <v>595</v>
      </c>
      <c r="D1630" s="19" t="s">
        <v>299</v>
      </c>
      <c r="E1630" s="18" t="s">
        <v>129</v>
      </c>
      <c r="F1630" s="18">
        <v>35</v>
      </c>
      <c r="G1630" s="20">
        <v>1490957</v>
      </c>
      <c r="H1630" s="20">
        <v>-10543</v>
      </c>
      <c r="I1630" s="20">
        <v>396620</v>
      </c>
      <c r="J1630" s="8">
        <f t="shared" si="75"/>
        <v>1094337</v>
      </c>
      <c r="K1630" s="10">
        <f t="shared" si="76"/>
        <v>0.73398293847508678</v>
      </c>
      <c r="L1630" s="17">
        <f t="shared" si="77"/>
        <v>7.071297160146134E-3</v>
      </c>
      <c r="M1630" t="str">
        <f>VLOOKUP(D1630,'Jer-Tip-Emp'!B:E,4,0)</f>
        <v>Platos mong</v>
      </c>
      <c r="N1630" t="str">
        <f>VLOOKUP(D1630,'Jer-Tip-Emp'!B:F,5,0)</f>
        <v>No Personal</v>
      </c>
      <c r="O1630" t="str">
        <f>VLOOKUP(D1630,'Jer-Tip-Emp'!B:G,6,0)</f>
        <v>Caja</v>
      </c>
    </row>
    <row r="1631" spans="1:15" ht="27.5" customHeight="1" x14ac:dyDescent="0.2">
      <c r="A1631">
        <v>2025</v>
      </c>
      <c r="B1631" t="s">
        <v>617</v>
      </c>
      <c r="C1631" t="s">
        <v>595</v>
      </c>
      <c r="D1631" s="19" t="s">
        <v>185</v>
      </c>
      <c r="E1631" s="18" t="s">
        <v>137</v>
      </c>
      <c r="F1631" s="18">
        <v>24</v>
      </c>
      <c r="G1631" s="20">
        <v>950689</v>
      </c>
      <c r="H1631" s="20">
        <v>-6911</v>
      </c>
      <c r="I1631" s="20">
        <v>481272</v>
      </c>
      <c r="J1631" s="8">
        <f t="shared" si="75"/>
        <v>469417</v>
      </c>
      <c r="K1631" s="10">
        <f t="shared" si="76"/>
        <v>0.49376504829655121</v>
      </c>
      <c r="L1631" s="17">
        <f t="shared" si="77"/>
        <v>7.269464567276996E-3</v>
      </c>
      <c r="M1631" t="str">
        <f>VLOOKUP(D1631,'Jer-Tip-Emp'!B:E,4,0)</f>
        <v>Platos mong</v>
      </c>
      <c r="N1631" t="str">
        <f>VLOOKUP(D1631,'Jer-Tip-Emp'!B:F,5,0)</f>
        <v>No Personal</v>
      </c>
      <c r="O1631" t="str">
        <f>VLOOKUP(D1631,'Jer-Tip-Emp'!B:G,6,0)</f>
        <v>Platos Especiales</v>
      </c>
    </row>
    <row r="1632" spans="1:15" ht="27.5" customHeight="1" x14ac:dyDescent="0.2">
      <c r="A1632">
        <v>2025</v>
      </c>
      <c r="B1632" t="s">
        <v>617</v>
      </c>
      <c r="C1632" t="s">
        <v>595</v>
      </c>
      <c r="D1632" s="19" t="s">
        <v>295</v>
      </c>
      <c r="E1632" s="18" t="s">
        <v>110</v>
      </c>
      <c r="F1632" s="18">
        <v>24</v>
      </c>
      <c r="G1632" s="20">
        <v>454773</v>
      </c>
      <c r="H1632" s="20">
        <v>-22827</v>
      </c>
      <c r="I1632" s="20">
        <v>162432</v>
      </c>
      <c r="J1632" s="8">
        <f t="shared" si="75"/>
        <v>292341</v>
      </c>
      <c r="K1632" s="10">
        <f t="shared" si="76"/>
        <v>0.64282840010290854</v>
      </c>
      <c r="L1632" s="17">
        <f t="shared" si="77"/>
        <v>5.0194272747062819E-2</v>
      </c>
      <c r="M1632" t="str">
        <f>VLOOKUP(D1632,'Jer-Tip-Emp'!B:E,4,0)</f>
        <v>Platos mong</v>
      </c>
      <c r="N1632" t="str">
        <f>VLOOKUP(D1632,'Jer-Tip-Emp'!B:F,5,0)</f>
        <v>Personal</v>
      </c>
      <c r="O1632" t="str">
        <f>VLOOKUP(D1632,'Jer-Tip-Emp'!B:G,6,0)</f>
        <v>Caja</v>
      </c>
    </row>
    <row r="1633" spans="1:15" ht="27.5" customHeight="1" x14ac:dyDescent="0.2">
      <c r="A1633">
        <v>2025</v>
      </c>
      <c r="B1633" t="s">
        <v>617</v>
      </c>
      <c r="C1633" t="s">
        <v>595</v>
      </c>
      <c r="D1633" s="19" t="s">
        <v>207</v>
      </c>
      <c r="E1633" s="18" t="s">
        <v>92</v>
      </c>
      <c r="F1633" s="18">
        <v>22</v>
      </c>
      <c r="G1633" s="20">
        <v>515530</v>
      </c>
      <c r="H1633" s="20">
        <v>-10270</v>
      </c>
      <c r="I1633" s="20">
        <v>211794</v>
      </c>
      <c r="J1633" s="8">
        <f t="shared" si="75"/>
        <v>303736</v>
      </c>
      <c r="K1633" s="10">
        <f t="shared" si="76"/>
        <v>0.58917230811010024</v>
      </c>
      <c r="L1633" s="17">
        <f t="shared" si="77"/>
        <v>1.9921246096250459E-2</v>
      </c>
      <c r="M1633" t="str">
        <f>VLOOKUP(D1633,'Jer-Tip-Emp'!B:E,4,0)</f>
        <v>Combos personales</v>
      </c>
      <c r="N1633" t="str">
        <f>VLOOKUP(D1633,'Jer-Tip-Emp'!B:F,5,0)</f>
        <v>Personal</v>
      </c>
      <c r="O1633" t="str">
        <f>VLOOKUP(D1633,'Jer-Tip-Emp'!B:G,6,0)</f>
        <v>Combo</v>
      </c>
    </row>
    <row r="1634" spans="1:15" ht="27.5" customHeight="1" x14ac:dyDescent="0.2">
      <c r="A1634">
        <v>2025</v>
      </c>
      <c r="B1634" t="s">
        <v>617</v>
      </c>
      <c r="C1634" t="s">
        <v>595</v>
      </c>
      <c r="D1634" s="19" t="s">
        <v>252</v>
      </c>
      <c r="E1634" s="18" t="s">
        <v>100</v>
      </c>
      <c r="F1634" s="18">
        <v>18</v>
      </c>
      <c r="G1634" s="20">
        <v>898200</v>
      </c>
      <c r="H1634" s="18">
        <v>0</v>
      </c>
      <c r="I1634" s="20">
        <v>582318</v>
      </c>
      <c r="J1634" s="8">
        <f t="shared" si="75"/>
        <v>315882</v>
      </c>
      <c r="K1634" s="10">
        <f t="shared" si="76"/>
        <v>0.35168336673346695</v>
      </c>
      <c r="L1634" s="17">
        <f t="shared" si="77"/>
        <v>0</v>
      </c>
      <c r="M1634" t="str">
        <f>VLOOKUP(D1634,'Jer-Tip-Emp'!B:E,4,0)</f>
        <v>Platos mong</v>
      </c>
      <c r="N1634" t="str">
        <f>VLOOKUP(D1634,'Jer-Tip-Emp'!B:F,5,0)</f>
        <v>No Personal</v>
      </c>
      <c r="O1634" t="str">
        <f>VLOOKUP(D1634,'Jer-Tip-Emp'!B:G,6,0)</f>
        <v>Caja</v>
      </c>
    </row>
    <row r="1635" spans="1:15" ht="27.5" customHeight="1" x14ac:dyDescent="0.2">
      <c r="A1635">
        <v>2025</v>
      </c>
      <c r="B1635" t="s">
        <v>617</v>
      </c>
      <c r="C1635" t="s">
        <v>595</v>
      </c>
      <c r="D1635" s="19" t="s">
        <v>180</v>
      </c>
      <c r="E1635" s="18" t="s">
        <v>128</v>
      </c>
      <c r="F1635" s="18">
        <v>16</v>
      </c>
      <c r="G1635" s="20">
        <v>333840</v>
      </c>
      <c r="H1635" s="18">
        <v>-560</v>
      </c>
      <c r="I1635" s="20">
        <v>109408</v>
      </c>
      <c r="J1635" s="8">
        <f t="shared" si="75"/>
        <v>224432</v>
      </c>
      <c r="K1635" s="10">
        <f t="shared" si="76"/>
        <v>0.67227414330218072</v>
      </c>
      <c r="L1635" s="17">
        <f t="shared" si="77"/>
        <v>1.6774502755811168E-3</v>
      </c>
      <c r="M1635" t="str">
        <f>VLOOKUP(D1635,'Jer-Tip-Emp'!B:E,4,0)</f>
        <v>Platos mong</v>
      </c>
      <c r="N1635" t="str">
        <f>VLOOKUP(D1635,'Jer-Tip-Emp'!B:F,5,0)</f>
        <v>Personal</v>
      </c>
      <c r="O1635" t="str">
        <f>VLOOKUP(D1635,'Jer-Tip-Emp'!B:G,6,0)</f>
        <v>Caja</v>
      </c>
    </row>
    <row r="1636" spans="1:15" ht="27.5" hidden="1" customHeight="1" x14ac:dyDescent="0.2">
      <c r="A1636">
        <v>2025</v>
      </c>
      <c r="B1636" t="s">
        <v>617</v>
      </c>
      <c r="C1636" t="s">
        <v>595</v>
      </c>
      <c r="D1636" s="19" t="s">
        <v>253</v>
      </c>
      <c r="E1636" s="18" t="s">
        <v>105</v>
      </c>
      <c r="F1636" s="18">
        <v>14</v>
      </c>
      <c r="G1636" s="20">
        <v>67588</v>
      </c>
      <c r="H1636" s="20">
        <v>-2412</v>
      </c>
      <c r="I1636" s="20">
        <v>21966</v>
      </c>
      <c r="J1636" s="8">
        <f t="shared" si="75"/>
        <v>45622</v>
      </c>
      <c r="K1636" s="10">
        <f t="shared" si="76"/>
        <v>0.67500147955258327</v>
      </c>
      <c r="L1636" s="17">
        <f t="shared" si="77"/>
        <v>3.568680830916731E-2</v>
      </c>
      <c r="M1636" t="str">
        <f>VLOOKUP(D1636,'Jer-Tip-Emp'!B:E,4,0)</f>
        <v>Entradas</v>
      </c>
      <c r="N1636" t="str">
        <f>VLOOKUP(D1636,'Jer-Tip-Emp'!B:F,5,0)</f>
        <v>Otro</v>
      </c>
      <c r="O1636" t="str">
        <f>VLOOKUP(D1636,'Jer-Tip-Emp'!B:G,6,0)</f>
        <v>Otro</v>
      </c>
    </row>
    <row r="1637" spans="1:15" ht="27.5" customHeight="1" x14ac:dyDescent="0.2">
      <c r="A1637">
        <v>2025</v>
      </c>
      <c r="B1637" t="s">
        <v>617</v>
      </c>
      <c r="C1637" t="s">
        <v>595</v>
      </c>
      <c r="D1637" s="19" t="s">
        <v>286</v>
      </c>
      <c r="E1637" s="18" t="s">
        <v>144</v>
      </c>
      <c r="F1637" s="18">
        <v>12</v>
      </c>
      <c r="G1637" s="20">
        <v>802800</v>
      </c>
      <c r="H1637" s="18">
        <v>0</v>
      </c>
      <c r="I1637" s="20">
        <v>415860</v>
      </c>
      <c r="J1637" s="8">
        <f t="shared" si="75"/>
        <v>386940</v>
      </c>
      <c r="K1637" s="10">
        <f t="shared" si="76"/>
        <v>0.48198804185351268</v>
      </c>
      <c r="L1637" s="17">
        <f t="shared" si="77"/>
        <v>0</v>
      </c>
      <c r="M1637" t="str">
        <f>VLOOKUP(D1637,'Jer-Tip-Emp'!B:E,4,0)</f>
        <v>Platos mong</v>
      </c>
      <c r="N1637" t="str">
        <f>VLOOKUP(D1637,'Jer-Tip-Emp'!B:F,5,0)</f>
        <v>No Personal</v>
      </c>
      <c r="O1637" t="str">
        <f>VLOOKUP(D1637,'Jer-Tip-Emp'!B:G,6,0)</f>
        <v>Caja</v>
      </c>
    </row>
    <row r="1638" spans="1:15" ht="27.5" customHeight="1" x14ac:dyDescent="0.2">
      <c r="A1638">
        <v>2025</v>
      </c>
      <c r="B1638" t="s">
        <v>617</v>
      </c>
      <c r="C1638" t="s">
        <v>595</v>
      </c>
      <c r="D1638" s="19" t="s">
        <v>273</v>
      </c>
      <c r="E1638" s="18" t="s">
        <v>23</v>
      </c>
      <c r="F1638" s="18">
        <v>12</v>
      </c>
      <c r="G1638" s="20">
        <v>298800</v>
      </c>
      <c r="H1638" s="18">
        <v>0</v>
      </c>
      <c r="I1638" s="18">
        <v>0</v>
      </c>
      <c r="J1638" s="8">
        <f t="shared" si="75"/>
        <v>298800</v>
      </c>
      <c r="K1638" s="10">
        <f t="shared" si="76"/>
        <v>1</v>
      </c>
      <c r="L1638" s="17">
        <f t="shared" si="77"/>
        <v>0</v>
      </c>
      <c r="M1638" t="str">
        <f>VLOOKUP(D1638,'Jer-Tip-Emp'!B:E,4,0)</f>
        <v>Arma tu plato</v>
      </c>
      <c r="N1638" t="str">
        <f>VLOOKUP(D1638,'Jer-Tip-Emp'!B:F,5,0)</f>
        <v>Personal</v>
      </c>
      <c r="O1638" t="str">
        <f>VLOOKUP(D1638,'Jer-Tip-Emp'!B:G,6,0)</f>
        <v>Caja</v>
      </c>
    </row>
    <row r="1639" spans="1:15" ht="27.5" hidden="1" customHeight="1" x14ac:dyDescent="0.2">
      <c r="A1639">
        <v>2025</v>
      </c>
      <c r="B1639" t="s">
        <v>617</v>
      </c>
      <c r="C1639" t="s">
        <v>595</v>
      </c>
      <c r="D1639" s="19" t="s">
        <v>403</v>
      </c>
      <c r="E1639" s="18" t="s">
        <v>45</v>
      </c>
      <c r="F1639" s="18">
        <v>11</v>
      </c>
      <c r="G1639" s="20">
        <v>107963</v>
      </c>
      <c r="H1639" s="18">
        <v>-937</v>
      </c>
      <c r="I1639" s="20">
        <v>49511</v>
      </c>
      <c r="J1639" s="8">
        <f t="shared" si="75"/>
        <v>58452</v>
      </c>
      <c r="K1639" s="10">
        <f t="shared" si="76"/>
        <v>0.54140770449135356</v>
      </c>
      <c r="L1639" s="17">
        <f t="shared" si="77"/>
        <v>8.6788992525216966E-3</v>
      </c>
      <c r="M1639" t="str">
        <f>VLOOKUP(D1639,'Jer-Tip-Emp'!B:E,4,0)</f>
        <v>Bebidas</v>
      </c>
      <c r="N1639" t="str">
        <f>VLOOKUP(D1639,'Jer-Tip-Emp'!B:F,5,0)</f>
        <v>Bebidas</v>
      </c>
      <c r="O1639" t="str">
        <f>VLOOKUP(D1639,'Jer-Tip-Emp'!B:G,6,0)</f>
        <v>Bebidas</v>
      </c>
    </row>
    <row r="1640" spans="1:15" ht="27.5" customHeight="1" x14ac:dyDescent="0.2">
      <c r="A1640">
        <v>2025</v>
      </c>
      <c r="B1640" t="s">
        <v>617</v>
      </c>
      <c r="C1640" t="s">
        <v>595</v>
      </c>
      <c r="D1640" s="19" t="s">
        <v>214</v>
      </c>
      <c r="E1640" s="18" t="s">
        <v>81</v>
      </c>
      <c r="F1640" s="18">
        <v>10</v>
      </c>
      <c r="G1640" s="20">
        <v>532000</v>
      </c>
      <c r="H1640" s="20">
        <v>-7000</v>
      </c>
      <c r="I1640" s="20">
        <v>236380</v>
      </c>
      <c r="J1640" s="8">
        <f t="shared" si="75"/>
        <v>295620</v>
      </c>
      <c r="K1640" s="10">
        <f t="shared" si="76"/>
        <v>0.55567669172932332</v>
      </c>
      <c r="L1640" s="17">
        <f t="shared" si="77"/>
        <v>1.3157894736842105E-2</v>
      </c>
      <c r="M1640" t="str">
        <f>VLOOKUP(D1640,'Jer-Tip-Emp'!B:E,4,0)</f>
        <v>Combos para compartir</v>
      </c>
      <c r="N1640" t="str">
        <f>VLOOKUP(D1640,'Jer-Tip-Emp'!B:F,5,0)</f>
        <v>No Personal</v>
      </c>
      <c r="O1640" t="str">
        <f>VLOOKUP(D1640,'Jer-Tip-Emp'!B:G,6,0)</f>
        <v>Combo</v>
      </c>
    </row>
    <row r="1641" spans="1:15" ht="27.5" customHeight="1" x14ac:dyDescent="0.2">
      <c r="A1641">
        <v>2025</v>
      </c>
      <c r="B1641" t="s">
        <v>617</v>
      </c>
      <c r="C1641" t="s">
        <v>595</v>
      </c>
      <c r="D1641" s="19" t="s">
        <v>313</v>
      </c>
      <c r="E1641" s="18" t="s">
        <v>540</v>
      </c>
      <c r="F1641" s="18">
        <v>10</v>
      </c>
      <c r="G1641" s="18">
        <v>0</v>
      </c>
      <c r="H1641" s="18">
        <v>0</v>
      </c>
      <c r="I1641" s="20">
        <v>54910</v>
      </c>
      <c r="J1641" s="8">
        <f t="shared" si="75"/>
        <v>-54910</v>
      </c>
      <c r="K1641" s="10">
        <f t="shared" si="76"/>
        <v>0</v>
      </c>
      <c r="L1641" s="17">
        <f t="shared" si="77"/>
        <v>0</v>
      </c>
      <c r="M1641" t="str">
        <f>VLOOKUP(D1641,'Jer-Tip-Emp'!B:E,4,0)</f>
        <v>Arma tu plato</v>
      </c>
      <c r="N1641" t="str">
        <f>VLOOKUP(D1641,'Jer-Tip-Emp'!B:F,5,0)</f>
        <v>Personal</v>
      </c>
      <c r="O1641" t="str">
        <f>VLOOKUP(D1641,'Jer-Tip-Emp'!B:G,6,0)</f>
        <v>Caja</v>
      </c>
    </row>
    <row r="1642" spans="1:15" ht="27.5" customHeight="1" x14ac:dyDescent="0.2">
      <c r="A1642">
        <v>2025</v>
      </c>
      <c r="B1642" t="s">
        <v>617</v>
      </c>
      <c r="C1642" t="s">
        <v>595</v>
      </c>
      <c r="D1642" s="19" t="s">
        <v>235</v>
      </c>
      <c r="E1642" s="18" t="s">
        <v>147</v>
      </c>
      <c r="F1642" s="18">
        <v>10</v>
      </c>
      <c r="G1642" s="20">
        <v>499000</v>
      </c>
      <c r="H1642" s="18">
        <v>0</v>
      </c>
      <c r="I1642" s="20">
        <v>188180</v>
      </c>
      <c r="J1642" s="8">
        <f t="shared" si="75"/>
        <v>310820</v>
      </c>
      <c r="K1642" s="10">
        <f t="shared" si="76"/>
        <v>0.62288577154308622</v>
      </c>
      <c r="L1642" s="17">
        <f t="shared" si="77"/>
        <v>0</v>
      </c>
      <c r="M1642" t="str">
        <f>VLOOKUP(D1642,'Jer-Tip-Emp'!B:E,4,0)</f>
        <v>Platos mong</v>
      </c>
      <c r="N1642" t="str">
        <f>VLOOKUP(D1642,'Jer-Tip-Emp'!B:F,5,0)</f>
        <v>No Personal</v>
      </c>
      <c r="O1642" t="str">
        <f>VLOOKUP(D1642,'Jer-Tip-Emp'!B:G,6,0)</f>
        <v>Caja</v>
      </c>
    </row>
    <row r="1643" spans="1:15" ht="27.5" hidden="1" customHeight="1" x14ac:dyDescent="0.2">
      <c r="A1643">
        <v>2025</v>
      </c>
      <c r="B1643" t="s">
        <v>617</v>
      </c>
      <c r="C1643" t="s">
        <v>595</v>
      </c>
      <c r="D1643" s="19" t="s">
        <v>189</v>
      </c>
      <c r="E1643" s="18" t="s">
        <v>21</v>
      </c>
      <c r="F1643" s="18">
        <v>9</v>
      </c>
      <c r="G1643" s="20">
        <v>62100</v>
      </c>
      <c r="H1643" s="18">
        <v>0</v>
      </c>
      <c r="I1643" s="20">
        <v>22176</v>
      </c>
      <c r="J1643" s="8">
        <f t="shared" si="75"/>
        <v>39924</v>
      </c>
      <c r="K1643" s="10">
        <f t="shared" si="76"/>
        <v>0.64289855072463764</v>
      </c>
      <c r="L1643" s="17">
        <f t="shared" si="77"/>
        <v>0</v>
      </c>
      <c r="M1643" t="str">
        <f>VLOOKUP(D1643,'Jer-Tip-Emp'!B:E,4,0)</f>
        <v>Adición</v>
      </c>
      <c r="N1643" t="str">
        <f>VLOOKUP(D1643,'Jer-Tip-Emp'!B:F,5,0)</f>
        <v>Adición</v>
      </c>
      <c r="O1643" t="str">
        <f>VLOOKUP(D1643,'Jer-Tip-Emp'!B:G,6,0)</f>
        <v>Adición</v>
      </c>
    </row>
    <row r="1644" spans="1:15" ht="27.5" customHeight="1" x14ac:dyDescent="0.2">
      <c r="A1644">
        <v>2025</v>
      </c>
      <c r="B1644" t="s">
        <v>617</v>
      </c>
      <c r="C1644" t="s">
        <v>595</v>
      </c>
      <c r="D1644" s="19" t="s">
        <v>333</v>
      </c>
      <c r="E1644" s="18" t="s">
        <v>547</v>
      </c>
      <c r="F1644" s="18">
        <v>9</v>
      </c>
      <c r="G1644" s="18">
        <v>0</v>
      </c>
      <c r="H1644" s="18">
        <v>0</v>
      </c>
      <c r="I1644" s="20">
        <v>29898</v>
      </c>
      <c r="J1644" s="8">
        <f t="shared" si="75"/>
        <v>-29898</v>
      </c>
      <c r="K1644" s="10">
        <f t="shared" si="76"/>
        <v>0</v>
      </c>
      <c r="L1644" s="17">
        <f t="shared" si="77"/>
        <v>0</v>
      </c>
      <c r="M1644" t="str">
        <f>VLOOKUP(D1644,'Jer-Tip-Emp'!B:E,4,0)</f>
        <v>Arma tu plato</v>
      </c>
      <c r="N1644" t="str">
        <f>VLOOKUP(D1644,'Jer-Tip-Emp'!B:F,5,0)</f>
        <v>Personal</v>
      </c>
      <c r="O1644" t="str">
        <f>VLOOKUP(D1644,'Jer-Tip-Emp'!B:G,6,0)</f>
        <v>Caja</v>
      </c>
    </row>
    <row r="1645" spans="1:15" ht="27.5" customHeight="1" x14ac:dyDescent="0.2">
      <c r="A1645">
        <v>2025</v>
      </c>
      <c r="B1645" t="s">
        <v>617</v>
      </c>
      <c r="C1645" t="s">
        <v>595</v>
      </c>
      <c r="D1645" s="19" t="s">
        <v>196</v>
      </c>
      <c r="E1645" s="18" t="s">
        <v>159</v>
      </c>
      <c r="F1645" s="18">
        <v>9</v>
      </c>
      <c r="G1645" s="20">
        <v>223100</v>
      </c>
      <c r="H1645" s="20">
        <v>-10000</v>
      </c>
      <c r="I1645" s="20">
        <v>85509</v>
      </c>
      <c r="J1645" s="8">
        <f t="shared" si="75"/>
        <v>137591</v>
      </c>
      <c r="K1645" s="10">
        <f t="shared" si="76"/>
        <v>0.61672344240251009</v>
      </c>
      <c r="L1645" s="17">
        <f t="shared" si="77"/>
        <v>4.4822949350067233E-2</v>
      </c>
      <c r="M1645" t="str">
        <f>VLOOKUP(D1645,'Jer-Tip-Emp'!B:E,4,0)</f>
        <v>Combos personales</v>
      </c>
      <c r="N1645" t="str">
        <f>VLOOKUP(D1645,'Jer-Tip-Emp'!B:F,5,0)</f>
        <v>Personal</v>
      </c>
      <c r="O1645" t="str">
        <f>VLOOKUP(D1645,'Jer-Tip-Emp'!B:G,6,0)</f>
        <v>Combo</v>
      </c>
    </row>
    <row r="1646" spans="1:15" ht="27.5" hidden="1" customHeight="1" x14ac:dyDescent="0.2">
      <c r="A1646">
        <v>2025</v>
      </c>
      <c r="B1646" t="s">
        <v>617</v>
      </c>
      <c r="C1646" t="s">
        <v>595</v>
      </c>
      <c r="D1646" s="19" t="s">
        <v>364</v>
      </c>
      <c r="E1646" s="18" t="s">
        <v>51</v>
      </c>
      <c r="F1646" s="18">
        <v>8</v>
      </c>
      <c r="G1646" s="20">
        <v>26727</v>
      </c>
      <c r="H1646" s="20">
        <v>-4473</v>
      </c>
      <c r="I1646" s="20">
        <v>10328</v>
      </c>
      <c r="J1646" s="8">
        <f t="shared" si="75"/>
        <v>16399</v>
      </c>
      <c r="K1646" s="10">
        <f t="shared" si="76"/>
        <v>0.61357428817300852</v>
      </c>
      <c r="L1646" s="17">
        <f t="shared" si="77"/>
        <v>0.16735885060051633</v>
      </c>
      <c r="M1646" t="str">
        <f>VLOOKUP(D1646,'Jer-Tip-Emp'!B:E,4,0)</f>
        <v>Bebidas</v>
      </c>
      <c r="N1646" t="str">
        <f>VLOOKUP(D1646,'Jer-Tip-Emp'!B:F,5,0)</f>
        <v>Bebidas</v>
      </c>
      <c r="O1646" t="str">
        <f>VLOOKUP(D1646,'Jer-Tip-Emp'!B:G,6,0)</f>
        <v>Bebidas</v>
      </c>
    </row>
    <row r="1647" spans="1:15" ht="27.5" customHeight="1" x14ac:dyDescent="0.2">
      <c r="A1647">
        <v>2025</v>
      </c>
      <c r="B1647" t="s">
        <v>617</v>
      </c>
      <c r="C1647" t="s">
        <v>595</v>
      </c>
      <c r="D1647" s="19" t="s">
        <v>297</v>
      </c>
      <c r="E1647" s="18" t="s">
        <v>131</v>
      </c>
      <c r="F1647" s="18">
        <v>8</v>
      </c>
      <c r="G1647" s="20">
        <v>149084</v>
      </c>
      <c r="H1647" s="20">
        <v>-2116</v>
      </c>
      <c r="I1647" s="20">
        <v>43688</v>
      </c>
      <c r="J1647" s="8">
        <f t="shared" si="75"/>
        <v>105396</v>
      </c>
      <c r="K1647" s="10">
        <f t="shared" si="76"/>
        <v>0.70695715167288242</v>
      </c>
      <c r="L1647" s="17">
        <f t="shared" si="77"/>
        <v>1.419334066700652E-2</v>
      </c>
      <c r="M1647" t="str">
        <f>VLOOKUP(D1647,'Jer-Tip-Emp'!B:E,4,0)</f>
        <v>Platos mong</v>
      </c>
      <c r="N1647" t="str">
        <f>VLOOKUP(D1647,'Jer-Tip-Emp'!B:F,5,0)</f>
        <v>Personal</v>
      </c>
      <c r="O1647" t="str">
        <f>VLOOKUP(D1647,'Jer-Tip-Emp'!B:G,6,0)</f>
        <v>Caja</v>
      </c>
    </row>
    <row r="1648" spans="1:15" ht="27.5" customHeight="1" x14ac:dyDescent="0.2">
      <c r="A1648">
        <v>2025</v>
      </c>
      <c r="B1648" t="s">
        <v>617</v>
      </c>
      <c r="C1648" t="s">
        <v>595</v>
      </c>
      <c r="D1648" s="19" t="s">
        <v>186</v>
      </c>
      <c r="E1648" s="18" t="s">
        <v>95</v>
      </c>
      <c r="F1648" s="18">
        <v>8</v>
      </c>
      <c r="G1648" s="20">
        <v>231200</v>
      </c>
      <c r="H1648" s="18">
        <v>0</v>
      </c>
      <c r="I1648" s="20">
        <v>76560</v>
      </c>
      <c r="J1648" s="8">
        <f t="shared" si="75"/>
        <v>154640</v>
      </c>
      <c r="K1648" s="10">
        <f t="shared" si="76"/>
        <v>0.66885813148788931</v>
      </c>
      <c r="L1648" s="17">
        <f t="shared" si="77"/>
        <v>0</v>
      </c>
      <c r="M1648" t="str">
        <f>VLOOKUP(D1648,'Jer-Tip-Emp'!B:E,4,0)</f>
        <v>Combos personales</v>
      </c>
      <c r="N1648" t="str">
        <f>VLOOKUP(D1648,'Jer-Tip-Emp'!B:F,5,0)</f>
        <v>Personal</v>
      </c>
      <c r="O1648" t="str">
        <f>VLOOKUP(D1648,'Jer-Tip-Emp'!B:G,6,0)</f>
        <v>Combo</v>
      </c>
    </row>
    <row r="1649" spans="1:15" ht="27.5" customHeight="1" x14ac:dyDescent="0.2">
      <c r="A1649">
        <v>2025</v>
      </c>
      <c r="B1649" t="s">
        <v>617</v>
      </c>
      <c r="C1649" t="s">
        <v>595</v>
      </c>
      <c r="D1649" s="19" t="s">
        <v>212</v>
      </c>
      <c r="E1649" s="18" t="s">
        <v>160</v>
      </c>
      <c r="F1649" s="18">
        <v>6</v>
      </c>
      <c r="G1649" s="20">
        <v>173400</v>
      </c>
      <c r="H1649" s="18">
        <v>0</v>
      </c>
      <c r="I1649" s="20">
        <v>67518</v>
      </c>
      <c r="J1649" s="8">
        <f t="shared" si="75"/>
        <v>105882</v>
      </c>
      <c r="K1649" s="10">
        <f t="shared" si="76"/>
        <v>0.61062283737024226</v>
      </c>
      <c r="L1649" s="17">
        <f t="shared" si="77"/>
        <v>0</v>
      </c>
      <c r="M1649" t="str">
        <f>VLOOKUP(D1649,'Jer-Tip-Emp'!B:E,4,0)</f>
        <v>Combos personales</v>
      </c>
      <c r="N1649" t="str">
        <f>VLOOKUP(D1649,'Jer-Tip-Emp'!B:F,5,0)</f>
        <v>Personal</v>
      </c>
      <c r="O1649" t="str">
        <f>VLOOKUP(D1649,'Jer-Tip-Emp'!B:G,6,0)</f>
        <v>Combo</v>
      </c>
    </row>
    <row r="1650" spans="1:15" ht="27.5" customHeight="1" x14ac:dyDescent="0.2">
      <c r="A1650">
        <v>2025</v>
      </c>
      <c r="B1650" t="s">
        <v>617</v>
      </c>
      <c r="C1650" t="s">
        <v>595</v>
      </c>
      <c r="D1650" s="19" t="s">
        <v>285</v>
      </c>
      <c r="E1650" s="18" t="s">
        <v>146</v>
      </c>
      <c r="F1650" s="18">
        <v>6</v>
      </c>
      <c r="G1650" s="20">
        <v>131400</v>
      </c>
      <c r="H1650" s="18">
        <v>0</v>
      </c>
      <c r="I1650" s="20">
        <v>50784</v>
      </c>
      <c r="J1650" s="8">
        <f t="shared" si="75"/>
        <v>80616</v>
      </c>
      <c r="K1650" s="10">
        <f t="shared" si="76"/>
        <v>0.61351598173515987</v>
      </c>
      <c r="L1650" s="17">
        <f t="shared" si="77"/>
        <v>0</v>
      </c>
      <c r="M1650" t="str">
        <f>VLOOKUP(D1650,'Jer-Tip-Emp'!B:E,4,0)</f>
        <v>Platos mong</v>
      </c>
      <c r="N1650" t="str">
        <f>VLOOKUP(D1650,'Jer-Tip-Emp'!B:F,5,0)</f>
        <v>Personal</v>
      </c>
      <c r="O1650" t="str">
        <f>VLOOKUP(D1650,'Jer-Tip-Emp'!B:G,6,0)</f>
        <v>Caja</v>
      </c>
    </row>
    <row r="1651" spans="1:15" ht="27.5" customHeight="1" x14ac:dyDescent="0.2">
      <c r="A1651">
        <v>2025</v>
      </c>
      <c r="B1651" t="s">
        <v>617</v>
      </c>
      <c r="C1651" t="s">
        <v>595</v>
      </c>
      <c r="D1651" s="19" t="s">
        <v>224</v>
      </c>
      <c r="E1651" s="18" t="s">
        <v>114</v>
      </c>
      <c r="F1651" s="18">
        <v>5</v>
      </c>
      <c r="G1651" s="20">
        <v>124500</v>
      </c>
      <c r="H1651" s="18">
        <v>0</v>
      </c>
      <c r="I1651" s="20">
        <v>63590</v>
      </c>
      <c r="J1651" s="8">
        <f t="shared" si="75"/>
        <v>60910</v>
      </c>
      <c r="K1651" s="10">
        <f t="shared" si="76"/>
        <v>0.48923694779116467</v>
      </c>
      <c r="L1651" s="17">
        <f t="shared" si="77"/>
        <v>0</v>
      </c>
      <c r="M1651" t="str">
        <f>VLOOKUP(D1651,'Jer-Tip-Emp'!B:E,4,0)</f>
        <v>Platos especiales</v>
      </c>
      <c r="N1651" t="str">
        <f>VLOOKUP(D1651,'Jer-Tip-Emp'!B:F,5,0)</f>
        <v>Personal</v>
      </c>
      <c r="O1651" t="str">
        <f>VLOOKUP(D1651,'Jer-Tip-Emp'!B:G,6,0)</f>
        <v>Platos especiales</v>
      </c>
    </row>
    <row r="1652" spans="1:15" ht="27.5" customHeight="1" x14ac:dyDescent="0.2">
      <c r="A1652">
        <v>2025</v>
      </c>
      <c r="B1652" t="s">
        <v>617</v>
      </c>
      <c r="C1652" t="s">
        <v>595</v>
      </c>
      <c r="D1652" s="19" t="s">
        <v>241</v>
      </c>
      <c r="E1652" s="18" t="s">
        <v>107</v>
      </c>
      <c r="F1652" s="18">
        <v>5</v>
      </c>
      <c r="G1652" s="20">
        <v>409500</v>
      </c>
      <c r="H1652" s="18">
        <v>0</v>
      </c>
      <c r="I1652" s="20">
        <v>213520</v>
      </c>
      <c r="J1652" s="8">
        <f t="shared" si="75"/>
        <v>195980</v>
      </c>
      <c r="K1652" s="10">
        <f t="shared" si="76"/>
        <v>0.47858363858363856</v>
      </c>
      <c r="L1652" s="17">
        <f t="shared" si="77"/>
        <v>0</v>
      </c>
      <c r="M1652" t="str">
        <f>VLOOKUP(D1652,'Jer-Tip-Emp'!B:E,4,0)</f>
        <v>Platos mong</v>
      </c>
      <c r="N1652" t="str">
        <f>VLOOKUP(D1652,'Jer-Tip-Emp'!B:F,5,0)</f>
        <v>No Personal</v>
      </c>
      <c r="O1652" t="str">
        <f>VLOOKUP(D1652,'Jer-Tip-Emp'!B:G,6,0)</f>
        <v>Caja</v>
      </c>
    </row>
    <row r="1653" spans="1:15" ht="27.5" customHeight="1" x14ac:dyDescent="0.2">
      <c r="A1653">
        <v>2025</v>
      </c>
      <c r="B1653" t="s">
        <v>617</v>
      </c>
      <c r="C1653" t="s">
        <v>595</v>
      </c>
      <c r="D1653" s="19" t="s">
        <v>389</v>
      </c>
      <c r="E1653" s="18" t="s">
        <v>541</v>
      </c>
      <c r="F1653" s="18">
        <v>5</v>
      </c>
      <c r="G1653" s="18">
        <v>0</v>
      </c>
      <c r="H1653" s="18">
        <v>0</v>
      </c>
      <c r="I1653" s="20">
        <v>27335</v>
      </c>
      <c r="J1653" s="8">
        <f t="shared" si="75"/>
        <v>-27335</v>
      </c>
      <c r="K1653" s="10">
        <f t="shared" si="76"/>
        <v>0</v>
      </c>
      <c r="L1653" s="17">
        <f t="shared" si="77"/>
        <v>0</v>
      </c>
      <c r="M1653" t="str">
        <f>VLOOKUP(D1653,'Jer-Tip-Emp'!B:E,4,0)</f>
        <v>Arma tu plato</v>
      </c>
      <c r="N1653" t="str">
        <f>VLOOKUP(D1653,'Jer-Tip-Emp'!B:F,5,0)</f>
        <v>Personal</v>
      </c>
      <c r="O1653" t="str">
        <f>VLOOKUP(D1653,'Jer-Tip-Emp'!B:G,6,0)</f>
        <v>Caja</v>
      </c>
    </row>
    <row r="1654" spans="1:15" ht="27.5" customHeight="1" x14ac:dyDescent="0.2">
      <c r="A1654">
        <v>2025</v>
      </c>
      <c r="B1654" t="s">
        <v>617</v>
      </c>
      <c r="C1654" t="s">
        <v>595</v>
      </c>
      <c r="D1654" s="19" t="s">
        <v>393</v>
      </c>
      <c r="E1654" s="18" t="s">
        <v>549</v>
      </c>
      <c r="F1654" s="18">
        <v>4</v>
      </c>
      <c r="G1654" s="20">
        <v>8000</v>
      </c>
      <c r="H1654" s="18">
        <v>0</v>
      </c>
      <c r="I1654" s="20">
        <v>8140</v>
      </c>
      <c r="J1654" s="8">
        <f t="shared" si="75"/>
        <v>-140</v>
      </c>
      <c r="K1654" s="10">
        <f t="shared" si="76"/>
        <v>-1.7500000000000002E-2</v>
      </c>
      <c r="L1654" s="17">
        <f t="shared" si="77"/>
        <v>0</v>
      </c>
      <c r="M1654" t="str">
        <f>VLOOKUP(D1654,'Jer-Tip-Emp'!B:E,4,0)</f>
        <v>Arma tu plato</v>
      </c>
      <c r="N1654" t="str">
        <f>VLOOKUP(D1654,'Jer-Tip-Emp'!B:F,5,0)</f>
        <v>Personal</v>
      </c>
      <c r="O1654" t="str">
        <f>VLOOKUP(D1654,'Jer-Tip-Emp'!B:G,6,0)</f>
        <v>Caja</v>
      </c>
    </row>
    <row r="1655" spans="1:15" ht="27.5" customHeight="1" x14ac:dyDescent="0.2">
      <c r="A1655">
        <v>2025</v>
      </c>
      <c r="B1655" t="s">
        <v>617</v>
      </c>
      <c r="C1655" t="s">
        <v>595</v>
      </c>
      <c r="D1655" s="19" t="s">
        <v>278</v>
      </c>
      <c r="E1655" s="18" t="s">
        <v>84</v>
      </c>
      <c r="F1655" s="18">
        <v>4</v>
      </c>
      <c r="G1655" s="20">
        <v>83600</v>
      </c>
      <c r="H1655" s="18">
        <v>0</v>
      </c>
      <c r="I1655" s="20">
        <v>31892</v>
      </c>
      <c r="J1655" s="8">
        <f t="shared" si="75"/>
        <v>51708</v>
      </c>
      <c r="K1655" s="10">
        <f t="shared" si="76"/>
        <v>0.61851674641148324</v>
      </c>
      <c r="L1655" s="17">
        <f t="shared" si="77"/>
        <v>0</v>
      </c>
      <c r="M1655" t="str">
        <f>VLOOKUP(D1655,'Jer-Tip-Emp'!B:E,4,0)</f>
        <v>Combos para compartir</v>
      </c>
      <c r="N1655" t="str">
        <f>VLOOKUP(D1655,'Jer-Tip-Emp'!B:F,5,0)</f>
        <v>No Personal</v>
      </c>
      <c r="O1655" t="str">
        <f>VLOOKUP(D1655,'Jer-Tip-Emp'!B:G,6,0)</f>
        <v>Combo</v>
      </c>
    </row>
    <row r="1656" spans="1:15" ht="27.5" customHeight="1" x14ac:dyDescent="0.2">
      <c r="A1656">
        <v>2025</v>
      </c>
      <c r="B1656" t="s">
        <v>617</v>
      </c>
      <c r="C1656" t="s">
        <v>595</v>
      </c>
      <c r="D1656" s="19" t="s">
        <v>205</v>
      </c>
      <c r="E1656" s="18" t="s">
        <v>141</v>
      </c>
      <c r="F1656" s="18">
        <v>4</v>
      </c>
      <c r="G1656" s="20">
        <v>63600</v>
      </c>
      <c r="H1656" s="18">
        <v>0</v>
      </c>
      <c r="I1656" s="20">
        <v>24256</v>
      </c>
      <c r="J1656" s="8">
        <f t="shared" si="75"/>
        <v>39344</v>
      </c>
      <c r="K1656" s="10">
        <f t="shared" si="76"/>
        <v>0.61861635220125788</v>
      </c>
      <c r="L1656" s="17">
        <f t="shared" si="77"/>
        <v>0</v>
      </c>
      <c r="M1656" t="str">
        <f>VLOOKUP(D1656,'Jer-Tip-Emp'!B:E,4,0)</f>
        <v>Platos mong</v>
      </c>
      <c r="N1656" t="str">
        <f>VLOOKUP(D1656,'Jer-Tip-Emp'!B:F,5,0)</f>
        <v>Personal</v>
      </c>
      <c r="O1656" t="str">
        <f>VLOOKUP(D1656,'Jer-Tip-Emp'!B:G,6,0)</f>
        <v>Caja</v>
      </c>
    </row>
    <row r="1657" spans="1:15" ht="27.5" customHeight="1" x14ac:dyDescent="0.2">
      <c r="A1657">
        <v>2025</v>
      </c>
      <c r="B1657" t="s">
        <v>617</v>
      </c>
      <c r="C1657" t="s">
        <v>595</v>
      </c>
      <c r="D1657" s="19" t="s">
        <v>293</v>
      </c>
      <c r="E1657" s="18" t="s">
        <v>127</v>
      </c>
      <c r="F1657" s="18">
        <v>4</v>
      </c>
      <c r="G1657" s="20">
        <v>231600</v>
      </c>
      <c r="H1657" s="18">
        <v>0</v>
      </c>
      <c r="I1657" s="20">
        <v>112228</v>
      </c>
      <c r="J1657" s="8">
        <f t="shared" si="75"/>
        <v>119372</v>
      </c>
      <c r="K1657" s="10">
        <f t="shared" si="76"/>
        <v>0.51542314335060446</v>
      </c>
      <c r="L1657" s="17">
        <f t="shared" si="77"/>
        <v>0</v>
      </c>
      <c r="M1657" t="str">
        <f>VLOOKUP(D1657,'Jer-Tip-Emp'!B:E,4,0)</f>
        <v>Platos mong</v>
      </c>
      <c r="N1657" t="str">
        <f>VLOOKUP(D1657,'Jer-Tip-Emp'!B:F,5,0)</f>
        <v>No Personal</v>
      </c>
      <c r="O1657" t="str">
        <f>VLOOKUP(D1657,'Jer-Tip-Emp'!B:G,6,0)</f>
        <v>Caja</v>
      </c>
    </row>
    <row r="1658" spans="1:15" ht="27.5" hidden="1" customHeight="1" x14ac:dyDescent="0.2">
      <c r="A1658">
        <v>2025</v>
      </c>
      <c r="B1658" t="s">
        <v>617</v>
      </c>
      <c r="C1658" t="s">
        <v>595</v>
      </c>
      <c r="D1658" s="19" t="s">
        <v>193</v>
      </c>
      <c r="E1658" s="18" t="s">
        <v>18</v>
      </c>
      <c r="F1658" s="18">
        <v>4</v>
      </c>
      <c r="G1658" s="20">
        <v>27600</v>
      </c>
      <c r="H1658" s="18">
        <v>0</v>
      </c>
      <c r="I1658" s="20">
        <v>12432</v>
      </c>
      <c r="J1658" s="8">
        <f t="shared" si="75"/>
        <v>15168</v>
      </c>
      <c r="K1658" s="10">
        <f t="shared" si="76"/>
        <v>0.54956521739130437</v>
      </c>
      <c r="L1658" s="17">
        <f t="shared" si="77"/>
        <v>0</v>
      </c>
      <c r="M1658" t="str">
        <f>VLOOKUP(D1658,'Jer-Tip-Emp'!B:E,4,0)</f>
        <v>Adición</v>
      </c>
      <c r="N1658" t="str">
        <f>VLOOKUP(D1658,'Jer-Tip-Emp'!B:F,5,0)</f>
        <v>Adición</v>
      </c>
      <c r="O1658" t="str">
        <f>VLOOKUP(D1658,'Jer-Tip-Emp'!B:G,6,0)</f>
        <v>Adición</v>
      </c>
    </row>
    <row r="1659" spans="1:15" ht="27.5" hidden="1" customHeight="1" x14ac:dyDescent="0.2">
      <c r="A1659">
        <v>2025</v>
      </c>
      <c r="B1659" t="s">
        <v>617</v>
      </c>
      <c r="C1659" t="s">
        <v>595</v>
      </c>
      <c r="D1659" s="19" t="s">
        <v>282</v>
      </c>
      <c r="E1659" s="18" t="s">
        <v>19</v>
      </c>
      <c r="F1659" s="18">
        <v>4</v>
      </c>
      <c r="G1659" s="20">
        <v>23600</v>
      </c>
      <c r="H1659" s="18">
        <v>0</v>
      </c>
      <c r="I1659" s="20">
        <v>16392</v>
      </c>
      <c r="J1659" s="8">
        <f t="shared" si="75"/>
        <v>7208</v>
      </c>
      <c r="K1659" s="10">
        <f t="shared" si="76"/>
        <v>0.30542372881355934</v>
      </c>
      <c r="L1659" s="17">
        <f t="shared" si="77"/>
        <v>0</v>
      </c>
      <c r="M1659" t="str">
        <f>VLOOKUP(D1659,'Jer-Tip-Emp'!B:E,4,0)</f>
        <v>Adición</v>
      </c>
      <c r="N1659" t="str">
        <f>VLOOKUP(D1659,'Jer-Tip-Emp'!B:F,5,0)</f>
        <v>Adición</v>
      </c>
      <c r="O1659" t="str">
        <f>VLOOKUP(D1659,'Jer-Tip-Emp'!B:G,6,0)</f>
        <v>Adición</v>
      </c>
    </row>
    <row r="1660" spans="1:15" ht="27.5" customHeight="1" x14ac:dyDescent="0.2">
      <c r="A1660">
        <v>2025</v>
      </c>
      <c r="B1660" t="s">
        <v>617</v>
      </c>
      <c r="C1660" t="s">
        <v>595</v>
      </c>
      <c r="D1660" s="19" t="s">
        <v>470</v>
      </c>
      <c r="E1660" s="18" t="s">
        <v>550</v>
      </c>
      <c r="F1660" s="18">
        <v>4</v>
      </c>
      <c r="G1660" s="18">
        <v>0</v>
      </c>
      <c r="H1660" s="18">
        <v>0</v>
      </c>
      <c r="I1660" s="20">
        <v>12388</v>
      </c>
      <c r="J1660" s="8">
        <f t="shared" si="75"/>
        <v>-12388</v>
      </c>
      <c r="K1660" s="10">
        <f t="shared" si="76"/>
        <v>0</v>
      </c>
      <c r="L1660" s="17">
        <f t="shared" si="77"/>
        <v>0</v>
      </c>
      <c r="M1660" t="str">
        <f>VLOOKUP(D1660,'Jer-Tip-Emp'!B:E,4,0)</f>
        <v>Arma tu plato</v>
      </c>
      <c r="N1660" t="str">
        <f>VLOOKUP(D1660,'Jer-Tip-Emp'!B:F,5,0)</f>
        <v>Personal</v>
      </c>
      <c r="O1660" t="str">
        <f>VLOOKUP(D1660,'Jer-Tip-Emp'!B:G,6,0)</f>
        <v>Caja</v>
      </c>
    </row>
    <row r="1661" spans="1:15" ht="27.5" customHeight="1" x14ac:dyDescent="0.2">
      <c r="A1661">
        <v>2025</v>
      </c>
      <c r="B1661" t="s">
        <v>617</v>
      </c>
      <c r="C1661" t="s">
        <v>595</v>
      </c>
      <c r="D1661" s="19" t="s">
        <v>202</v>
      </c>
      <c r="E1661" s="18" t="s">
        <v>142</v>
      </c>
      <c r="F1661" s="18">
        <v>4</v>
      </c>
      <c r="G1661" s="20">
        <v>135600</v>
      </c>
      <c r="H1661" s="18">
        <v>0</v>
      </c>
      <c r="I1661" s="20">
        <v>56924</v>
      </c>
      <c r="J1661" s="8">
        <f t="shared" si="75"/>
        <v>78676</v>
      </c>
      <c r="K1661" s="10">
        <f t="shared" si="76"/>
        <v>0.58020648967551625</v>
      </c>
      <c r="L1661" s="17">
        <f t="shared" si="77"/>
        <v>0</v>
      </c>
      <c r="M1661" t="str">
        <f>VLOOKUP(D1661,'Jer-Tip-Emp'!B:E,4,0)</f>
        <v>Platos mong</v>
      </c>
      <c r="N1661" t="str">
        <f>VLOOKUP(D1661,'Jer-Tip-Emp'!B:F,5,0)</f>
        <v>No Personal</v>
      </c>
      <c r="O1661" t="str">
        <f>VLOOKUP(D1661,'Jer-Tip-Emp'!B:G,6,0)</f>
        <v>Caja</v>
      </c>
    </row>
    <row r="1662" spans="1:15" ht="27.5" customHeight="1" x14ac:dyDescent="0.2">
      <c r="A1662">
        <v>2025</v>
      </c>
      <c r="B1662" t="s">
        <v>617</v>
      </c>
      <c r="C1662" t="s">
        <v>595</v>
      </c>
      <c r="D1662" s="19" t="s">
        <v>232</v>
      </c>
      <c r="E1662" s="18" t="s">
        <v>94</v>
      </c>
      <c r="F1662" s="18">
        <v>3</v>
      </c>
      <c r="G1662" s="20">
        <v>68700</v>
      </c>
      <c r="H1662" s="18">
        <v>0</v>
      </c>
      <c r="I1662" s="20">
        <v>28212</v>
      </c>
      <c r="J1662" s="8">
        <f t="shared" si="75"/>
        <v>40488</v>
      </c>
      <c r="K1662" s="10">
        <f t="shared" si="76"/>
        <v>0.58934497816593889</v>
      </c>
      <c r="L1662" s="17">
        <f t="shared" si="77"/>
        <v>0</v>
      </c>
      <c r="M1662" t="str">
        <f>VLOOKUP(D1662,'Jer-Tip-Emp'!B:E,4,0)</f>
        <v>Platos mong</v>
      </c>
      <c r="N1662" t="str">
        <f>VLOOKUP(D1662,'Jer-Tip-Emp'!B:F,5,0)</f>
        <v>Personal</v>
      </c>
      <c r="O1662" t="str">
        <f>VLOOKUP(D1662,'Jer-Tip-Emp'!B:G,6,0)</f>
        <v>Caja</v>
      </c>
    </row>
    <row r="1663" spans="1:15" ht="27.5" hidden="1" customHeight="1" x14ac:dyDescent="0.2">
      <c r="A1663">
        <v>2025</v>
      </c>
      <c r="B1663" t="s">
        <v>617</v>
      </c>
      <c r="C1663" t="s">
        <v>595</v>
      </c>
      <c r="D1663" s="19" t="s">
        <v>262</v>
      </c>
      <c r="E1663" s="18" t="s">
        <v>102</v>
      </c>
      <c r="F1663" s="18">
        <v>3</v>
      </c>
      <c r="G1663" s="20">
        <v>50700</v>
      </c>
      <c r="H1663" s="18">
        <v>0</v>
      </c>
      <c r="I1663" s="20">
        <v>18645</v>
      </c>
      <c r="J1663" s="8">
        <f t="shared" si="75"/>
        <v>32055</v>
      </c>
      <c r="K1663" s="10">
        <f t="shared" si="76"/>
        <v>0.63224852071005921</v>
      </c>
      <c r="L1663" s="17">
        <f t="shared" si="77"/>
        <v>0</v>
      </c>
      <c r="M1663" t="str">
        <f>VLOOKUP(D1663,'Jer-Tip-Emp'!B:E,4,0)</f>
        <v>Entradas</v>
      </c>
      <c r="N1663" t="str">
        <f>VLOOKUP(D1663,'Jer-Tip-Emp'!B:F,5,0)</f>
        <v>Otro</v>
      </c>
      <c r="O1663" t="str">
        <f>VLOOKUP(D1663,'Jer-Tip-Emp'!B:G,6,0)</f>
        <v>Otro</v>
      </c>
    </row>
    <row r="1664" spans="1:15" ht="27.5" customHeight="1" x14ac:dyDescent="0.2">
      <c r="A1664">
        <v>2025</v>
      </c>
      <c r="B1664" t="s">
        <v>617</v>
      </c>
      <c r="C1664" t="s">
        <v>595</v>
      </c>
      <c r="D1664" s="19" t="s">
        <v>274</v>
      </c>
      <c r="E1664" s="18" t="s">
        <v>91</v>
      </c>
      <c r="F1664" s="18">
        <v>3</v>
      </c>
      <c r="G1664" s="20">
        <v>155700</v>
      </c>
      <c r="H1664" s="18">
        <v>0</v>
      </c>
      <c r="I1664" s="20">
        <v>86445</v>
      </c>
      <c r="J1664" s="8">
        <f t="shared" si="75"/>
        <v>69255</v>
      </c>
      <c r="K1664" s="10">
        <f t="shared" si="76"/>
        <v>0.44479768786127166</v>
      </c>
      <c r="L1664" s="17">
        <f t="shared" si="77"/>
        <v>0</v>
      </c>
      <c r="M1664" t="str">
        <f>VLOOKUP(D1664,'Jer-Tip-Emp'!B:E,4,0)</f>
        <v>Platos mong</v>
      </c>
      <c r="N1664" t="str">
        <f>VLOOKUP(D1664,'Jer-Tip-Emp'!B:F,5,0)</f>
        <v>No Personal</v>
      </c>
      <c r="O1664" t="str">
        <f>VLOOKUP(D1664,'Jer-Tip-Emp'!B:G,6,0)</f>
        <v>Caja</v>
      </c>
    </row>
    <row r="1665" spans="1:15" ht="27.5" hidden="1" customHeight="1" x14ac:dyDescent="0.2">
      <c r="A1665">
        <v>2025</v>
      </c>
      <c r="B1665" t="s">
        <v>617</v>
      </c>
      <c r="C1665" t="s">
        <v>595</v>
      </c>
      <c r="D1665" s="19" t="s">
        <v>397</v>
      </c>
      <c r="E1665" s="18" t="s">
        <v>61</v>
      </c>
      <c r="F1665" s="18">
        <v>3</v>
      </c>
      <c r="G1665" s="20">
        <v>14700</v>
      </c>
      <c r="H1665" s="18">
        <v>0</v>
      </c>
      <c r="I1665" s="20">
        <v>5688</v>
      </c>
      <c r="J1665" s="8">
        <f t="shared" ref="J1665:J1728" si="78">G1665-I1665</f>
        <v>9012</v>
      </c>
      <c r="K1665" s="10">
        <f t="shared" ref="K1665:K1728" si="79">IFERROR(J1665/G1665,0)</f>
        <v>0.61306122448979594</v>
      </c>
      <c r="L1665" s="17">
        <f t="shared" ref="L1665:L1728" si="80">IFERROR((H1665/G1665)*-1,0)</f>
        <v>0</v>
      </c>
      <c r="M1665" t="str">
        <f>VLOOKUP(D1665,'Jer-Tip-Emp'!B:E,4,0)</f>
        <v>Bebidas</v>
      </c>
      <c r="N1665" t="str">
        <f>VLOOKUP(D1665,'Jer-Tip-Emp'!B:F,5,0)</f>
        <v>Bebidas</v>
      </c>
      <c r="O1665" t="str">
        <f>VLOOKUP(D1665,'Jer-Tip-Emp'!B:G,6,0)</f>
        <v>Bebidas</v>
      </c>
    </row>
    <row r="1666" spans="1:15" ht="27.5" customHeight="1" x14ac:dyDescent="0.2">
      <c r="A1666">
        <v>2025</v>
      </c>
      <c r="B1666" t="s">
        <v>617</v>
      </c>
      <c r="C1666" t="s">
        <v>595</v>
      </c>
      <c r="D1666" s="19" t="s">
        <v>294</v>
      </c>
      <c r="E1666" s="18" t="s">
        <v>108</v>
      </c>
      <c r="F1666" s="18">
        <v>3</v>
      </c>
      <c r="G1666" s="20">
        <v>59700</v>
      </c>
      <c r="H1666" s="18">
        <v>0</v>
      </c>
      <c r="I1666" s="20">
        <v>24549</v>
      </c>
      <c r="J1666" s="8">
        <f t="shared" si="78"/>
        <v>35151</v>
      </c>
      <c r="K1666" s="10">
        <f t="shared" si="79"/>
        <v>0.58879396984924626</v>
      </c>
      <c r="L1666" s="17">
        <f t="shared" si="80"/>
        <v>0</v>
      </c>
      <c r="M1666" t="str">
        <f>VLOOKUP(D1666,'Jer-Tip-Emp'!B:E,4,0)</f>
        <v>Mong Express</v>
      </c>
      <c r="N1666" t="str">
        <f>VLOOKUP(D1666,'Jer-Tip-Emp'!B:F,5,0)</f>
        <v>Personal</v>
      </c>
      <c r="O1666" t="str">
        <f>VLOOKUP(D1666,'Jer-Tip-Emp'!B:G,6,0)</f>
        <v>Caja</v>
      </c>
    </row>
    <row r="1667" spans="1:15" ht="27.5" customHeight="1" x14ac:dyDescent="0.2">
      <c r="A1667">
        <v>2025</v>
      </c>
      <c r="B1667" t="s">
        <v>617</v>
      </c>
      <c r="C1667" t="s">
        <v>595</v>
      </c>
      <c r="D1667" s="19" t="s">
        <v>245</v>
      </c>
      <c r="E1667" s="18" t="s">
        <v>167</v>
      </c>
      <c r="F1667" s="18">
        <v>3</v>
      </c>
      <c r="G1667" s="20">
        <v>59700</v>
      </c>
      <c r="H1667" s="18">
        <v>0</v>
      </c>
      <c r="I1667" s="18">
        <v>0</v>
      </c>
      <c r="J1667" s="8">
        <f t="shared" si="78"/>
        <v>59700</v>
      </c>
      <c r="K1667" s="10">
        <f t="shared" si="79"/>
        <v>1</v>
      </c>
      <c r="L1667" s="17">
        <f t="shared" si="80"/>
        <v>0</v>
      </c>
      <c r="M1667" t="str">
        <f>VLOOKUP(D1667,'Jer-Tip-Emp'!B:E,4,0)</f>
        <v>Mong Express</v>
      </c>
      <c r="N1667" t="str">
        <f>VLOOKUP(D1667,'Jer-Tip-Emp'!B:F,5,0)</f>
        <v>Personal</v>
      </c>
      <c r="O1667" t="str">
        <f>VLOOKUP(D1667,'Jer-Tip-Emp'!B:G,6,0)</f>
        <v>Caja</v>
      </c>
    </row>
    <row r="1668" spans="1:15" ht="27.5" hidden="1" customHeight="1" x14ac:dyDescent="0.2">
      <c r="A1668">
        <v>2025</v>
      </c>
      <c r="B1668" t="s">
        <v>617</v>
      </c>
      <c r="C1668" t="s">
        <v>595</v>
      </c>
      <c r="D1668" s="19" t="s">
        <v>309</v>
      </c>
      <c r="E1668" s="18" t="s">
        <v>48</v>
      </c>
      <c r="F1668" s="18">
        <v>3</v>
      </c>
      <c r="G1668" s="20">
        <v>11700</v>
      </c>
      <c r="H1668" s="18">
        <v>0</v>
      </c>
      <c r="I1668" s="20">
        <v>3489</v>
      </c>
      <c r="J1668" s="8">
        <f t="shared" si="78"/>
        <v>8211</v>
      </c>
      <c r="K1668" s="10">
        <f t="shared" si="79"/>
        <v>0.70179487179487177</v>
      </c>
      <c r="L1668" s="17">
        <f t="shared" si="80"/>
        <v>0</v>
      </c>
      <c r="M1668" t="str">
        <f>VLOOKUP(D1668,'Jer-Tip-Emp'!B:E,4,0)</f>
        <v>Bebidas</v>
      </c>
      <c r="N1668" t="str">
        <f>VLOOKUP(D1668,'Jer-Tip-Emp'!B:F,5,0)</f>
        <v>Bebidas</v>
      </c>
      <c r="O1668" t="str">
        <f>VLOOKUP(D1668,'Jer-Tip-Emp'!B:G,6,0)</f>
        <v>Bebidas</v>
      </c>
    </row>
    <row r="1669" spans="1:15" ht="27.5" customHeight="1" x14ac:dyDescent="0.2">
      <c r="A1669">
        <v>2025</v>
      </c>
      <c r="B1669" t="s">
        <v>617</v>
      </c>
      <c r="C1669" t="s">
        <v>595</v>
      </c>
      <c r="D1669" s="19" t="s">
        <v>206</v>
      </c>
      <c r="E1669" s="18" t="s">
        <v>117</v>
      </c>
      <c r="F1669" s="18">
        <v>3</v>
      </c>
      <c r="G1669" s="20">
        <v>47400</v>
      </c>
      <c r="H1669" s="20">
        <v>-3300</v>
      </c>
      <c r="I1669" s="20">
        <v>21375</v>
      </c>
      <c r="J1669" s="8">
        <f t="shared" si="78"/>
        <v>26025</v>
      </c>
      <c r="K1669" s="10">
        <f t="shared" si="79"/>
        <v>0.54905063291139244</v>
      </c>
      <c r="L1669" s="17">
        <f t="shared" si="80"/>
        <v>6.9620253164556958E-2</v>
      </c>
      <c r="M1669" t="str">
        <f>VLOOKUP(D1669,'Jer-Tip-Emp'!B:E,4,0)</f>
        <v>Platos especiales</v>
      </c>
      <c r="N1669" t="str">
        <f>VLOOKUP(D1669,'Jer-Tip-Emp'!B:F,5,0)</f>
        <v>Personal</v>
      </c>
      <c r="O1669" t="str">
        <f>VLOOKUP(D1669,'Jer-Tip-Emp'!B:G,6,0)</f>
        <v>Platos especiales</v>
      </c>
    </row>
    <row r="1670" spans="1:15" ht="27.5" customHeight="1" x14ac:dyDescent="0.2">
      <c r="A1670">
        <v>2025</v>
      </c>
      <c r="B1670" t="s">
        <v>617</v>
      </c>
      <c r="C1670" t="s">
        <v>595</v>
      </c>
      <c r="D1670" s="19" t="s">
        <v>260</v>
      </c>
      <c r="E1670" s="18" t="s">
        <v>97</v>
      </c>
      <c r="F1670" s="18">
        <v>3</v>
      </c>
      <c r="G1670" s="20">
        <v>143700</v>
      </c>
      <c r="H1670" s="18">
        <v>0</v>
      </c>
      <c r="I1670" s="20">
        <v>62733</v>
      </c>
      <c r="J1670" s="8">
        <f t="shared" si="78"/>
        <v>80967</v>
      </c>
      <c r="K1670" s="10">
        <f t="shared" si="79"/>
        <v>0.56344467640918583</v>
      </c>
      <c r="L1670" s="17">
        <f t="shared" si="80"/>
        <v>0</v>
      </c>
      <c r="M1670" t="str">
        <f>VLOOKUP(D1670,'Jer-Tip-Emp'!B:E,4,0)</f>
        <v>Platos mong</v>
      </c>
      <c r="N1670" t="str">
        <f>VLOOKUP(D1670,'Jer-Tip-Emp'!B:F,5,0)</f>
        <v>No Personal</v>
      </c>
      <c r="O1670" t="str">
        <f>VLOOKUP(D1670,'Jer-Tip-Emp'!B:G,6,0)</f>
        <v>Caja</v>
      </c>
    </row>
    <row r="1671" spans="1:15" ht="27.5" customHeight="1" x14ac:dyDescent="0.2">
      <c r="A1671">
        <v>2025</v>
      </c>
      <c r="B1671" t="s">
        <v>617</v>
      </c>
      <c r="C1671" t="s">
        <v>595</v>
      </c>
      <c r="D1671" s="19" t="s">
        <v>290</v>
      </c>
      <c r="E1671" s="18" t="s">
        <v>86</v>
      </c>
      <c r="F1671" s="18">
        <v>3</v>
      </c>
      <c r="G1671" s="20">
        <v>290700</v>
      </c>
      <c r="H1671" s="18">
        <v>0</v>
      </c>
      <c r="I1671" s="20">
        <v>140340</v>
      </c>
      <c r="J1671" s="8">
        <f t="shared" si="78"/>
        <v>150360</v>
      </c>
      <c r="K1671" s="10">
        <f t="shared" si="79"/>
        <v>0.51723426212590295</v>
      </c>
      <c r="L1671" s="17">
        <f t="shared" si="80"/>
        <v>0</v>
      </c>
      <c r="M1671" t="str">
        <f>VLOOKUP(D1671,'Jer-Tip-Emp'!B:E,4,0)</f>
        <v>Combos para compartir</v>
      </c>
      <c r="N1671" t="str">
        <f>VLOOKUP(D1671,'Jer-Tip-Emp'!B:F,5,0)</f>
        <v>No Personal</v>
      </c>
      <c r="O1671" t="str">
        <f>VLOOKUP(D1671,'Jer-Tip-Emp'!B:G,6,0)</f>
        <v>Combo</v>
      </c>
    </row>
    <row r="1672" spans="1:15" ht="27.5" customHeight="1" x14ac:dyDescent="0.2">
      <c r="A1672">
        <v>2025</v>
      </c>
      <c r="B1672" t="s">
        <v>617</v>
      </c>
      <c r="C1672" t="s">
        <v>595</v>
      </c>
      <c r="D1672" s="19" t="s">
        <v>244</v>
      </c>
      <c r="E1672" s="18" t="s">
        <v>113</v>
      </c>
      <c r="F1672" s="18">
        <v>3</v>
      </c>
      <c r="G1672" s="20">
        <v>86700</v>
      </c>
      <c r="H1672" s="18">
        <v>0</v>
      </c>
      <c r="I1672" s="20">
        <v>22815</v>
      </c>
      <c r="J1672" s="8">
        <f t="shared" si="78"/>
        <v>63885</v>
      </c>
      <c r="K1672" s="10">
        <f t="shared" si="79"/>
        <v>0.73685121107266438</v>
      </c>
      <c r="L1672" s="17">
        <f t="shared" si="80"/>
        <v>0</v>
      </c>
      <c r="M1672" t="str">
        <f>VLOOKUP(D1672,'Jer-Tip-Emp'!B:E,4,0)</f>
        <v>Platos especiales</v>
      </c>
      <c r="N1672" t="str">
        <f>VLOOKUP(D1672,'Jer-Tip-Emp'!B:F,5,0)</f>
        <v>Personal</v>
      </c>
      <c r="O1672" t="str">
        <f>VLOOKUP(D1672,'Jer-Tip-Emp'!B:G,6,0)</f>
        <v>Platos especiales</v>
      </c>
    </row>
    <row r="1673" spans="1:15" ht="27.5" hidden="1" customHeight="1" x14ac:dyDescent="0.2">
      <c r="A1673">
        <v>2025</v>
      </c>
      <c r="B1673" t="s">
        <v>617</v>
      </c>
      <c r="C1673" t="s">
        <v>595</v>
      </c>
      <c r="D1673" s="19" t="s">
        <v>218</v>
      </c>
      <c r="E1673" s="18" t="s">
        <v>33</v>
      </c>
      <c r="F1673" s="18">
        <v>2</v>
      </c>
      <c r="G1673" s="20">
        <v>15800</v>
      </c>
      <c r="H1673" s="18">
        <v>0</v>
      </c>
      <c r="I1673" s="18">
        <v>0</v>
      </c>
      <c r="J1673" s="8">
        <f t="shared" si="78"/>
        <v>15800</v>
      </c>
      <c r="K1673" s="10">
        <f t="shared" si="79"/>
        <v>1</v>
      </c>
      <c r="L1673" s="17">
        <f t="shared" si="80"/>
        <v>0</v>
      </c>
      <c r="M1673" t="str">
        <f>VLOOKUP(D1673,'Jer-Tip-Emp'!B:E,4,0)</f>
        <v>Adición</v>
      </c>
      <c r="N1673" t="str">
        <f>VLOOKUP(D1673,'Jer-Tip-Emp'!B:F,5,0)</f>
        <v>Adición</v>
      </c>
      <c r="O1673" t="str">
        <f>VLOOKUP(D1673,'Jer-Tip-Emp'!B:G,6,0)</f>
        <v>Adición</v>
      </c>
    </row>
    <row r="1674" spans="1:15" ht="27.5" hidden="1" customHeight="1" x14ac:dyDescent="0.2">
      <c r="A1674">
        <v>2025</v>
      </c>
      <c r="B1674" t="s">
        <v>617</v>
      </c>
      <c r="C1674" t="s">
        <v>595</v>
      </c>
      <c r="D1674" s="19" t="s">
        <v>336</v>
      </c>
      <c r="E1674" s="18" t="s">
        <v>60</v>
      </c>
      <c r="F1674" s="18">
        <v>2</v>
      </c>
      <c r="G1674" s="20">
        <v>9800</v>
      </c>
      <c r="H1674" s="18">
        <v>0</v>
      </c>
      <c r="I1674" s="20">
        <v>3120</v>
      </c>
      <c r="J1674" s="8">
        <f t="shared" si="78"/>
        <v>6680</v>
      </c>
      <c r="K1674" s="10">
        <f t="shared" si="79"/>
        <v>0.68163265306122445</v>
      </c>
      <c r="L1674" s="17">
        <f t="shared" si="80"/>
        <v>0</v>
      </c>
      <c r="M1674" t="str">
        <f>VLOOKUP(D1674,'Jer-Tip-Emp'!B:E,4,0)</f>
        <v>Bebidas</v>
      </c>
      <c r="N1674" t="str">
        <f>VLOOKUP(D1674,'Jer-Tip-Emp'!B:F,5,0)</f>
        <v>Bebidas</v>
      </c>
      <c r="O1674" t="str">
        <f>VLOOKUP(D1674,'Jer-Tip-Emp'!B:G,6,0)</f>
        <v>Bebidas</v>
      </c>
    </row>
    <row r="1675" spans="1:15" ht="27.5" customHeight="1" x14ac:dyDescent="0.2">
      <c r="A1675">
        <v>2025</v>
      </c>
      <c r="B1675" t="s">
        <v>617</v>
      </c>
      <c r="C1675" t="s">
        <v>595</v>
      </c>
      <c r="D1675" s="19" t="s">
        <v>178</v>
      </c>
      <c r="E1675" s="18" t="s">
        <v>145</v>
      </c>
      <c r="F1675" s="18">
        <v>2</v>
      </c>
      <c r="G1675" s="20">
        <v>171800</v>
      </c>
      <c r="H1675" s="18">
        <v>0</v>
      </c>
      <c r="I1675" s="20">
        <v>97216</v>
      </c>
      <c r="J1675" s="8">
        <f t="shared" si="78"/>
        <v>74584</v>
      </c>
      <c r="K1675" s="10">
        <f t="shared" si="79"/>
        <v>0.4341327124563446</v>
      </c>
      <c r="L1675" s="17">
        <f t="shared" si="80"/>
        <v>0</v>
      </c>
      <c r="M1675" t="str">
        <f>VLOOKUP(D1675,'Jer-Tip-Emp'!B:E,4,0)</f>
        <v>Platos mong</v>
      </c>
      <c r="N1675" t="str">
        <f>VLOOKUP(D1675,'Jer-Tip-Emp'!B:F,5,0)</f>
        <v>No Personal</v>
      </c>
      <c r="O1675" t="str">
        <f>VLOOKUP(D1675,'Jer-Tip-Emp'!B:G,6,0)</f>
        <v>Caja</v>
      </c>
    </row>
    <row r="1676" spans="1:15" ht="27.5" hidden="1" customHeight="1" x14ac:dyDescent="0.2">
      <c r="A1676">
        <v>2025</v>
      </c>
      <c r="B1676" t="s">
        <v>617</v>
      </c>
      <c r="C1676" t="s">
        <v>595</v>
      </c>
      <c r="D1676" s="19" t="s">
        <v>500</v>
      </c>
      <c r="E1676" s="18" t="s">
        <v>546</v>
      </c>
      <c r="F1676" s="18">
        <v>2</v>
      </c>
      <c r="G1676" s="18">
        <v>0</v>
      </c>
      <c r="H1676" s="18">
        <v>0</v>
      </c>
      <c r="I1676" s="20">
        <v>1736</v>
      </c>
      <c r="J1676" s="8">
        <f t="shared" si="78"/>
        <v>-1736</v>
      </c>
      <c r="K1676" s="10">
        <f t="shared" si="79"/>
        <v>0</v>
      </c>
      <c r="L1676" s="17">
        <f t="shared" si="80"/>
        <v>0</v>
      </c>
      <c r="M1676" t="str">
        <f>VLOOKUP(D1676,'Jer-Tip-Emp'!B:E,4,0)</f>
        <v>Bebidas</v>
      </c>
      <c r="N1676" t="str">
        <f>VLOOKUP(D1676,'Jer-Tip-Emp'!B:F,5,0)</f>
        <v>Bebidas Cambio de bebida</v>
      </c>
      <c r="O1676" t="str">
        <f>VLOOKUP(D1676,'Jer-Tip-Emp'!B:G,6,0)</f>
        <v>Bebidas</v>
      </c>
    </row>
    <row r="1677" spans="1:15" ht="27.5" customHeight="1" x14ac:dyDescent="0.2">
      <c r="A1677">
        <v>2025</v>
      </c>
      <c r="B1677" t="s">
        <v>617</v>
      </c>
      <c r="C1677" t="s">
        <v>595</v>
      </c>
      <c r="D1677" s="19" t="s">
        <v>203</v>
      </c>
      <c r="E1677" s="18" t="s">
        <v>125</v>
      </c>
      <c r="F1677" s="18">
        <v>2</v>
      </c>
      <c r="G1677" s="20">
        <v>93800</v>
      </c>
      <c r="H1677" s="18">
        <v>0</v>
      </c>
      <c r="I1677" s="20">
        <v>35464</v>
      </c>
      <c r="J1677" s="8">
        <f t="shared" si="78"/>
        <v>58336</v>
      </c>
      <c r="K1677" s="10">
        <f t="shared" si="79"/>
        <v>0.62191897654584227</v>
      </c>
      <c r="L1677" s="17">
        <f t="shared" si="80"/>
        <v>0</v>
      </c>
      <c r="M1677" t="str">
        <f>VLOOKUP(D1677,'Jer-Tip-Emp'!B:E,4,0)</f>
        <v>Platos mong</v>
      </c>
      <c r="N1677" t="str">
        <f>VLOOKUP(D1677,'Jer-Tip-Emp'!B:F,5,0)</f>
        <v>No Personal</v>
      </c>
      <c r="O1677" t="str">
        <f>VLOOKUP(D1677,'Jer-Tip-Emp'!B:G,6,0)</f>
        <v>Caja</v>
      </c>
    </row>
    <row r="1678" spans="1:15" ht="27.5" customHeight="1" x14ac:dyDescent="0.2">
      <c r="A1678">
        <v>2025</v>
      </c>
      <c r="B1678" t="s">
        <v>617</v>
      </c>
      <c r="C1678" t="s">
        <v>595</v>
      </c>
      <c r="D1678" s="19" t="s">
        <v>197</v>
      </c>
      <c r="E1678" s="18" t="s">
        <v>31</v>
      </c>
      <c r="F1678" s="18">
        <v>2</v>
      </c>
      <c r="G1678" s="20">
        <v>15800</v>
      </c>
      <c r="H1678" s="18">
        <v>0</v>
      </c>
      <c r="I1678" s="20">
        <v>6424</v>
      </c>
      <c r="J1678" s="8">
        <f t="shared" si="78"/>
        <v>9376</v>
      </c>
      <c r="K1678" s="10">
        <f t="shared" si="79"/>
        <v>0.59341772151898731</v>
      </c>
      <c r="L1678" s="17">
        <f t="shared" si="80"/>
        <v>0</v>
      </c>
      <c r="M1678" t="str">
        <f>VLOOKUP(D1678,'Jer-Tip-Emp'!B:E,4,0)</f>
        <v>Armalo en combo</v>
      </c>
      <c r="N1678" t="str">
        <f>VLOOKUP(D1678,'Jer-Tip-Emp'!B:F,5,0)</f>
        <v>Personal</v>
      </c>
      <c r="O1678" t="str">
        <f>VLOOKUP(D1678,'Jer-Tip-Emp'!B:G,6,0)</f>
        <v>Combo</v>
      </c>
    </row>
    <row r="1679" spans="1:15" ht="27.5" customHeight="1" x14ac:dyDescent="0.2">
      <c r="A1679">
        <v>2025</v>
      </c>
      <c r="B1679" t="s">
        <v>617</v>
      </c>
      <c r="C1679" t="s">
        <v>595</v>
      </c>
      <c r="D1679" s="19" t="s">
        <v>298</v>
      </c>
      <c r="E1679" s="18" t="s">
        <v>153</v>
      </c>
      <c r="F1679" s="18">
        <v>2</v>
      </c>
      <c r="G1679" s="20">
        <v>41800</v>
      </c>
      <c r="H1679" s="18">
        <v>0</v>
      </c>
      <c r="I1679" s="20">
        <v>17042</v>
      </c>
      <c r="J1679" s="8">
        <f t="shared" si="78"/>
        <v>24758</v>
      </c>
      <c r="K1679" s="10">
        <f t="shared" si="79"/>
        <v>0.59229665071770332</v>
      </c>
      <c r="L1679" s="17">
        <f t="shared" si="80"/>
        <v>0</v>
      </c>
      <c r="M1679" t="str">
        <f>VLOOKUP(D1679,'Jer-Tip-Emp'!B:E,4,0)</f>
        <v>Platos mong</v>
      </c>
      <c r="N1679" t="str">
        <f>VLOOKUP(D1679,'Jer-Tip-Emp'!B:F,5,0)</f>
        <v>Personal</v>
      </c>
      <c r="O1679" t="str">
        <f>VLOOKUP(D1679,'Jer-Tip-Emp'!B:G,6,0)</f>
        <v>Caja</v>
      </c>
    </row>
    <row r="1680" spans="1:15" ht="27.5" customHeight="1" x14ac:dyDescent="0.2">
      <c r="A1680">
        <v>2025</v>
      </c>
      <c r="B1680" t="s">
        <v>617</v>
      </c>
      <c r="C1680" t="s">
        <v>595</v>
      </c>
      <c r="D1680" s="19" t="s">
        <v>376</v>
      </c>
      <c r="E1680" s="18" t="s">
        <v>543</v>
      </c>
      <c r="F1680" s="18">
        <v>2</v>
      </c>
      <c r="G1680" s="18">
        <v>0</v>
      </c>
      <c r="H1680" s="18">
        <v>0</v>
      </c>
      <c r="I1680" s="20">
        <v>2564</v>
      </c>
      <c r="J1680" s="8">
        <f t="shared" si="78"/>
        <v>-2564</v>
      </c>
      <c r="K1680" s="10">
        <f t="shared" si="79"/>
        <v>0</v>
      </c>
      <c r="L1680" s="17">
        <f t="shared" si="80"/>
        <v>0</v>
      </c>
      <c r="M1680" t="str">
        <f>VLOOKUP(D1680,'Jer-Tip-Emp'!B:E,4,0)</f>
        <v>Arma tu plato</v>
      </c>
      <c r="N1680" t="str">
        <f>VLOOKUP(D1680,'Jer-Tip-Emp'!B:F,5,0)</f>
        <v>Personal</v>
      </c>
      <c r="O1680" t="str">
        <f>VLOOKUP(D1680,'Jer-Tip-Emp'!B:G,6,0)</f>
        <v>Caja</v>
      </c>
    </row>
    <row r="1681" spans="1:15" ht="27.5" hidden="1" customHeight="1" x14ac:dyDescent="0.2">
      <c r="A1681">
        <v>2025</v>
      </c>
      <c r="B1681" t="s">
        <v>617</v>
      </c>
      <c r="C1681" t="s">
        <v>595</v>
      </c>
      <c r="D1681" s="19" t="s">
        <v>326</v>
      </c>
      <c r="E1681" s="18" t="s">
        <v>69</v>
      </c>
      <c r="F1681" s="18">
        <v>2</v>
      </c>
      <c r="G1681" s="20">
        <v>9800</v>
      </c>
      <c r="H1681" s="18">
        <v>0</v>
      </c>
      <c r="I1681" s="20">
        <v>2660</v>
      </c>
      <c r="J1681" s="8">
        <f t="shared" si="78"/>
        <v>7140</v>
      </c>
      <c r="K1681" s="10">
        <f t="shared" si="79"/>
        <v>0.72857142857142854</v>
      </c>
      <c r="L1681" s="17">
        <f t="shared" si="80"/>
        <v>0</v>
      </c>
      <c r="M1681" t="str">
        <f>VLOOKUP(D1681,'Jer-Tip-Emp'!B:E,4,0)</f>
        <v>Bebidas</v>
      </c>
      <c r="N1681" t="str">
        <f>VLOOKUP(D1681,'Jer-Tip-Emp'!B:F,5,0)</f>
        <v>Bebidas</v>
      </c>
      <c r="O1681" t="str">
        <f>VLOOKUP(D1681,'Jer-Tip-Emp'!B:G,6,0)</f>
        <v>Bebidas</v>
      </c>
    </row>
    <row r="1682" spans="1:15" ht="27.5" hidden="1" customHeight="1" x14ac:dyDescent="0.2">
      <c r="A1682">
        <v>2025</v>
      </c>
      <c r="B1682" t="s">
        <v>617</v>
      </c>
      <c r="C1682" t="s">
        <v>595</v>
      </c>
      <c r="D1682" s="19" t="s">
        <v>327</v>
      </c>
      <c r="E1682" s="18" t="s">
        <v>44</v>
      </c>
      <c r="F1682" s="18">
        <v>2</v>
      </c>
      <c r="G1682" s="20">
        <v>9800</v>
      </c>
      <c r="H1682" s="18">
        <v>0</v>
      </c>
      <c r="I1682" s="20">
        <v>2190</v>
      </c>
      <c r="J1682" s="8">
        <f t="shared" si="78"/>
        <v>7610</v>
      </c>
      <c r="K1682" s="10">
        <f t="shared" si="79"/>
        <v>0.77653061224489794</v>
      </c>
      <c r="L1682" s="17">
        <f t="shared" si="80"/>
        <v>0</v>
      </c>
      <c r="M1682" t="str">
        <f>VLOOKUP(D1682,'Jer-Tip-Emp'!B:E,4,0)</f>
        <v>Bebidas</v>
      </c>
      <c r="N1682" t="str">
        <f>VLOOKUP(D1682,'Jer-Tip-Emp'!B:F,5,0)</f>
        <v>Bebidas</v>
      </c>
      <c r="O1682" t="str">
        <f>VLOOKUP(D1682,'Jer-Tip-Emp'!B:G,6,0)</f>
        <v>Bebidas</v>
      </c>
    </row>
    <row r="1683" spans="1:15" ht="27.5" hidden="1" customHeight="1" x14ac:dyDescent="0.2">
      <c r="A1683">
        <v>2025</v>
      </c>
      <c r="B1683" t="s">
        <v>617</v>
      </c>
      <c r="C1683" t="s">
        <v>595</v>
      </c>
      <c r="D1683" s="19" t="s">
        <v>176</v>
      </c>
      <c r="E1683" s="18" t="s">
        <v>544</v>
      </c>
      <c r="F1683" s="18">
        <v>2</v>
      </c>
      <c r="G1683" s="20">
        <v>2000</v>
      </c>
      <c r="H1683" s="18">
        <v>0</v>
      </c>
      <c r="I1683" s="20">
        <v>3890</v>
      </c>
      <c r="J1683" s="8">
        <f t="shared" si="78"/>
        <v>-1890</v>
      </c>
      <c r="K1683" s="10">
        <f t="shared" si="79"/>
        <v>-0.94499999999999995</v>
      </c>
      <c r="L1683" s="17">
        <f t="shared" si="80"/>
        <v>0</v>
      </c>
      <c r="M1683" t="str">
        <f>VLOOKUP(D1683,'Jer-Tip-Emp'!B:E,4,0)</f>
        <v>Bebidas</v>
      </c>
      <c r="N1683" t="str">
        <f>VLOOKUP(D1683,'Jer-Tip-Emp'!B:F,5,0)</f>
        <v>Bebidas Cambio de bebida</v>
      </c>
      <c r="O1683" t="str">
        <f>VLOOKUP(D1683,'Jer-Tip-Emp'!B:G,6,0)</f>
        <v>Bebidas</v>
      </c>
    </row>
    <row r="1684" spans="1:15" ht="27.5" hidden="1" customHeight="1" x14ac:dyDescent="0.2">
      <c r="A1684">
        <v>2025</v>
      </c>
      <c r="B1684" t="s">
        <v>617</v>
      </c>
      <c r="C1684" t="s">
        <v>595</v>
      </c>
      <c r="D1684" s="19" t="s">
        <v>183</v>
      </c>
      <c r="E1684" s="18" t="s">
        <v>104</v>
      </c>
      <c r="F1684" s="18">
        <v>2</v>
      </c>
      <c r="G1684" s="20">
        <v>31800</v>
      </c>
      <c r="H1684" s="18">
        <v>0</v>
      </c>
      <c r="I1684" s="20">
        <v>20056</v>
      </c>
      <c r="J1684" s="8">
        <f t="shared" si="78"/>
        <v>11744</v>
      </c>
      <c r="K1684" s="10">
        <f t="shared" si="79"/>
        <v>0.36930817610062894</v>
      </c>
      <c r="L1684" s="17">
        <f t="shared" si="80"/>
        <v>0</v>
      </c>
      <c r="M1684" t="str">
        <f>VLOOKUP(D1684,'Jer-Tip-Emp'!B:E,4,0)</f>
        <v>Entradas</v>
      </c>
      <c r="N1684" t="str">
        <f>VLOOKUP(D1684,'Jer-Tip-Emp'!B:F,5,0)</f>
        <v>Otro</v>
      </c>
      <c r="O1684" t="str">
        <f>VLOOKUP(D1684,'Jer-Tip-Emp'!B:G,6,0)</f>
        <v>Otro</v>
      </c>
    </row>
    <row r="1685" spans="1:15" ht="27.5" customHeight="1" x14ac:dyDescent="0.2">
      <c r="A1685">
        <v>2025</v>
      </c>
      <c r="B1685" t="s">
        <v>617</v>
      </c>
      <c r="C1685" t="s">
        <v>595</v>
      </c>
      <c r="D1685" s="19" t="s">
        <v>354</v>
      </c>
      <c r="E1685" s="18" t="s">
        <v>548</v>
      </c>
      <c r="F1685" s="18">
        <v>2</v>
      </c>
      <c r="G1685" s="18">
        <v>0</v>
      </c>
      <c r="H1685" s="18">
        <v>0</v>
      </c>
      <c r="I1685" s="20">
        <v>5268</v>
      </c>
      <c r="J1685" s="8">
        <f t="shared" si="78"/>
        <v>-5268</v>
      </c>
      <c r="K1685" s="10">
        <f t="shared" si="79"/>
        <v>0</v>
      </c>
      <c r="L1685" s="17">
        <f t="shared" si="80"/>
        <v>0</v>
      </c>
      <c r="M1685" t="str">
        <f>VLOOKUP(D1685,'Jer-Tip-Emp'!B:E,4,0)</f>
        <v>Arma tu plato</v>
      </c>
      <c r="N1685" t="str">
        <f>VLOOKUP(D1685,'Jer-Tip-Emp'!B:F,5,0)</f>
        <v>Personal</v>
      </c>
      <c r="O1685" t="str">
        <f>VLOOKUP(D1685,'Jer-Tip-Emp'!B:G,6,0)</f>
        <v>Caja</v>
      </c>
    </row>
    <row r="1686" spans="1:15" ht="27.5" hidden="1" customHeight="1" x14ac:dyDescent="0.2">
      <c r="A1686">
        <v>2025</v>
      </c>
      <c r="B1686" t="s">
        <v>617</v>
      </c>
      <c r="C1686" t="s">
        <v>595</v>
      </c>
      <c r="D1686" s="19" t="s">
        <v>296</v>
      </c>
      <c r="E1686" s="18" t="s">
        <v>22</v>
      </c>
      <c r="F1686" s="18">
        <v>2</v>
      </c>
      <c r="G1686" s="20">
        <v>13800</v>
      </c>
      <c r="H1686" s="18">
        <v>0</v>
      </c>
      <c r="I1686" s="20">
        <v>1378</v>
      </c>
      <c r="J1686" s="8">
        <f t="shared" si="78"/>
        <v>12422</v>
      </c>
      <c r="K1686" s="10">
        <f t="shared" si="79"/>
        <v>0.90014492753623188</v>
      </c>
      <c r="L1686" s="17">
        <f t="shared" si="80"/>
        <v>0</v>
      </c>
      <c r="M1686" t="str">
        <f>VLOOKUP(D1686,'Jer-Tip-Emp'!B:E,4,0)</f>
        <v>Adición</v>
      </c>
      <c r="N1686" t="str">
        <f>VLOOKUP(D1686,'Jer-Tip-Emp'!B:F,5,0)</f>
        <v>Adición</v>
      </c>
      <c r="O1686" t="str">
        <f>VLOOKUP(D1686,'Jer-Tip-Emp'!B:G,6,0)</f>
        <v>Adición</v>
      </c>
    </row>
    <row r="1687" spans="1:15" ht="27.5" hidden="1" customHeight="1" x14ac:dyDescent="0.2">
      <c r="A1687">
        <v>2025</v>
      </c>
      <c r="B1687" t="s">
        <v>617</v>
      </c>
      <c r="C1687" t="s">
        <v>595</v>
      </c>
      <c r="D1687" s="19" t="s">
        <v>268</v>
      </c>
      <c r="E1687" s="18" t="s">
        <v>17</v>
      </c>
      <c r="F1687" s="18">
        <v>1</v>
      </c>
      <c r="G1687" s="20">
        <v>5000</v>
      </c>
      <c r="H1687" s="18">
        <v>-900</v>
      </c>
      <c r="I1687" s="20">
        <v>1282</v>
      </c>
      <c r="J1687" s="8">
        <f t="shared" si="78"/>
        <v>3718</v>
      </c>
      <c r="K1687" s="10">
        <f t="shared" si="79"/>
        <v>0.74360000000000004</v>
      </c>
      <c r="L1687" s="17">
        <f t="shared" si="80"/>
        <v>0.18</v>
      </c>
      <c r="M1687" t="str">
        <f>VLOOKUP(D1687,'Jer-Tip-Emp'!B:E,4,0)</f>
        <v>Adición</v>
      </c>
      <c r="N1687" t="str">
        <f>VLOOKUP(D1687,'Jer-Tip-Emp'!B:F,5,0)</f>
        <v>Adición</v>
      </c>
      <c r="O1687" t="str">
        <f>VLOOKUP(D1687,'Jer-Tip-Emp'!B:G,6,0)</f>
        <v>Adición</v>
      </c>
    </row>
    <row r="1688" spans="1:15" ht="27.5" hidden="1" customHeight="1" x14ac:dyDescent="0.2">
      <c r="A1688">
        <v>2025</v>
      </c>
      <c r="B1688" t="s">
        <v>617</v>
      </c>
      <c r="C1688" t="s">
        <v>595</v>
      </c>
      <c r="D1688" s="19" t="s">
        <v>310</v>
      </c>
      <c r="E1688" s="18" t="s">
        <v>53</v>
      </c>
      <c r="F1688" s="18">
        <v>1</v>
      </c>
      <c r="G1688" s="20">
        <v>5900</v>
      </c>
      <c r="H1688" s="18">
        <v>0</v>
      </c>
      <c r="I1688" s="20">
        <v>1695</v>
      </c>
      <c r="J1688" s="8">
        <f t="shared" si="78"/>
        <v>4205</v>
      </c>
      <c r="K1688" s="10">
        <f t="shared" si="79"/>
        <v>0.71271186440677969</v>
      </c>
      <c r="L1688" s="17">
        <f t="shared" si="80"/>
        <v>0</v>
      </c>
      <c r="M1688" t="str">
        <f>VLOOKUP(D1688,'Jer-Tip-Emp'!B:E,4,0)</f>
        <v>Bebidas</v>
      </c>
      <c r="N1688" t="str">
        <f>VLOOKUP(D1688,'Jer-Tip-Emp'!B:F,5,0)</f>
        <v>Bebidas</v>
      </c>
      <c r="O1688" t="str">
        <f>VLOOKUP(D1688,'Jer-Tip-Emp'!B:G,6,0)</f>
        <v>Bebidas</v>
      </c>
    </row>
    <row r="1689" spans="1:15" ht="27.5" customHeight="1" x14ac:dyDescent="0.2">
      <c r="A1689">
        <v>2025</v>
      </c>
      <c r="B1689" t="s">
        <v>617</v>
      </c>
      <c r="C1689" t="s">
        <v>595</v>
      </c>
      <c r="D1689" s="19" t="s">
        <v>303</v>
      </c>
      <c r="E1689" s="18" t="s">
        <v>120</v>
      </c>
      <c r="F1689" s="18">
        <v>1</v>
      </c>
      <c r="G1689" s="20">
        <v>22900</v>
      </c>
      <c r="H1689" s="18">
        <v>0</v>
      </c>
      <c r="I1689" s="20">
        <v>7514</v>
      </c>
      <c r="J1689" s="8">
        <f t="shared" si="78"/>
        <v>15386</v>
      </c>
      <c r="K1689" s="10">
        <f t="shared" si="79"/>
        <v>0.67187772925764189</v>
      </c>
      <c r="L1689" s="17">
        <f t="shared" si="80"/>
        <v>0</v>
      </c>
      <c r="M1689" t="str">
        <f>VLOOKUP(D1689,'Jer-Tip-Emp'!B:E,4,0)</f>
        <v>Platos mong</v>
      </c>
      <c r="N1689" t="str">
        <f>VLOOKUP(D1689,'Jer-Tip-Emp'!B:F,5,0)</f>
        <v>Personal</v>
      </c>
      <c r="O1689" t="str">
        <f>VLOOKUP(D1689,'Jer-Tip-Emp'!B:G,6,0)</f>
        <v>Caja</v>
      </c>
    </row>
    <row r="1690" spans="1:15" ht="27.5" customHeight="1" x14ac:dyDescent="0.2">
      <c r="A1690">
        <v>2025</v>
      </c>
      <c r="B1690" t="s">
        <v>617</v>
      </c>
      <c r="C1690" t="s">
        <v>595</v>
      </c>
      <c r="D1690" s="19" t="s">
        <v>246</v>
      </c>
      <c r="E1690" s="18" t="s">
        <v>29</v>
      </c>
      <c r="F1690" s="18">
        <v>1</v>
      </c>
      <c r="G1690" s="20">
        <v>7016</v>
      </c>
      <c r="H1690" s="18">
        <v>-884</v>
      </c>
      <c r="I1690" s="18">
        <v>0</v>
      </c>
      <c r="J1690" s="8">
        <f t="shared" si="78"/>
        <v>7016</v>
      </c>
      <c r="K1690" s="10">
        <f t="shared" si="79"/>
        <v>1</v>
      </c>
      <c r="L1690" s="17">
        <f t="shared" si="80"/>
        <v>0.12599771949828961</v>
      </c>
      <c r="M1690" t="str">
        <f>VLOOKUP(D1690,'Jer-Tip-Emp'!B:E,4,0)</f>
        <v>Armalo en combo</v>
      </c>
      <c r="N1690" t="str">
        <f>VLOOKUP(D1690,'Jer-Tip-Emp'!B:F,5,0)</f>
        <v>Personal</v>
      </c>
      <c r="O1690" t="str">
        <f>VLOOKUP(D1690,'Jer-Tip-Emp'!B:G,6,0)</f>
        <v>Combo</v>
      </c>
    </row>
    <row r="1691" spans="1:15" ht="27.5" customHeight="1" x14ac:dyDescent="0.2">
      <c r="A1691">
        <v>2025</v>
      </c>
      <c r="B1691" t="s">
        <v>617</v>
      </c>
      <c r="C1691" t="s">
        <v>595</v>
      </c>
      <c r="D1691" s="19" t="s">
        <v>265</v>
      </c>
      <c r="E1691" s="18" t="s">
        <v>140</v>
      </c>
      <c r="F1691" s="18">
        <v>1</v>
      </c>
      <c r="G1691" s="20">
        <v>63900</v>
      </c>
      <c r="H1691" s="18">
        <v>0</v>
      </c>
      <c r="I1691" s="20">
        <v>32179</v>
      </c>
      <c r="J1691" s="8">
        <f t="shared" si="78"/>
        <v>31721</v>
      </c>
      <c r="K1691" s="10">
        <f t="shared" si="79"/>
        <v>0.49641627543035993</v>
      </c>
      <c r="L1691" s="17">
        <f t="shared" si="80"/>
        <v>0</v>
      </c>
      <c r="M1691" t="str">
        <f>VLOOKUP(D1691,'Jer-Tip-Emp'!B:E,4,0)</f>
        <v>Platos mong</v>
      </c>
      <c r="N1691" t="str">
        <f>VLOOKUP(D1691,'Jer-Tip-Emp'!B:F,5,0)</f>
        <v>No Personal</v>
      </c>
      <c r="O1691" t="str">
        <f>VLOOKUP(D1691,'Jer-Tip-Emp'!B:G,6,0)</f>
        <v>Caja</v>
      </c>
    </row>
    <row r="1692" spans="1:15" ht="27.5" customHeight="1" x14ac:dyDescent="0.2">
      <c r="A1692">
        <v>2025</v>
      </c>
      <c r="B1692" t="s">
        <v>617</v>
      </c>
      <c r="C1692" t="s">
        <v>595</v>
      </c>
      <c r="D1692" s="19" t="s">
        <v>288</v>
      </c>
      <c r="E1692" s="18" t="s">
        <v>150</v>
      </c>
      <c r="F1692" s="18">
        <v>1</v>
      </c>
      <c r="G1692" s="20">
        <v>46900</v>
      </c>
      <c r="H1692" s="18">
        <v>0</v>
      </c>
      <c r="I1692" s="20">
        <v>22575</v>
      </c>
      <c r="J1692" s="8">
        <f t="shared" si="78"/>
        <v>24325</v>
      </c>
      <c r="K1692" s="10">
        <f t="shared" si="79"/>
        <v>0.51865671641791045</v>
      </c>
      <c r="L1692" s="17">
        <f t="shared" si="80"/>
        <v>0</v>
      </c>
      <c r="M1692" t="str">
        <f>VLOOKUP(D1692,'Jer-Tip-Emp'!B:E,4,0)</f>
        <v>Platos mong</v>
      </c>
      <c r="N1692" t="str">
        <f>VLOOKUP(D1692,'Jer-Tip-Emp'!B:F,5,0)</f>
        <v>No Personal</v>
      </c>
      <c r="O1692" t="str">
        <f>VLOOKUP(D1692,'Jer-Tip-Emp'!B:G,6,0)</f>
        <v>Caja</v>
      </c>
    </row>
    <row r="1693" spans="1:15" ht="27.5" hidden="1" customHeight="1" x14ac:dyDescent="0.2">
      <c r="A1693">
        <v>2025</v>
      </c>
      <c r="B1693" t="s">
        <v>617</v>
      </c>
      <c r="C1693" t="s">
        <v>595</v>
      </c>
      <c r="D1693" s="19" t="s">
        <v>330</v>
      </c>
      <c r="E1693" s="18" t="s">
        <v>38</v>
      </c>
      <c r="F1693" s="18">
        <v>1</v>
      </c>
      <c r="G1693" s="20">
        <v>4900</v>
      </c>
      <c r="H1693" s="18">
        <v>0</v>
      </c>
      <c r="I1693" s="20">
        <v>1288</v>
      </c>
      <c r="J1693" s="8">
        <f t="shared" si="78"/>
        <v>3612</v>
      </c>
      <c r="K1693" s="10">
        <f t="shared" si="79"/>
        <v>0.7371428571428571</v>
      </c>
      <c r="L1693" s="17">
        <f t="shared" si="80"/>
        <v>0</v>
      </c>
      <c r="M1693" t="str">
        <f>VLOOKUP(D1693,'Jer-Tip-Emp'!B:E,4,0)</f>
        <v>Bebidas</v>
      </c>
      <c r="N1693" t="str">
        <f>VLOOKUP(D1693,'Jer-Tip-Emp'!B:F,5,0)</f>
        <v>Bebidas</v>
      </c>
      <c r="O1693" t="str">
        <f>VLOOKUP(D1693,'Jer-Tip-Emp'!B:G,6,0)</f>
        <v>Bebidas</v>
      </c>
    </row>
    <row r="1694" spans="1:15" ht="27.5" hidden="1" customHeight="1" x14ac:dyDescent="0.2">
      <c r="A1694">
        <v>2025</v>
      </c>
      <c r="B1694" t="s">
        <v>617</v>
      </c>
      <c r="C1694" t="s">
        <v>595</v>
      </c>
      <c r="D1694" s="19" t="s">
        <v>490</v>
      </c>
      <c r="E1694" s="18" t="s">
        <v>554</v>
      </c>
      <c r="F1694" s="18">
        <v>1</v>
      </c>
      <c r="G1694" s="18">
        <v>0</v>
      </c>
      <c r="H1694" s="18">
        <v>0</v>
      </c>
      <c r="I1694" s="20">
        <v>2049</v>
      </c>
      <c r="J1694" s="8">
        <f t="shared" si="78"/>
        <v>-2049</v>
      </c>
      <c r="K1694" s="10">
        <f t="shared" si="79"/>
        <v>0</v>
      </c>
      <c r="L1694" s="17">
        <f t="shared" si="80"/>
        <v>0</v>
      </c>
      <c r="M1694" t="str">
        <f>VLOOKUP(D1694,'Jer-Tip-Emp'!B:E,4,0)</f>
        <v>Adición</v>
      </c>
      <c r="N1694" t="str">
        <f>VLOOKUP(D1694,'Jer-Tip-Emp'!B:F,5,0)</f>
        <v>Otro</v>
      </c>
      <c r="O1694" t="str">
        <f>VLOOKUP(D1694,'Jer-Tip-Emp'!B:G,6,0)</f>
        <v>Otro</v>
      </c>
    </row>
    <row r="1695" spans="1:15" ht="27.5" customHeight="1" x14ac:dyDescent="0.2">
      <c r="A1695">
        <v>2025</v>
      </c>
      <c r="B1695" t="s">
        <v>617</v>
      </c>
      <c r="C1695" t="s">
        <v>595</v>
      </c>
      <c r="D1695" s="19" t="s">
        <v>266</v>
      </c>
      <c r="E1695" s="18" t="s">
        <v>85</v>
      </c>
      <c r="F1695" s="18">
        <v>1</v>
      </c>
      <c r="G1695" s="20">
        <v>62900</v>
      </c>
      <c r="H1695" s="20">
        <v>-7000</v>
      </c>
      <c r="I1695" s="20">
        <v>39221</v>
      </c>
      <c r="J1695" s="8">
        <f t="shared" si="78"/>
        <v>23679</v>
      </c>
      <c r="K1695" s="10">
        <f t="shared" si="79"/>
        <v>0.37645468998410175</v>
      </c>
      <c r="L1695" s="17">
        <f t="shared" si="80"/>
        <v>0.11128775834658187</v>
      </c>
      <c r="M1695" t="str">
        <f>VLOOKUP(D1695,'Jer-Tip-Emp'!B:E,4,0)</f>
        <v>Combos para compartir</v>
      </c>
      <c r="N1695" t="str">
        <f>VLOOKUP(D1695,'Jer-Tip-Emp'!B:F,5,0)</f>
        <v>No Personal</v>
      </c>
      <c r="O1695" t="str">
        <f>VLOOKUP(D1695,'Jer-Tip-Emp'!B:G,6,0)</f>
        <v>Combo</v>
      </c>
    </row>
    <row r="1696" spans="1:15" ht="27.5" customHeight="1" x14ac:dyDescent="0.2">
      <c r="A1696">
        <v>2025</v>
      </c>
      <c r="B1696" t="s">
        <v>617</v>
      </c>
      <c r="C1696" t="s">
        <v>595</v>
      </c>
      <c r="D1696" s="19" t="s">
        <v>251</v>
      </c>
      <c r="E1696" s="18" t="s">
        <v>123</v>
      </c>
      <c r="F1696" s="18">
        <v>1</v>
      </c>
      <c r="G1696" s="20">
        <v>59900</v>
      </c>
      <c r="H1696" s="18">
        <v>0</v>
      </c>
      <c r="I1696" s="20">
        <v>33677</v>
      </c>
      <c r="J1696" s="8">
        <f t="shared" si="78"/>
        <v>26223</v>
      </c>
      <c r="K1696" s="10">
        <f t="shared" si="79"/>
        <v>0.43777963272120202</v>
      </c>
      <c r="L1696" s="17">
        <f t="shared" si="80"/>
        <v>0</v>
      </c>
      <c r="M1696" t="str">
        <f>VLOOKUP(D1696,'Jer-Tip-Emp'!B:E,4,0)</f>
        <v>Platos mong</v>
      </c>
      <c r="N1696" t="str">
        <f>VLOOKUP(D1696,'Jer-Tip-Emp'!B:F,5,0)</f>
        <v>No Personal</v>
      </c>
      <c r="O1696" t="str">
        <f>VLOOKUP(D1696,'Jer-Tip-Emp'!B:G,6,0)</f>
        <v>Caja</v>
      </c>
    </row>
    <row r="1697" spans="1:15" ht="27.5" hidden="1" customHeight="1" x14ac:dyDescent="0.2">
      <c r="A1697">
        <v>2025</v>
      </c>
      <c r="B1697" t="s">
        <v>617</v>
      </c>
      <c r="C1697" t="s">
        <v>595</v>
      </c>
      <c r="D1697" s="19" t="s">
        <v>321</v>
      </c>
      <c r="E1697" s="18" t="s">
        <v>72</v>
      </c>
      <c r="F1697" s="18">
        <v>1</v>
      </c>
      <c r="G1697" s="20">
        <v>4900</v>
      </c>
      <c r="H1697" s="18">
        <v>0</v>
      </c>
      <c r="I1697" s="20">
        <v>1330</v>
      </c>
      <c r="J1697" s="8">
        <f t="shared" si="78"/>
        <v>3570</v>
      </c>
      <c r="K1697" s="10">
        <f t="shared" si="79"/>
        <v>0.72857142857142854</v>
      </c>
      <c r="L1697" s="17">
        <f t="shared" si="80"/>
        <v>0</v>
      </c>
      <c r="M1697" t="str">
        <f>VLOOKUP(D1697,'Jer-Tip-Emp'!B:E,4,0)</f>
        <v>Bebidas</v>
      </c>
      <c r="N1697" t="str">
        <f>VLOOKUP(D1697,'Jer-Tip-Emp'!B:F,5,0)</f>
        <v>Bebidas</v>
      </c>
      <c r="O1697" t="str">
        <f>VLOOKUP(D1697,'Jer-Tip-Emp'!B:G,6,0)</f>
        <v>Bebidas</v>
      </c>
    </row>
    <row r="1698" spans="1:15" ht="27.5" customHeight="1" x14ac:dyDescent="0.2">
      <c r="A1698">
        <v>2025</v>
      </c>
      <c r="B1698" t="s">
        <v>617</v>
      </c>
      <c r="C1698" t="s">
        <v>595</v>
      </c>
      <c r="D1698" s="19" t="s">
        <v>226</v>
      </c>
      <c r="E1698" s="18" t="s">
        <v>227</v>
      </c>
      <c r="F1698" s="18">
        <v>1</v>
      </c>
      <c r="G1698" s="20">
        <v>50900</v>
      </c>
      <c r="H1698" s="18">
        <v>0</v>
      </c>
      <c r="I1698" s="20">
        <v>21117</v>
      </c>
      <c r="J1698" s="8">
        <f t="shared" si="78"/>
        <v>29783</v>
      </c>
      <c r="K1698" s="10">
        <f t="shared" si="79"/>
        <v>0.58512770137524561</v>
      </c>
      <c r="L1698" s="17">
        <f t="shared" si="80"/>
        <v>0</v>
      </c>
      <c r="M1698" t="str">
        <f>VLOOKUP(D1698,'Jer-Tip-Emp'!B:E,4,0)</f>
        <v>Platos mong</v>
      </c>
      <c r="N1698" t="str">
        <f>VLOOKUP(D1698,'Jer-Tip-Emp'!B:F,5,0)</f>
        <v>No Personal</v>
      </c>
      <c r="O1698" t="str">
        <f>VLOOKUP(D1698,'Jer-Tip-Emp'!B:G,6,0)</f>
        <v>Caja</v>
      </c>
    </row>
    <row r="1699" spans="1:15" ht="27.5" customHeight="1" x14ac:dyDescent="0.2">
      <c r="A1699">
        <v>2025</v>
      </c>
      <c r="B1699" t="s">
        <v>617</v>
      </c>
      <c r="C1699" t="s">
        <v>595</v>
      </c>
      <c r="D1699" s="19" t="s">
        <v>261</v>
      </c>
      <c r="E1699" s="18" t="s">
        <v>135</v>
      </c>
      <c r="F1699" s="18">
        <v>1</v>
      </c>
      <c r="G1699" s="20">
        <v>17900</v>
      </c>
      <c r="H1699" s="18">
        <v>0</v>
      </c>
      <c r="I1699" s="20">
        <v>5466</v>
      </c>
      <c r="J1699" s="8">
        <f t="shared" si="78"/>
        <v>12434</v>
      </c>
      <c r="K1699" s="10">
        <f t="shared" si="79"/>
        <v>0.69463687150837994</v>
      </c>
      <c r="L1699" s="17">
        <f t="shared" si="80"/>
        <v>0</v>
      </c>
      <c r="M1699" t="str">
        <f>VLOOKUP(D1699,'Jer-Tip-Emp'!B:E,4,0)</f>
        <v>Platos mong</v>
      </c>
      <c r="N1699" t="str">
        <f>VLOOKUP(D1699,'Jer-Tip-Emp'!B:F,5,0)</f>
        <v>Personal</v>
      </c>
      <c r="O1699" t="str">
        <f>VLOOKUP(D1699,'Jer-Tip-Emp'!B:G,6,0)</f>
        <v>Caja</v>
      </c>
    </row>
    <row r="1700" spans="1:15" ht="27.5" customHeight="1" x14ac:dyDescent="0.2">
      <c r="A1700">
        <v>2025</v>
      </c>
      <c r="B1700" t="s">
        <v>617</v>
      </c>
      <c r="C1700" t="s">
        <v>595</v>
      </c>
      <c r="D1700" s="19" t="s">
        <v>225</v>
      </c>
      <c r="E1700" s="18" t="s">
        <v>157</v>
      </c>
      <c r="F1700" s="18">
        <v>1</v>
      </c>
      <c r="G1700" s="20">
        <v>17900</v>
      </c>
      <c r="H1700" s="18">
        <v>0</v>
      </c>
      <c r="I1700" s="20">
        <v>7141</v>
      </c>
      <c r="J1700" s="8">
        <f t="shared" si="78"/>
        <v>10759</v>
      </c>
      <c r="K1700" s="10">
        <f t="shared" si="79"/>
        <v>0.60106145251396648</v>
      </c>
      <c r="L1700" s="17">
        <f t="shared" si="80"/>
        <v>0</v>
      </c>
      <c r="M1700" t="str">
        <f>VLOOKUP(D1700,'Jer-Tip-Emp'!B:E,4,0)</f>
        <v>Platos mong</v>
      </c>
      <c r="N1700" t="str">
        <f>VLOOKUP(D1700,'Jer-Tip-Emp'!B:F,5,0)</f>
        <v>Personal</v>
      </c>
      <c r="O1700" t="str">
        <f>VLOOKUP(D1700,'Jer-Tip-Emp'!B:G,6,0)</f>
        <v>Caja</v>
      </c>
    </row>
    <row r="1701" spans="1:15" ht="27.5" hidden="1" customHeight="1" x14ac:dyDescent="0.2">
      <c r="A1701">
        <v>2025</v>
      </c>
      <c r="B1701" t="s">
        <v>617</v>
      </c>
      <c r="C1701" t="s">
        <v>595</v>
      </c>
      <c r="D1701" s="19" t="s">
        <v>409</v>
      </c>
      <c r="E1701" s="18" t="s">
        <v>64</v>
      </c>
      <c r="F1701" s="18">
        <v>1</v>
      </c>
      <c r="G1701" s="20">
        <v>8000</v>
      </c>
      <c r="H1701" s="18">
        <v>0</v>
      </c>
      <c r="I1701" s="18">
        <v>0</v>
      </c>
      <c r="J1701" s="8">
        <f t="shared" si="78"/>
        <v>8000</v>
      </c>
      <c r="K1701" s="10">
        <f t="shared" si="79"/>
        <v>1</v>
      </c>
      <c r="L1701" s="17">
        <f t="shared" si="80"/>
        <v>0</v>
      </c>
      <c r="M1701" t="str">
        <f>VLOOKUP(D1701,'Jer-Tip-Emp'!B:E,4,0)</f>
        <v>Bebidas</v>
      </c>
      <c r="N1701" t="str">
        <f>VLOOKUP(D1701,'Jer-Tip-Emp'!B:F,5,0)</f>
        <v>Bebidas</v>
      </c>
      <c r="O1701" t="str">
        <f>VLOOKUP(D1701,'Jer-Tip-Emp'!B:G,6,0)</f>
        <v>Bebidas</v>
      </c>
    </row>
    <row r="1702" spans="1:15" ht="27.5" hidden="1" customHeight="1" x14ac:dyDescent="0.2">
      <c r="A1702">
        <v>2025</v>
      </c>
      <c r="B1702" t="s">
        <v>617</v>
      </c>
      <c r="C1702" t="s">
        <v>595</v>
      </c>
      <c r="D1702" s="19" t="s">
        <v>231</v>
      </c>
      <c r="E1702" s="18" t="s">
        <v>34</v>
      </c>
      <c r="F1702" s="18">
        <v>1</v>
      </c>
      <c r="G1702" s="20">
        <v>8900</v>
      </c>
      <c r="H1702" s="18">
        <v>0</v>
      </c>
      <c r="I1702" s="18">
        <v>0</v>
      </c>
      <c r="J1702" s="8">
        <f t="shared" si="78"/>
        <v>8900</v>
      </c>
      <c r="K1702" s="10">
        <f t="shared" si="79"/>
        <v>1</v>
      </c>
      <c r="L1702" s="17">
        <f t="shared" si="80"/>
        <v>0</v>
      </c>
      <c r="M1702" t="str">
        <f>VLOOKUP(D1702,'Jer-Tip-Emp'!B:E,4,0)</f>
        <v>Adición</v>
      </c>
      <c r="N1702" t="str">
        <f>VLOOKUP(D1702,'Jer-Tip-Emp'!B:F,5,0)</f>
        <v>Adición</v>
      </c>
      <c r="O1702" t="str">
        <f>VLOOKUP(D1702,'Jer-Tip-Emp'!B:G,6,0)</f>
        <v>Adición</v>
      </c>
    </row>
    <row r="1703" spans="1:15" ht="27.5" hidden="1" customHeight="1" x14ac:dyDescent="0.2">
      <c r="A1703">
        <v>2025</v>
      </c>
      <c r="B1703" t="s">
        <v>617</v>
      </c>
      <c r="C1703" t="s">
        <v>595</v>
      </c>
      <c r="D1703" s="19" t="s">
        <v>492</v>
      </c>
      <c r="E1703" s="18" t="s">
        <v>577</v>
      </c>
      <c r="F1703" s="18">
        <v>1</v>
      </c>
      <c r="G1703" s="20">
        <v>1600</v>
      </c>
      <c r="H1703" s="18">
        <v>0</v>
      </c>
      <c r="I1703" s="20">
        <v>1895</v>
      </c>
      <c r="J1703" s="8">
        <f t="shared" si="78"/>
        <v>-295</v>
      </c>
      <c r="K1703" s="10">
        <f t="shared" si="79"/>
        <v>-0.18437500000000001</v>
      </c>
      <c r="L1703" s="17">
        <f t="shared" si="80"/>
        <v>0</v>
      </c>
      <c r="M1703" t="str">
        <f>VLOOKUP(D1703,'Jer-Tip-Emp'!B:E,4,0)</f>
        <v>Bebidas</v>
      </c>
      <c r="N1703" t="str">
        <f>VLOOKUP(D1703,'Jer-Tip-Emp'!B:F,5,0)</f>
        <v>Bebidas Cambio de bebida</v>
      </c>
      <c r="O1703" t="str">
        <f>VLOOKUP(D1703,'Jer-Tip-Emp'!B:G,6,0)</f>
        <v>Bebidas</v>
      </c>
    </row>
    <row r="1704" spans="1:15" ht="27.5" customHeight="1" x14ac:dyDescent="0.2">
      <c r="A1704">
        <v>2025</v>
      </c>
      <c r="B1704" t="s">
        <v>617</v>
      </c>
      <c r="C1704" t="s">
        <v>595</v>
      </c>
      <c r="D1704" s="19" t="s">
        <v>228</v>
      </c>
      <c r="E1704" s="18" t="s">
        <v>96</v>
      </c>
      <c r="F1704" s="18">
        <v>1</v>
      </c>
      <c r="G1704" s="20">
        <v>28900</v>
      </c>
      <c r="H1704" s="18">
        <v>0</v>
      </c>
      <c r="I1704" s="20">
        <v>10247</v>
      </c>
      <c r="J1704" s="8">
        <f t="shared" si="78"/>
        <v>18653</v>
      </c>
      <c r="K1704" s="10">
        <f t="shared" si="79"/>
        <v>0.64543252595155709</v>
      </c>
      <c r="L1704" s="17">
        <f t="shared" si="80"/>
        <v>0</v>
      </c>
      <c r="M1704" t="str">
        <f>VLOOKUP(D1704,'Jer-Tip-Emp'!B:E,4,0)</f>
        <v>Combos personales</v>
      </c>
      <c r="N1704" t="str">
        <f>VLOOKUP(D1704,'Jer-Tip-Emp'!B:F,5,0)</f>
        <v>Personal</v>
      </c>
      <c r="O1704" t="str">
        <f>VLOOKUP(D1704,'Jer-Tip-Emp'!B:G,6,0)</f>
        <v>Combo</v>
      </c>
    </row>
    <row r="1705" spans="1:15" ht="27.5" customHeight="1" x14ac:dyDescent="0.2">
      <c r="A1705">
        <v>2025</v>
      </c>
      <c r="B1705" t="s">
        <v>618</v>
      </c>
      <c r="C1705" t="s">
        <v>609</v>
      </c>
      <c r="D1705" s="19" t="s">
        <v>207</v>
      </c>
      <c r="E1705" s="18" t="s">
        <v>92</v>
      </c>
      <c r="F1705" s="18">
        <v>224</v>
      </c>
      <c r="G1705" s="20">
        <v>5329700</v>
      </c>
      <c r="H1705" s="20">
        <v>-23900</v>
      </c>
      <c r="I1705" s="20">
        <v>2156448</v>
      </c>
      <c r="J1705" s="8">
        <f t="shared" si="78"/>
        <v>3173252</v>
      </c>
      <c r="K1705" s="10">
        <f t="shared" si="79"/>
        <v>0.59539035968253373</v>
      </c>
      <c r="L1705" s="17">
        <f t="shared" si="80"/>
        <v>4.4843049327354259E-3</v>
      </c>
      <c r="M1705" t="str">
        <f>VLOOKUP(D1705,'Jer-Tip-Emp'!B:E,4,0)</f>
        <v>Combos personales</v>
      </c>
      <c r="N1705" t="str">
        <f>VLOOKUP(D1705,'Jer-Tip-Emp'!B:F,5,0)</f>
        <v>Personal</v>
      </c>
      <c r="O1705" t="str">
        <f>VLOOKUP(D1705,'Jer-Tip-Emp'!B:G,6,0)</f>
        <v>Combo</v>
      </c>
    </row>
    <row r="1706" spans="1:15" ht="27.5" customHeight="1" x14ac:dyDescent="0.2">
      <c r="A1706">
        <v>2025</v>
      </c>
      <c r="B1706" t="s">
        <v>618</v>
      </c>
      <c r="C1706" t="s">
        <v>609</v>
      </c>
      <c r="D1706" s="19" t="s">
        <v>273</v>
      </c>
      <c r="E1706" s="18" t="s">
        <v>23</v>
      </c>
      <c r="F1706" s="18">
        <v>186</v>
      </c>
      <c r="G1706" s="20">
        <v>4581600</v>
      </c>
      <c r="H1706" s="20">
        <v>-49800</v>
      </c>
      <c r="I1706" s="18">
        <v>0</v>
      </c>
      <c r="J1706" s="8">
        <f t="shared" si="78"/>
        <v>4581600</v>
      </c>
      <c r="K1706" s="10">
        <f t="shared" si="79"/>
        <v>1</v>
      </c>
      <c r="L1706" s="17">
        <f t="shared" si="80"/>
        <v>1.0869565217391304E-2</v>
      </c>
      <c r="M1706" t="str">
        <f>VLOOKUP(D1706,'Jer-Tip-Emp'!B:E,4,0)</f>
        <v>Arma tu plato</v>
      </c>
      <c r="N1706" t="str">
        <f>VLOOKUP(D1706,'Jer-Tip-Emp'!B:F,5,0)</f>
        <v>Personal</v>
      </c>
      <c r="O1706" t="str">
        <f>VLOOKUP(D1706,'Jer-Tip-Emp'!B:G,6,0)</f>
        <v>Caja</v>
      </c>
    </row>
    <row r="1707" spans="1:15" ht="27.5" customHeight="1" x14ac:dyDescent="0.2">
      <c r="A1707">
        <v>2025</v>
      </c>
      <c r="B1707" t="s">
        <v>618</v>
      </c>
      <c r="C1707" t="s">
        <v>609</v>
      </c>
      <c r="D1707" s="19" t="s">
        <v>313</v>
      </c>
      <c r="E1707" s="18" t="s">
        <v>540</v>
      </c>
      <c r="F1707" s="18">
        <v>107</v>
      </c>
      <c r="G1707" s="18">
        <v>0</v>
      </c>
      <c r="H1707" s="18">
        <v>0</v>
      </c>
      <c r="I1707" s="20">
        <v>587537</v>
      </c>
      <c r="J1707" s="8">
        <f t="shared" si="78"/>
        <v>-587537</v>
      </c>
      <c r="K1707" s="10">
        <f t="shared" si="79"/>
        <v>0</v>
      </c>
      <c r="L1707" s="17">
        <f t="shared" si="80"/>
        <v>0</v>
      </c>
      <c r="M1707" t="str">
        <f>VLOOKUP(D1707,'Jer-Tip-Emp'!B:E,4,0)</f>
        <v>Arma tu plato</v>
      </c>
      <c r="N1707" t="str">
        <f>VLOOKUP(D1707,'Jer-Tip-Emp'!B:F,5,0)</f>
        <v>Personal</v>
      </c>
      <c r="O1707" t="str">
        <f>VLOOKUP(D1707,'Jer-Tip-Emp'!B:G,6,0)</f>
        <v>Caja</v>
      </c>
    </row>
    <row r="1708" spans="1:15" ht="27.5" customHeight="1" x14ac:dyDescent="0.2">
      <c r="A1708">
        <v>2025</v>
      </c>
      <c r="B1708" t="s">
        <v>618</v>
      </c>
      <c r="C1708" t="s">
        <v>609</v>
      </c>
      <c r="D1708" s="19" t="s">
        <v>389</v>
      </c>
      <c r="E1708" s="18" t="s">
        <v>541</v>
      </c>
      <c r="F1708" s="18">
        <v>95</v>
      </c>
      <c r="G1708" s="18">
        <v>0</v>
      </c>
      <c r="H1708" s="18">
        <v>0</v>
      </c>
      <c r="I1708" s="20">
        <v>519365</v>
      </c>
      <c r="J1708" s="8">
        <f t="shared" si="78"/>
        <v>-519365</v>
      </c>
      <c r="K1708" s="10">
        <f t="shared" si="79"/>
        <v>0</v>
      </c>
      <c r="L1708" s="17">
        <f t="shared" si="80"/>
        <v>0</v>
      </c>
      <c r="M1708" t="str">
        <f>VLOOKUP(D1708,'Jer-Tip-Emp'!B:E,4,0)</f>
        <v>Arma tu plato</v>
      </c>
      <c r="N1708" t="str">
        <f>VLOOKUP(D1708,'Jer-Tip-Emp'!B:F,5,0)</f>
        <v>Personal</v>
      </c>
      <c r="O1708" t="str">
        <f>VLOOKUP(D1708,'Jer-Tip-Emp'!B:G,6,0)</f>
        <v>Caja</v>
      </c>
    </row>
    <row r="1709" spans="1:15" ht="27.5" customHeight="1" x14ac:dyDescent="0.2">
      <c r="A1709">
        <v>2025</v>
      </c>
      <c r="B1709" t="s">
        <v>618</v>
      </c>
      <c r="C1709" t="s">
        <v>609</v>
      </c>
      <c r="D1709" s="19" t="s">
        <v>196</v>
      </c>
      <c r="E1709" s="18" t="s">
        <v>159</v>
      </c>
      <c r="F1709" s="18">
        <v>86</v>
      </c>
      <c r="G1709" s="20">
        <v>2215400</v>
      </c>
      <c r="H1709" s="20">
        <v>-12000</v>
      </c>
      <c r="I1709" s="20">
        <v>817086</v>
      </c>
      <c r="J1709" s="8">
        <f t="shared" si="78"/>
        <v>1398314</v>
      </c>
      <c r="K1709" s="10">
        <f t="shared" si="79"/>
        <v>0.63117901959014178</v>
      </c>
      <c r="L1709" s="17">
        <f t="shared" si="80"/>
        <v>5.4166290511871449E-3</v>
      </c>
      <c r="M1709" t="str">
        <f>VLOOKUP(D1709,'Jer-Tip-Emp'!B:E,4,0)</f>
        <v>Combos personales</v>
      </c>
      <c r="N1709" t="str">
        <f>VLOOKUP(D1709,'Jer-Tip-Emp'!B:F,5,0)</f>
        <v>Personal</v>
      </c>
      <c r="O1709" t="str">
        <f>VLOOKUP(D1709,'Jer-Tip-Emp'!B:G,6,0)</f>
        <v>Combo</v>
      </c>
    </row>
    <row r="1710" spans="1:15" ht="27.5" hidden="1" customHeight="1" x14ac:dyDescent="0.2">
      <c r="A1710">
        <v>2025</v>
      </c>
      <c r="B1710" t="s">
        <v>618</v>
      </c>
      <c r="C1710" t="s">
        <v>609</v>
      </c>
      <c r="D1710" s="19" t="s">
        <v>284</v>
      </c>
      <c r="E1710" s="18" t="s">
        <v>106</v>
      </c>
      <c r="F1710" s="18">
        <v>85</v>
      </c>
      <c r="G1710" s="20">
        <v>756131</v>
      </c>
      <c r="H1710" s="18">
        <v>-369</v>
      </c>
      <c r="I1710" s="20">
        <v>266815</v>
      </c>
      <c r="J1710" s="8">
        <f t="shared" si="78"/>
        <v>489316</v>
      </c>
      <c r="K1710" s="10">
        <f t="shared" si="79"/>
        <v>0.64713125106628344</v>
      </c>
      <c r="L1710" s="17">
        <f t="shared" si="80"/>
        <v>4.880106753988396E-4</v>
      </c>
      <c r="M1710" t="str">
        <f>VLOOKUP(D1710,'Jer-Tip-Emp'!B:E,4,0)</f>
        <v>Entradas</v>
      </c>
      <c r="N1710" t="str">
        <f>VLOOKUP(D1710,'Jer-Tip-Emp'!B:F,5,0)</f>
        <v>Otro</v>
      </c>
      <c r="O1710" t="str">
        <f>VLOOKUP(D1710,'Jer-Tip-Emp'!B:G,6,0)</f>
        <v>Otro</v>
      </c>
    </row>
    <row r="1711" spans="1:15" ht="27.5" customHeight="1" x14ac:dyDescent="0.2">
      <c r="A1711">
        <v>2025</v>
      </c>
      <c r="B1711" t="s">
        <v>618</v>
      </c>
      <c r="C1711" t="s">
        <v>609</v>
      </c>
      <c r="D1711" s="19" t="s">
        <v>212</v>
      </c>
      <c r="E1711" s="18" t="s">
        <v>160</v>
      </c>
      <c r="F1711" s="18">
        <v>80</v>
      </c>
      <c r="G1711" s="20">
        <v>2310000</v>
      </c>
      <c r="H1711" s="20">
        <v>-2000</v>
      </c>
      <c r="I1711" s="20">
        <v>900240</v>
      </c>
      <c r="J1711" s="8">
        <f t="shared" si="78"/>
        <v>1409760</v>
      </c>
      <c r="K1711" s="10">
        <f t="shared" si="79"/>
        <v>0.61028571428571432</v>
      </c>
      <c r="L1711" s="17">
        <f t="shared" si="80"/>
        <v>8.658008658008658E-4</v>
      </c>
      <c r="M1711" t="str">
        <f>VLOOKUP(D1711,'Jer-Tip-Emp'!B:E,4,0)</f>
        <v>Combos personales</v>
      </c>
      <c r="N1711" t="str">
        <f>VLOOKUP(D1711,'Jer-Tip-Emp'!B:F,5,0)</f>
        <v>Personal</v>
      </c>
      <c r="O1711" t="str">
        <f>VLOOKUP(D1711,'Jer-Tip-Emp'!B:G,6,0)</f>
        <v>Combo</v>
      </c>
    </row>
    <row r="1712" spans="1:15" ht="27.5" customHeight="1" x14ac:dyDescent="0.2">
      <c r="A1712">
        <v>2025</v>
      </c>
      <c r="B1712" t="s">
        <v>618</v>
      </c>
      <c r="C1712" t="s">
        <v>609</v>
      </c>
      <c r="D1712" s="19" t="s">
        <v>186</v>
      </c>
      <c r="E1712" s="18" t="s">
        <v>95</v>
      </c>
      <c r="F1712" s="18">
        <v>69</v>
      </c>
      <c r="G1712" s="20">
        <v>1994100</v>
      </c>
      <c r="H1712" s="18">
        <v>0</v>
      </c>
      <c r="I1712" s="20">
        <v>660330</v>
      </c>
      <c r="J1712" s="8">
        <f t="shared" si="78"/>
        <v>1333770</v>
      </c>
      <c r="K1712" s="10">
        <f t="shared" si="79"/>
        <v>0.66885813148788931</v>
      </c>
      <c r="L1712" s="17">
        <f t="shared" si="80"/>
        <v>0</v>
      </c>
      <c r="M1712" t="str">
        <f>VLOOKUP(D1712,'Jer-Tip-Emp'!B:E,4,0)</f>
        <v>Combos personales</v>
      </c>
      <c r="N1712" t="str">
        <f>VLOOKUP(D1712,'Jer-Tip-Emp'!B:F,5,0)</f>
        <v>Personal</v>
      </c>
      <c r="O1712" t="str">
        <f>VLOOKUP(D1712,'Jer-Tip-Emp'!B:G,6,0)</f>
        <v>Combo</v>
      </c>
    </row>
    <row r="1713" spans="1:15" ht="27.5" customHeight="1" x14ac:dyDescent="0.2">
      <c r="A1713">
        <v>2025</v>
      </c>
      <c r="B1713" t="s">
        <v>618</v>
      </c>
      <c r="C1713" t="s">
        <v>609</v>
      </c>
      <c r="D1713" s="19" t="s">
        <v>333</v>
      </c>
      <c r="E1713" s="18" t="s">
        <v>547</v>
      </c>
      <c r="F1713" s="18">
        <v>60</v>
      </c>
      <c r="G1713" s="18">
        <v>0</v>
      </c>
      <c r="H1713" s="18">
        <v>0</v>
      </c>
      <c r="I1713" s="20">
        <v>199320</v>
      </c>
      <c r="J1713" s="8">
        <f t="shared" si="78"/>
        <v>-199320</v>
      </c>
      <c r="K1713" s="10">
        <f t="shared" si="79"/>
        <v>0</v>
      </c>
      <c r="L1713" s="17">
        <f t="shared" si="80"/>
        <v>0</v>
      </c>
      <c r="M1713" t="str">
        <f>VLOOKUP(D1713,'Jer-Tip-Emp'!B:E,4,0)</f>
        <v>Arma tu plato</v>
      </c>
      <c r="N1713" t="str">
        <f>VLOOKUP(D1713,'Jer-Tip-Emp'!B:F,5,0)</f>
        <v>Personal</v>
      </c>
      <c r="O1713" t="str">
        <f>VLOOKUP(D1713,'Jer-Tip-Emp'!B:G,6,0)</f>
        <v>Caja</v>
      </c>
    </row>
    <row r="1714" spans="1:15" ht="27.5" customHeight="1" x14ac:dyDescent="0.2">
      <c r="A1714">
        <v>2025</v>
      </c>
      <c r="B1714" t="s">
        <v>618</v>
      </c>
      <c r="C1714" t="s">
        <v>609</v>
      </c>
      <c r="D1714" s="19" t="s">
        <v>354</v>
      </c>
      <c r="E1714" s="18" t="s">
        <v>548</v>
      </c>
      <c r="F1714" s="18">
        <v>59</v>
      </c>
      <c r="G1714" s="18">
        <v>0</v>
      </c>
      <c r="H1714" s="18">
        <v>0</v>
      </c>
      <c r="I1714" s="20">
        <v>155406</v>
      </c>
      <c r="J1714" s="8">
        <f t="shared" si="78"/>
        <v>-155406</v>
      </c>
      <c r="K1714" s="10">
        <f t="shared" si="79"/>
        <v>0</v>
      </c>
      <c r="L1714" s="17">
        <f t="shared" si="80"/>
        <v>0</v>
      </c>
      <c r="M1714" t="str">
        <f>VLOOKUP(D1714,'Jer-Tip-Emp'!B:E,4,0)</f>
        <v>Arma tu plato</v>
      </c>
      <c r="N1714" t="str">
        <f>VLOOKUP(D1714,'Jer-Tip-Emp'!B:F,5,0)</f>
        <v>Personal</v>
      </c>
      <c r="O1714" t="str">
        <f>VLOOKUP(D1714,'Jer-Tip-Emp'!B:G,6,0)</f>
        <v>Caja</v>
      </c>
    </row>
    <row r="1715" spans="1:15" ht="27.5" customHeight="1" x14ac:dyDescent="0.2">
      <c r="A1715">
        <v>2025</v>
      </c>
      <c r="B1715" t="s">
        <v>618</v>
      </c>
      <c r="C1715" t="s">
        <v>609</v>
      </c>
      <c r="D1715" s="19" t="s">
        <v>322</v>
      </c>
      <c r="E1715" s="18" t="s">
        <v>545</v>
      </c>
      <c r="F1715" s="18">
        <v>58</v>
      </c>
      <c r="G1715" s="20">
        <v>114000</v>
      </c>
      <c r="H1715" s="20">
        <v>-2000</v>
      </c>
      <c r="I1715" s="20">
        <v>180264</v>
      </c>
      <c r="J1715" s="8">
        <f t="shared" si="78"/>
        <v>-66264</v>
      </c>
      <c r="K1715" s="10">
        <f t="shared" si="79"/>
        <v>-0.58126315789473681</v>
      </c>
      <c r="L1715" s="17">
        <f t="shared" si="80"/>
        <v>1.7543859649122806E-2</v>
      </c>
      <c r="M1715" t="str">
        <f>VLOOKUP(D1715,'Jer-Tip-Emp'!B:E,4,0)</f>
        <v>Arma tu plato</v>
      </c>
      <c r="N1715" t="str">
        <f>VLOOKUP(D1715,'Jer-Tip-Emp'!B:F,5,0)</f>
        <v>Personal</v>
      </c>
      <c r="O1715" t="str">
        <f>VLOOKUP(D1715,'Jer-Tip-Emp'!B:G,6,0)</f>
        <v>Caja</v>
      </c>
    </row>
    <row r="1716" spans="1:15" ht="27.5" hidden="1" customHeight="1" x14ac:dyDescent="0.2">
      <c r="A1716">
        <v>2025</v>
      </c>
      <c r="B1716" t="s">
        <v>618</v>
      </c>
      <c r="C1716" t="s">
        <v>609</v>
      </c>
      <c r="D1716" s="19" t="s">
        <v>327</v>
      </c>
      <c r="E1716" s="18" t="s">
        <v>44</v>
      </c>
      <c r="F1716" s="18">
        <v>49</v>
      </c>
      <c r="G1716" s="20">
        <v>239598</v>
      </c>
      <c r="H1716" s="18">
        <v>-502</v>
      </c>
      <c r="I1716" s="20">
        <v>53655</v>
      </c>
      <c r="J1716" s="8">
        <f t="shared" si="78"/>
        <v>185943</v>
      </c>
      <c r="K1716" s="10">
        <f t="shared" si="79"/>
        <v>0.77606240452758368</v>
      </c>
      <c r="L1716" s="17">
        <f t="shared" si="80"/>
        <v>2.0951760866117415E-3</v>
      </c>
      <c r="M1716" t="str">
        <f>VLOOKUP(D1716,'Jer-Tip-Emp'!B:E,4,0)</f>
        <v>Bebidas</v>
      </c>
      <c r="N1716" t="str">
        <f>VLOOKUP(D1716,'Jer-Tip-Emp'!B:F,5,0)</f>
        <v>Bebidas</v>
      </c>
      <c r="O1716" t="str">
        <f>VLOOKUP(D1716,'Jer-Tip-Emp'!B:G,6,0)</f>
        <v>Bebidas</v>
      </c>
    </row>
    <row r="1717" spans="1:15" ht="27.5" customHeight="1" x14ac:dyDescent="0.2">
      <c r="A1717">
        <v>2025</v>
      </c>
      <c r="B1717" t="s">
        <v>618</v>
      </c>
      <c r="C1717" t="s">
        <v>609</v>
      </c>
      <c r="D1717" s="19" t="s">
        <v>376</v>
      </c>
      <c r="E1717" s="18" t="s">
        <v>543</v>
      </c>
      <c r="F1717" s="18">
        <v>47</v>
      </c>
      <c r="G1717" s="18">
        <v>0</v>
      </c>
      <c r="H1717" s="18">
        <v>0</v>
      </c>
      <c r="I1717" s="20">
        <v>60254</v>
      </c>
      <c r="J1717" s="8">
        <f t="shared" si="78"/>
        <v>-60254</v>
      </c>
      <c r="K1717" s="10">
        <f t="shared" si="79"/>
        <v>0</v>
      </c>
      <c r="L1717" s="17">
        <f t="shared" si="80"/>
        <v>0</v>
      </c>
      <c r="M1717" t="str">
        <f>VLOOKUP(D1717,'Jer-Tip-Emp'!B:E,4,0)</f>
        <v>Arma tu plato</v>
      </c>
      <c r="N1717" t="str">
        <f>VLOOKUP(D1717,'Jer-Tip-Emp'!B:F,5,0)</f>
        <v>Personal</v>
      </c>
      <c r="O1717" t="str">
        <f>VLOOKUP(D1717,'Jer-Tip-Emp'!B:G,6,0)</f>
        <v>Caja</v>
      </c>
    </row>
    <row r="1718" spans="1:15" ht="27.5" customHeight="1" x14ac:dyDescent="0.2">
      <c r="A1718">
        <v>2025</v>
      </c>
      <c r="B1718" t="s">
        <v>618</v>
      </c>
      <c r="C1718" t="s">
        <v>609</v>
      </c>
      <c r="D1718" s="19" t="s">
        <v>393</v>
      </c>
      <c r="E1718" s="18" t="s">
        <v>549</v>
      </c>
      <c r="F1718" s="18">
        <v>46</v>
      </c>
      <c r="G1718" s="20">
        <v>90000</v>
      </c>
      <c r="H1718" s="20">
        <v>-2000</v>
      </c>
      <c r="I1718" s="20">
        <v>93610</v>
      </c>
      <c r="J1718" s="8">
        <f t="shared" si="78"/>
        <v>-3610</v>
      </c>
      <c r="K1718" s="10">
        <f t="shared" si="79"/>
        <v>-4.0111111111111111E-2</v>
      </c>
      <c r="L1718" s="17">
        <f t="shared" si="80"/>
        <v>2.2222222222222223E-2</v>
      </c>
      <c r="M1718" t="str">
        <f>VLOOKUP(D1718,'Jer-Tip-Emp'!B:E,4,0)</f>
        <v>Arma tu plato</v>
      </c>
      <c r="N1718" t="str">
        <f>VLOOKUP(D1718,'Jer-Tip-Emp'!B:F,5,0)</f>
        <v>Personal</v>
      </c>
      <c r="O1718" t="str">
        <f>VLOOKUP(D1718,'Jer-Tip-Emp'!B:G,6,0)</f>
        <v>Caja</v>
      </c>
    </row>
    <row r="1719" spans="1:15" ht="27.5" hidden="1" customHeight="1" x14ac:dyDescent="0.2">
      <c r="A1719">
        <v>2025</v>
      </c>
      <c r="B1719" t="s">
        <v>618</v>
      </c>
      <c r="C1719" t="s">
        <v>609</v>
      </c>
      <c r="D1719" s="19" t="s">
        <v>310</v>
      </c>
      <c r="E1719" s="18" t="s">
        <v>53</v>
      </c>
      <c r="F1719" s="18">
        <v>45</v>
      </c>
      <c r="G1719" s="20">
        <v>265500</v>
      </c>
      <c r="H1719" s="18">
        <v>0</v>
      </c>
      <c r="I1719" s="20">
        <v>76275</v>
      </c>
      <c r="J1719" s="8">
        <f t="shared" si="78"/>
        <v>189225</v>
      </c>
      <c r="K1719" s="10">
        <f t="shared" si="79"/>
        <v>0.71271186440677969</v>
      </c>
      <c r="L1719" s="17">
        <f t="shared" si="80"/>
        <v>0</v>
      </c>
      <c r="M1719" t="str">
        <f>VLOOKUP(D1719,'Jer-Tip-Emp'!B:E,4,0)</f>
        <v>Bebidas</v>
      </c>
      <c r="N1719" t="str">
        <f>VLOOKUP(D1719,'Jer-Tip-Emp'!B:F,5,0)</f>
        <v>Bebidas</v>
      </c>
      <c r="O1719" t="str">
        <f>VLOOKUP(D1719,'Jer-Tip-Emp'!B:G,6,0)</f>
        <v>Bebidas</v>
      </c>
    </row>
    <row r="1720" spans="1:15" ht="27.5" customHeight="1" x14ac:dyDescent="0.2">
      <c r="A1720">
        <v>2025</v>
      </c>
      <c r="B1720" t="s">
        <v>618</v>
      </c>
      <c r="C1720" t="s">
        <v>609</v>
      </c>
      <c r="D1720" s="19" t="s">
        <v>223</v>
      </c>
      <c r="E1720" s="18" t="s">
        <v>116</v>
      </c>
      <c r="F1720" s="18">
        <v>40</v>
      </c>
      <c r="G1720" s="20">
        <v>1076000</v>
      </c>
      <c r="H1720" s="18">
        <v>0</v>
      </c>
      <c r="I1720" s="20">
        <v>545520</v>
      </c>
      <c r="J1720" s="8">
        <f t="shared" si="78"/>
        <v>530480</v>
      </c>
      <c r="K1720" s="10">
        <f t="shared" si="79"/>
        <v>0.4930111524163569</v>
      </c>
      <c r="L1720" s="17">
        <f t="shared" si="80"/>
        <v>0</v>
      </c>
      <c r="M1720" t="str">
        <f>VLOOKUP(D1720,'Jer-Tip-Emp'!B:E,4,0)</f>
        <v>Platos especiales</v>
      </c>
      <c r="N1720" t="str">
        <f>VLOOKUP(D1720,'Jer-Tip-Emp'!B:F,5,0)</f>
        <v>Personal</v>
      </c>
      <c r="O1720" t="str">
        <f>VLOOKUP(D1720,'Jer-Tip-Emp'!B:G,6,0)</f>
        <v>Platos especiales</v>
      </c>
    </row>
    <row r="1721" spans="1:15" ht="27.5" hidden="1" customHeight="1" x14ac:dyDescent="0.2">
      <c r="A1721">
        <v>2025</v>
      </c>
      <c r="B1721" t="s">
        <v>618</v>
      </c>
      <c r="C1721" t="s">
        <v>609</v>
      </c>
      <c r="D1721" s="19" t="s">
        <v>500</v>
      </c>
      <c r="E1721" s="18" t="s">
        <v>546</v>
      </c>
      <c r="F1721" s="18">
        <v>37</v>
      </c>
      <c r="G1721" s="18">
        <v>0</v>
      </c>
      <c r="H1721" s="18">
        <v>0</v>
      </c>
      <c r="I1721" s="20">
        <v>32116</v>
      </c>
      <c r="J1721" s="8">
        <f t="shared" si="78"/>
        <v>-32116</v>
      </c>
      <c r="K1721" s="10">
        <f t="shared" si="79"/>
        <v>0</v>
      </c>
      <c r="L1721" s="17">
        <f t="shared" si="80"/>
        <v>0</v>
      </c>
      <c r="M1721" t="str">
        <f>VLOOKUP(D1721,'Jer-Tip-Emp'!B:E,4,0)</f>
        <v>Bebidas</v>
      </c>
      <c r="N1721" t="str">
        <f>VLOOKUP(D1721,'Jer-Tip-Emp'!B:F,5,0)</f>
        <v>Bebidas Cambio de bebida</v>
      </c>
      <c r="O1721" t="str">
        <f>VLOOKUP(D1721,'Jer-Tip-Emp'!B:G,6,0)</f>
        <v>Bebidas</v>
      </c>
    </row>
    <row r="1722" spans="1:15" ht="27.5" customHeight="1" x14ac:dyDescent="0.2">
      <c r="A1722">
        <v>2025</v>
      </c>
      <c r="B1722" t="s">
        <v>618</v>
      </c>
      <c r="C1722" t="s">
        <v>609</v>
      </c>
      <c r="D1722" s="19" t="s">
        <v>470</v>
      </c>
      <c r="E1722" s="18" t="s">
        <v>550</v>
      </c>
      <c r="F1722" s="18">
        <v>34</v>
      </c>
      <c r="G1722" s="18">
        <v>0</v>
      </c>
      <c r="H1722" s="18">
        <v>0</v>
      </c>
      <c r="I1722" s="20">
        <v>105298</v>
      </c>
      <c r="J1722" s="8">
        <f t="shared" si="78"/>
        <v>-105298</v>
      </c>
      <c r="K1722" s="10">
        <f t="shared" si="79"/>
        <v>0</v>
      </c>
      <c r="L1722" s="17">
        <f t="shared" si="80"/>
        <v>0</v>
      </c>
      <c r="M1722" t="str">
        <f>VLOOKUP(D1722,'Jer-Tip-Emp'!B:E,4,0)</f>
        <v>Arma tu plato</v>
      </c>
      <c r="N1722" t="str">
        <f>VLOOKUP(D1722,'Jer-Tip-Emp'!B:F,5,0)</f>
        <v>Personal</v>
      </c>
      <c r="O1722" t="str">
        <f>VLOOKUP(D1722,'Jer-Tip-Emp'!B:G,6,0)</f>
        <v>Caja</v>
      </c>
    </row>
    <row r="1723" spans="1:15" ht="27.5" customHeight="1" x14ac:dyDescent="0.2">
      <c r="A1723">
        <v>2025</v>
      </c>
      <c r="B1723" t="s">
        <v>618</v>
      </c>
      <c r="C1723" t="s">
        <v>609</v>
      </c>
      <c r="D1723" s="19" t="s">
        <v>246</v>
      </c>
      <c r="E1723" s="18" t="s">
        <v>29</v>
      </c>
      <c r="F1723" s="18">
        <v>30</v>
      </c>
      <c r="G1723" s="20">
        <v>237000</v>
      </c>
      <c r="H1723" s="18">
        <v>0</v>
      </c>
      <c r="I1723" s="18">
        <v>0</v>
      </c>
      <c r="J1723" s="8">
        <f t="shared" si="78"/>
        <v>237000</v>
      </c>
      <c r="K1723" s="10">
        <f t="shared" si="79"/>
        <v>1</v>
      </c>
      <c r="L1723" s="17">
        <f t="shared" si="80"/>
        <v>0</v>
      </c>
      <c r="M1723" t="str">
        <f>VLOOKUP(D1723,'Jer-Tip-Emp'!B:E,4,0)</f>
        <v>Armalo en combo</v>
      </c>
      <c r="N1723" t="str">
        <f>VLOOKUP(D1723,'Jer-Tip-Emp'!B:F,5,0)</f>
        <v>Personal</v>
      </c>
      <c r="O1723" t="str">
        <f>VLOOKUP(D1723,'Jer-Tip-Emp'!B:G,6,0)</f>
        <v>Combo</v>
      </c>
    </row>
    <row r="1724" spans="1:15" ht="27.5" customHeight="1" x14ac:dyDescent="0.2">
      <c r="A1724">
        <v>2025</v>
      </c>
      <c r="B1724" t="s">
        <v>618</v>
      </c>
      <c r="C1724" t="s">
        <v>609</v>
      </c>
      <c r="D1724" s="19" t="s">
        <v>245</v>
      </c>
      <c r="E1724" s="18" t="s">
        <v>167</v>
      </c>
      <c r="F1724" s="18">
        <v>30</v>
      </c>
      <c r="G1724" s="20">
        <v>568645</v>
      </c>
      <c r="H1724" s="20">
        <v>-28355</v>
      </c>
      <c r="I1724" s="18">
        <v>0</v>
      </c>
      <c r="J1724" s="8">
        <f t="shared" si="78"/>
        <v>568645</v>
      </c>
      <c r="K1724" s="10">
        <f t="shared" si="79"/>
        <v>1</v>
      </c>
      <c r="L1724" s="17">
        <f t="shared" si="80"/>
        <v>4.9864150744313239E-2</v>
      </c>
      <c r="M1724" t="str">
        <f>VLOOKUP(D1724,'Jer-Tip-Emp'!B:E,4,0)</f>
        <v>Mong Express</v>
      </c>
      <c r="N1724" t="str">
        <f>VLOOKUP(D1724,'Jer-Tip-Emp'!B:F,5,0)</f>
        <v>Personal</v>
      </c>
      <c r="O1724" t="str">
        <f>VLOOKUP(D1724,'Jer-Tip-Emp'!B:G,6,0)</f>
        <v>Caja</v>
      </c>
    </row>
    <row r="1725" spans="1:15" ht="27.5" hidden="1" customHeight="1" x14ac:dyDescent="0.2">
      <c r="A1725">
        <v>2025</v>
      </c>
      <c r="B1725" t="s">
        <v>618</v>
      </c>
      <c r="C1725" t="s">
        <v>609</v>
      </c>
      <c r="D1725" s="19" t="s">
        <v>309</v>
      </c>
      <c r="E1725" s="18" t="s">
        <v>48</v>
      </c>
      <c r="F1725" s="18">
        <v>26</v>
      </c>
      <c r="G1725" s="20">
        <v>100703</v>
      </c>
      <c r="H1725" s="18">
        <v>-697</v>
      </c>
      <c r="I1725" s="20">
        <v>30238</v>
      </c>
      <c r="J1725" s="8">
        <f t="shared" si="78"/>
        <v>70465</v>
      </c>
      <c r="K1725" s="10">
        <f t="shared" si="79"/>
        <v>0.69973089183043202</v>
      </c>
      <c r="L1725" s="17">
        <f t="shared" si="80"/>
        <v>6.9213429589982424E-3</v>
      </c>
      <c r="M1725" t="str">
        <f>VLOOKUP(D1725,'Jer-Tip-Emp'!B:E,4,0)</f>
        <v>Bebidas</v>
      </c>
      <c r="N1725" t="str">
        <f>VLOOKUP(D1725,'Jer-Tip-Emp'!B:F,5,0)</f>
        <v>Bebidas</v>
      </c>
      <c r="O1725" t="str">
        <f>VLOOKUP(D1725,'Jer-Tip-Emp'!B:G,6,0)</f>
        <v>Bebidas</v>
      </c>
    </row>
    <row r="1726" spans="1:15" ht="27.5" customHeight="1" x14ac:dyDescent="0.2">
      <c r="A1726">
        <v>2025</v>
      </c>
      <c r="B1726" t="s">
        <v>618</v>
      </c>
      <c r="C1726" t="s">
        <v>609</v>
      </c>
      <c r="D1726" s="19" t="s">
        <v>448</v>
      </c>
      <c r="E1726" s="18" t="s">
        <v>552</v>
      </c>
      <c r="F1726" s="18">
        <v>25</v>
      </c>
      <c r="G1726" s="18">
        <v>0</v>
      </c>
      <c r="H1726" s="18">
        <v>0</v>
      </c>
      <c r="I1726" s="20">
        <v>131575</v>
      </c>
      <c r="J1726" s="8">
        <f t="shared" si="78"/>
        <v>-131575</v>
      </c>
      <c r="K1726" s="10">
        <f t="shared" si="79"/>
        <v>0</v>
      </c>
      <c r="L1726" s="17">
        <f t="shared" si="80"/>
        <v>0</v>
      </c>
      <c r="M1726" t="str">
        <f>VLOOKUP(D1726,'Jer-Tip-Emp'!B:E,4,0)</f>
        <v>Arma tu plato</v>
      </c>
      <c r="N1726" t="str">
        <f>VLOOKUP(D1726,'Jer-Tip-Emp'!B:F,5,0)</f>
        <v>Personal</v>
      </c>
      <c r="O1726" t="str">
        <f>VLOOKUP(D1726,'Jer-Tip-Emp'!B:G,6,0)</f>
        <v>Caja</v>
      </c>
    </row>
    <row r="1727" spans="1:15" ht="27.5" hidden="1" customHeight="1" x14ac:dyDescent="0.2">
      <c r="A1727">
        <v>2025</v>
      </c>
      <c r="B1727" t="s">
        <v>618</v>
      </c>
      <c r="C1727" t="s">
        <v>609</v>
      </c>
      <c r="D1727" s="19" t="s">
        <v>176</v>
      </c>
      <c r="E1727" s="18" t="s">
        <v>544</v>
      </c>
      <c r="F1727" s="18">
        <v>23</v>
      </c>
      <c r="G1727" s="20">
        <v>23000</v>
      </c>
      <c r="H1727" s="18">
        <v>0</v>
      </c>
      <c r="I1727" s="20">
        <v>44735</v>
      </c>
      <c r="J1727" s="8">
        <f t="shared" si="78"/>
        <v>-21735</v>
      </c>
      <c r="K1727" s="10">
        <f t="shared" si="79"/>
        <v>-0.94499999999999995</v>
      </c>
      <c r="L1727" s="17">
        <f t="shared" si="80"/>
        <v>0</v>
      </c>
      <c r="M1727" t="str">
        <f>VLOOKUP(D1727,'Jer-Tip-Emp'!B:E,4,0)</f>
        <v>Bebidas</v>
      </c>
      <c r="N1727" t="str">
        <f>VLOOKUP(D1727,'Jer-Tip-Emp'!B:F,5,0)</f>
        <v>Bebidas Cambio de bebida</v>
      </c>
      <c r="O1727" t="str">
        <f>VLOOKUP(D1727,'Jer-Tip-Emp'!B:G,6,0)</f>
        <v>Bebidas</v>
      </c>
    </row>
    <row r="1728" spans="1:15" ht="27.5" customHeight="1" x14ac:dyDescent="0.2">
      <c r="A1728">
        <v>2025</v>
      </c>
      <c r="B1728" t="s">
        <v>618</v>
      </c>
      <c r="C1728" t="s">
        <v>609</v>
      </c>
      <c r="D1728" s="19" t="s">
        <v>224</v>
      </c>
      <c r="E1728" s="18" t="s">
        <v>114</v>
      </c>
      <c r="F1728" s="18">
        <v>22</v>
      </c>
      <c r="G1728" s="20">
        <v>543352</v>
      </c>
      <c r="H1728" s="20">
        <v>-4448</v>
      </c>
      <c r="I1728" s="20">
        <v>279796</v>
      </c>
      <c r="J1728" s="8">
        <f t="shared" si="78"/>
        <v>263556</v>
      </c>
      <c r="K1728" s="10">
        <f t="shared" si="79"/>
        <v>0.48505572814676307</v>
      </c>
      <c r="L1728" s="17">
        <f t="shared" si="80"/>
        <v>8.186221823053931E-3</v>
      </c>
      <c r="M1728" t="str">
        <f>VLOOKUP(D1728,'Jer-Tip-Emp'!B:E,4,0)</f>
        <v>Platos especiales</v>
      </c>
      <c r="N1728" t="str">
        <f>VLOOKUP(D1728,'Jer-Tip-Emp'!B:F,5,0)</f>
        <v>Personal</v>
      </c>
      <c r="O1728" t="str">
        <f>VLOOKUP(D1728,'Jer-Tip-Emp'!B:G,6,0)</f>
        <v>Platos especiales</v>
      </c>
    </row>
    <row r="1729" spans="1:15" ht="27.5" hidden="1" customHeight="1" x14ac:dyDescent="0.2">
      <c r="A1729">
        <v>2025</v>
      </c>
      <c r="B1729" t="s">
        <v>618</v>
      </c>
      <c r="C1729" t="s">
        <v>609</v>
      </c>
      <c r="D1729" s="19" t="s">
        <v>351</v>
      </c>
      <c r="E1729" s="18" t="s">
        <v>55</v>
      </c>
      <c r="F1729" s="18">
        <v>21</v>
      </c>
      <c r="G1729" s="20">
        <v>123900</v>
      </c>
      <c r="H1729" s="18">
        <v>0</v>
      </c>
      <c r="I1729" s="20">
        <v>30408</v>
      </c>
      <c r="J1729" s="8">
        <f t="shared" ref="J1729:J1792" si="81">G1729-I1729</f>
        <v>93492</v>
      </c>
      <c r="K1729" s="10">
        <f t="shared" ref="K1729:K1792" si="82">IFERROR(J1729/G1729,0)</f>
        <v>0.75457627118644066</v>
      </c>
      <c r="L1729" s="17">
        <f t="shared" ref="L1729:L1792" si="83">IFERROR((H1729/G1729)*-1,0)</f>
        <v>0</v>
      </c>
      <c r="M1729" t="str">
        <f>VLOOKUP(D1729,'Jer-Tip-Emp'!B:E,4,0)</f>
        <v>Bebidas</v>
      </c>
      <c r="N1729" t="str">
        <f>VLOOKUP(D1729,'Jer-Tip-Emp'!B:F,5,0)</f>
        <v>Bebidas</v>
      </c>
      <c r="O1729" t="str">
        <f>VLOOKUP(D1729,'Jer-Tip-Emp'!B:G,6,0)</f>
        <v>Bebidas</v>
      </c>
    </row>
    <row r="1730" spans="1:15" ht="27.5" hidden="1" customHeight="1" x14ac:dyDescent="0.2">
      <c r="A1730">
        <v>2025</v>
      </c>
      <c r="B1730" t="s">
        <v>618</v>
      </c>
      <c r="C1730" t="s">
        <v>609</v>
      </c>
      <c r="D1730" s="19" t="s">
        <v>326</v>
      </c>
      <c r="E1730" s="18" t="s">
        <v>69</v>
      </c>
      <c r="F1730" s="18">
        <v>21</v>
      </c>
      <c r="G1730" s="20">
        <v>102429</v>
      </c>
      <c r="H1730" s="18">
        <v>-471</v>
      </c>
      <c r="I1730" s="20">
        <v>27930</v>
      </c>
      <c r="J1730" s="8">
        <f t="shared" si="81"/>
        <v>74499</v>
      </c>
      <c r="K1730" s="10">
        <f t="shared" si="82"/>
        <v>0.72732331663884253</v>
      </c>
      <c r="L1730" s="17">
        <f t="shared" si="83"/>
        <v>4.5983071200538907E-3</v>
      </c>
      <c r="M1730" t="str">
        <f>VLOOKUP(D1730,'Jer-Tip-Emp'!B:E,4,0)</f>
        <v>Bebidas</v>
      </c>
      <c r="N1730" t="str">
        <f>VLOOKUP(D1730,'Jer-Tip-Emp'!B:F,5,0)</f>
        <v>Bebidas</v>
      </c>
      <c r="O1730" t="str">
        <f>VLOOKUP(D1730,'Jer-Tip-Emp'!B:G,6,0)</f>
        <v>Bebidas</v>
      </c>
    </row>
    <row r="1731" spans="1:15" ht="27.5" hidden="1" customHeight="1" x14ac:dyDescent="0.2">
      <c r="A1731">
        <v>2025</v>
      </c>
      <c r="B1731" t="s">
        <v>618</v>
      </c>
      <c r="C1731" t="s">
        <v>609</v>
      </c>
      <c r="D1731" s="19" t="s">
        <v>336</v>
      </c>
      <c r="E1731" s="18" t="s">
        <v>60</v>
      </c>
      <c r="F1731" s="18">
        <v>20</v>
      </c>
      <c r="G1731" s="20">
        <v>98000</v>
      </c>
      <c r="H1731" s="18">
        <v>0</v>
      </c>
      <c r="I1731" s="20">
        <v>31200</v>
      </c>
      <c r="J1731" s="8">
        <f t="shared" si="81"/>
        <v>66800</v>
      </c>
      <c r="K1731" s="10">
        <f t="shared" si="82"/>
        <v>0.68163265306122445</v>
      </c>
      <c r="L1731" s="17">
        <f t="shared" si="83"/>
        <v>0</v>
      </c>
      <c r="M1731" t="str">
        <f>VLOOKUP(D1731,'Jer-Tip-Emp'!B:E,4,0)</f>
        <v>Bebidas</v>
      </c>
      <c r="N1731" t="str">
        <f>VLOOKUP(D1731,'Jer-Tip-Emp'!B:F,5,0)</f>
        <v>Bebidas</v>
      </c>
      <c r="O1731" t="str">
        <f>VLOOKUP(D1731,'Jer-Tip-Emp'!B:G,6,0)</f>
        <v>Bebidas</v>
      </c>
    </row>
    <row r="1732" spans="1:15" ht="27.5" customHeight="1" x14ac:dyDescent="0.2">
      <c r="A1732">
        <v>2025</v>
      </c>
      <c r="B1732" t="s">
        <v>618</v>
      </c>
      <c r="C1732" t="s">
        <v>609</v>
      </c>
      <c r="D1732" s="19" t="s">
        <v>205</v>
      </c>
      <c r="E1732" s="18" t="s">
        <v>141</v>
      </c>
      <c r="F1732" s="18">
        <v>20</v>
      </c>
      <c r="G1732" s="20">
        <v>316471</v>
      </c>
      <c r="H1732" s="20">
        <v>-1529</v>
      </c>
      <c r="I1732" s="20">
        <v>121280</v>
      </c>
      <c r="J1732" s="8">
        <f t="shared" si="81"/>
        <v>195191</v>
      </c>
      <c r="K1732" s="10">
        <f t="shared" si="82"/>
        <v>0.61677373282228076</v>
      </c>
      <c r="L1732" s="17">
        <f t="shared" si="83"/>
        <v>4.8314063531887594E-3</v>
      </c>
      <c r="M1732" t="str">
        <f>VLOOKUP(D1732,'Jer-Tip-Emp'!B:E,4,0)</f>
        <v>Platos mong</v>
      </c>
      <c r="N1732" t="str">
        <f>VLOOKUP(D1732,'Jer-Tip-Emp'!B:F,5,0)</f>
        <v>Personal</v>
      </c>
      <c r="O1732" t="str">
        <f>VLOOKUP(D1732,'Jer-Tip-Emp'!B:G,6,0)</f>
        <v>Caja</v>
      </c>
    </row>
    <row r="1733" spans="1:15" ht="27.5" hidden="1" customHeight="1" x14ac:dyDescent="0.2">
      <c r="A1733">
        <v>2025</v>
      </c>
      <c r="B1733" t="s">
        <v>618</v>
      </c>
      <c r="C1733" t="s">
        <v>609</v>
      </c>
      <c r="D1733" s="19" t="s">
        <v>268</v>
      </c>
      <c r="E1733" s="18" t="s">
        <v>17</v>
      </c>
      <c r="F1733" s="18">
        <v>20</v>
      </c>
      <c r="G1733" s="20">
        <v>110409</v>
      </c>
      <c r="H1733" s="20">
        <v>-7591</v>
      </c>
      <c r="I1733" s="20">
        <v>25640</v>
      </c>
      <c r="J1733" s="8">
        <f t="shared" si="81"/>
        <v>84769</v>
      </c>
      <c r="K1733" s="10">
        <f t="shared" si="82"/>
        <v>0.7677725547736145</v>
      </c>
      <c r="L1733" s="17">
        <f t="shared" si="83"/>
        <v>6.8753453069949011E-2</v>
      </c>
      <c r="M1733" t="str">
        <f>VLOOKUP(D1733,'Jer-Tip-Emp'!B:E,4,0)</f>
        <v>Adición</v>
      </c>
      <c r="N1733" t="str">
        <f>VLOOKUP(D1733,'Jer-Tip-Emp'!B:F,5,0)</f>
        <v>Adición</v>
      </c>
      <c r="O1733" t="str">
        <f>VLOOKUP(D1733,'Jer-Tip-Emp'!B:G,6,0)</f>
        <v>Adición</v>
      </c>
    </row>
    <row r="1734" spans="1:15" ht="27.5" customHeight="1" x14ac:dyDescent="0.2">
      <c r="A1734">
        <v>2025</v>
      </c>
      <c r="B1734" t="s">
        <v>618</v>
      </c>
      <c r="C1734" t="s">
        <v>609</v>
      </c>
      <c r="D1734" s="19" t="s">
        <v>219</v>
      </c>
      <c r="E1734" s="18" t="s">
        <v>111</v>
      </c>
      <c r="F1734" s="18">
        <v>19</v>
      </c>
      <c r="G1734" s="20">
        <v>511100</v>
      </c>
      <c r="H1734" s="18">
        <v>0</v>
      </c>
      <c r="I1734" s="20">
        <v>257773</v>
      </c>
      <c r="J1734" s="8">
        <f t="shared" si="81"/>
        <v>253327</v>
      </c>
      <c r="K1734" s="10">
        <f t="shared" si="82"/>
        <v>0.49565055762081783</v>
      </c>
      <c r="L1734" s="17">
        <f t="shared" si="83"/>
        <v>0</v>
      </c>
      <c r="M1734" t="str">
        <f>VLOOKUP(D1734,'Jer-Tip-Emp'!B:E,4,0)</f>
        <v>Platos especiales</v>
      </c>
      <c r="N1734" t="str">
        <f>VLOOKUP(D1734,'Jer-Tip-Emp'!B:F,5,0)</f>
        <v>Personal</v>
      </c>
      <c r="O1734" t="str">
        <f>VLOOKUP(D1734,'Jer-Tip-Emp'!B:G,6,0)</f>
        <v>Platos especiales</v>
      </c>
    </row>
    <row r="1735" spans="1:15" ht="27.5" customHeight="1" x14ac:dyDescent="0.2">
      <c r="A1735">
        <v>2025</v>
      </c>
      <c r="B1735" t="s">
        <v>618</v>
      </c>
      <c r="C1735" t="s">
        <v>609</v>
      </c>
      <c r="D1735" s="19" t="s">
        <v>294</v>
      </c>
      <c r="E1735" s="18" t="s">
        <v>108</v>
      </c>
      <c r="F1735" s="18">
        <v>19</v>
      </c>
      <c r="G1735" s="20">
        <v>358300</v>
      </c>
      <c r="H1735" s="20">
        <v>-19800</v>
      </c>
      <c r="I1735" s="20">
        <v>155477</v>
      </c>
      <c r="J1735" s="8">
        <f t="shared" si="81"/>
        <v>202823</v>
      </c>
      <c r="K1735" s="10">
        <f t="shared" si="82"/>
        <v>0.56607033212391855</v>
      </c>
      <c r="L1735" s="17">
        <f t="shared" si="83"/>
        <v>5.5260954507396036E-2</v>
      </c>
      <c r="M1735" t="str">
        <f>VLOOKUP(D1735,'Jer-Tip-Emp'!B:E,4,0)</f>
        <v>Mong Express</v>
      </c>
      <c r="N1735" t="str">
        <f>VLOOKUP(D1735,'Jer-Tip-Emp'!B:F,5,0)</f>
        <v>Personal</v>
      </c>
      <c r="O1735" t="str">
        <f>VLOOKUP(D1735,'Jer-Tip-Emp'!B:G,6,0)</f>
        <v>Caja</v>
      </c>
    </row>
    <row r="1736" spans="1:15" ht="27.5" customHeight="1" x14ac:dyDescent="0.2">
      <c r="A1736">
        <v>2025</v>
      </c>
      <c r="B1736" t="s">
        <v>618</v>
      </c>
      <c r="C1736" t="s">
        <v>609</v>
      </c>
      <c r="D1736" s="19" t="s">
        <v>474</v>
      </c>
      <c r="E1736" s="18" t="s">
        <v>553</v>
      </c>
      <c r="F1736" s="18">
        <v>18</v>
      </c>
      <c r="G1736" s="18">
        <v>0</v>
      </c>
      <c r="H1736" s="18">
        <v>0</v>
      </c>
      <c r="I1736" s="20">
        <v>51282</v>
      </c>
      <c r="J1736" s="8">
        <f t="shared" si="81"/>
        <v>-51282</v>
      </c>
      <c r="K1736" s="10">
        <f t="shared" si="82"/>
        <v>0</v>
      </c>
      <c r="L1736" s="17">
        <f t="shared" si="83"/>
        <v>0</v>
      </c>
      <c r="M1736" t="str">
        <f>VLOOKUP(D1736,'Jer-Tip-Emp'!B:E,4,0)</f>
        <v>Arma tu plato</v>
      </c>
      <c r="N1736" t="str">
        <f>VLOOKUP(D1736,'Jer-Tip-Emp'!B:F,5,0)</f>
        <v>Personal</v>
      </c>
      <c r="O1736" t="str">
        <f>VLOOKUP(D1736,'Jer-Tip-Emp'!B:G,6,0)</f>
        <v>Caja</v>
      </c>
    </row>
    <row r="1737" spans="1:15" ht="27.5" hidden="1" customHeight="1" x14ac:dyDescent="0.2">
      <c r="A1737">
        <v>2025</v>
      </c>
      <c r="B1737" t="s">
        <v>618</v>
      </c>
      <c r="C1737" t="s">
        <v>609</v>
      </c>
      <c r="D1737" s="19" t="s">
        <v>253</v>
      </c>
      <c r="E1737" s="18" t="s">
        <v>105</v>
      </c>
      <c r="F1737" s="18">
        <v>18</v>
      </c>
      <c r="G1737" s="20">
        <v>90000</v>
      </c>
      <c r="H1737" s="18">
        <v>0</v>
      </c>
      <c r="I1737" s="20">
        <v>28242</v>
      </c>
      <c r="J1737" s="8">
        <f t="shared" si="81"/>
        <v>61758</v>
      </c>
      <c r="K1737" s="10">
        <f t="shared" si="82"/>
        <v>0.68620000000000003</v>
      </c>
      <c r="L1737" s="17">
        <f t="shared" si="83"/>
        <v>0</v>
      </c>
      <c r="M1737" t="str">
        <f>VLOOKUP(D1737,'Jer-Tip-Emp'!B:E,4,0)</f>
        <v>Entradas</v>
      </c>
      <c r="N1737" t="str">
        <f>VLOOKUP(D1737,'Jer-Tip-Emp'!B:F,5,0)</f>
        <v>Otro</v>
      </c>
      <c r="O1737" t="str">
        <f>VLOOKUP(D1737,'Jer-Tip-Emp'!B:G,6,0)</f>
        <v>Otro</v>
      </c>
    </row>
    <row r="1738" spans="1:15" ht="27.5" customHeight="1" x14ac:dyDescent="0.2">
      <c r="A1738">
        <v>2025</v>
      </c>
      <c r="B1738" t="s">
        <v>618</v>
      </c>
      <c r="C1738" t="s">
        <v>609</v>
      </c>
      <c r="D1738" s="19" t="s">
        <v>295</v>
      </c>
      <c r="E1738" s="18" t="s">
        <v>110</v>
      </c>
      <c r="F1738" s="18">
        <v>17</v>
      </c>
      <c r="G1738" s="20">
        <v>336300</v>
      </c>
      <c r="H1738" s="20">
        <v>-2000</v>
      </c>
      <c r="I1738" s="20">
        <v>115056</v>
      </c>
      <c r="J1738" s="8">
        <f t="shared" si="81"/>
        <v>221244</v>
      </c>
      <c r="K1738" s="10">
        <f t="shared" si="82"/>
        <v>0.65787689562890272</v>
      </c>
      <c r="L1738" s="17">
        <f t="shared" si="83"/>
        <v>5.947071067499257E-3</v>
      </c>
      <c r="M1738" t="str">
        <f>VLOOKUP(D1738,'Jer-Tip-Emp'!B:E,4,0)</f>
        <v>Platos mong</v>
      </c>
      <c r="N1738" t="str">
        <f>VLOOKUP(D1738,'Jer-Tip-Emp'!B:F,5,0)</f>
        <v>Personal</v>
      </c>
      <c r="O1738" t="str">
        <f>VLOOKUP(D1738,'Jer-Tip-Emp'!B:G,6,0)</f>
        <v>Caja</v>
      </c>
    </row>
    <row r="1739" spans="1:15" ht="27.5" customHeight="1" x14ac:dyDescent="0.2">
      <c r="A1739">
        <v>2025</v>
      </c>
      <c r="B1739" t="s">
        <v>618</v>
      </c>
      <c r="C1739" t="s">
        <v>609</v>
      </c>
      <c r="D1739" s="19" t="s">
        <v>303</v>
      </c>
      <c r="E1739" s="18" t="s">
        <v>120</v>
      </c>
      <c r="F1739" s="18">
        <v>17</v>
      </c>
      <c r="G1739" s="20">
        <v>389300</v>
      </c>
      <c r="H1739" s="18">
        <v>0</v>
      </c>
      <c r="I1739" s="20">
        <v>127738</v>
      </c>
      <c r="J1739" s="8">
        <f t="shared" si="81"/>
        <v>261562</v>
      </c>
      <c r="K1739" s="10">
        <f t="shared" si="82"/>
        <v>0.67187772925764189</v>
      </c>
      <c r="L1739" s="17">
        <f t="shared" si="83"/>
        <v>0</v>
      </c>
      <c r="M1739" t="str">
        <f>VLOOKUP(D1739,'Jer-Tip-Emp'!B:E,4,0)</f>
        <v>Platos mong</v>
      </c>
      <c r="N1739" t="str">
        <f>VLOOKUP(D1739,'Jer-Tip-Emp'!B:F,5,0)</f>
        <v>Personal</v>
      </c>
      <c r="O1739" t="str">
        <f>VLOOKUP(D1739,'Jer-Tip-Emp'!B:G,6,0)</f>
        <v>Caja</v>
      </c>
    </row>
    <row r="1740" spans="1:15" ht="27.5" hidden="1" customHeight="1" x14ac:dyDescent="0.2">
      <c r="A1740">
        <v>2025</v>
      </c>
      <c r="B1740" t="s">
        <v>618</v>
      </c>
      <c r="C1740" t="s">
        <v>609</v>
      </c>
      <c r="D1740" s="19" t="s">
        <v>364</v>
      </c>
      <c r="E1740" s="18" t="s">
        <v>51</v>
      </c>
      <c r="F1740" s="18">
        <v>17</v>
      </c>
      <c r="G1740" s="20">
        <v>66300</v>
      </c>
      <c r="H1740" s="18">
        <v>0</v>
      </c>
      <c r="I1740" s="20">
        <v>21947</v>
      </c>
      <c r="J1740" s="8">
        <f t="shared" si="81"/>
        <v>44353</v>
      </c>
      <c r="K1740" s="10">
        <f t="shared" si="82"/>
        <v>0.66897435897435897</v>
      </c>
      <c r="L1740" s="17">
        <f t="shared" si="83"/>
        <v>0</v>
      </c>
      <c r="M1740" t="str">
        <f>VLOOKUP(D1740,'Jer-Tip-Emp'!B:E,4,0)</f>
        <v>Bebidas</v>
      </c>
      <c r="N1740" t="str">
        <f>VLOOKUP(D1740,'Jer-Tip-Emp'!B:F,5,0)</f>
        <v>Bebidas</v>
      </c>
      <c r="O1740" t="str">
        <f>VLOOKUP(D1740,'Jer-Tip-Emp'!B:G,6,0)</f>
        <v>Bebidas</v>
      </c>
    </row>
    <row r="1741" spans="1:15" ht="27.5" customHeight="1" x14ac:dyDescent="0.2">
      <c r="A1741">
        <v>2025</v>
      </c>
      <c r="B1741" t="s">
        <v>618</v>
      </c>
      <c r="C1741" t="s">
        <v>609</v>
      </c>
      <c r="D1741" s="19" t="s">
        <v>206</v>
      </c>
      <c r="E1741" s="18" t="s">
        <v>117</v>
      </c>
      <c r="F1741" s="18">
        <v>16</v>
      </c>
      <c r="G1741" s="20">
        <v>236600</v>
      </c>
      <c r="H1741" s="20">
        <v>-33800</v>
      </c>
      <c r="I1741" s="20">
        <v>114000</v>
      </c>
      <c r="J1741" s="8">
        <f t="shared" si="81"/>
        <v>122600</v>
      </c>
      <c r="K1741" s="10">
        <f t="shared" si="82"/>
        <v>0.51817413355874897</v>
      </c>
      <c r="L1741" s="17">
        <f t="shared" si="83"/>
        <v>0.14285714285714285</v>
      </c>
      <c r="M1741" t="str">
        <f>VLOOKUP(D1741,'Jer-Tip-Emp'!B:E,4,0)</f>
        <v>Platos especiales</v>
      </c>
      <c r="N1741" t="str">
        <f>VLOOKUP(D1741,'Jer-Tip-Emp'!B:F,5,0)</f>
        <v>Personal</v>
      </c>
      <c r="O1741" t="str">
        <f>VLOOKUP(D1741,'Jer-Tip-Emp'!B:G,6,0)</f>
        <v>Platos especiales</v>
      </c>
    </row>
    <row r="1742" spans="1:15" ht="27.5" hidden="1" customHeight="1" x14ac:dyDescent="0.2">
      <c r="A1742">
        <v>2025</v>
      </c>
      <c r="B1742" t="s">
        <v>618</v>
      </c>
      <c r="C1742" t="s">
        <v>609</v>
      </c>
      <c r="D1742" s="19" t="s">
        <v>382</v>
      </c>
      <c r="E1742" s="18" t="s">
        <v>42</v>
      </c>
      <c r="F1742" s="18">
        <v>16</v>
      </c>
      <c r="G1742" s="20">
        <v>78400</v>
      </c>
      <c r="H1742" s="18">
        <v>0</v>
      </c>
      <c r="I1742" s="20">
        <v>21968</v>
      </c>
      <c r="J1742" s="8">
        <f t="shared" si="81"/>
        <v>56432</v>
      </c>
      <c r="K1742" s="10">
        <f t="shared" si="82"/>
        <v>0.71979591836734691</v>
      </c>
      <c r="L1742" s="17">
        <f t="shared" si="83"/>
        <v>0</v>
      </c>
      <c r="M1742" t="str">
        <f>VLOOKUP(D1742,'Jer-Tip-Emp'!B:E,4,0)</f>
        <v>Bebidas</v>
      </c>
      <c r="N1742" t="str">
        <f>VLOOKUP(D1742,'Jer-Tip-Emp'!B:F,5,0)</f>
        <v>Bebidas</v>
      </c>
      <c r="O1742" t="str">
        <f>VLOOKUP(D1742,'Jer-Tip-Emp'!B:G,6,0)</f>
        <v>Bebidas</v>
      </c>
    </row>
    <row r="1743" spans="1:15" ht="27.5" customHeight="1" x14ac:dyDescent="0.2">
      <c r="A1743">
        <v>2025</v>
      </c>
      <c r="B1743" t="s">
        <v>618</v>
      </c>
      <c r="C1743" t="s">
        <v>609</v>
      </c>
      <c r="D1743" s="19" t="s">
        <v>228</v>
      </c>
      <c r="E1743" s="18" t="s">
        <v>96</v>
      </c>
      <c r="F1743" s="18">
        <v>16</v>
      </c>
      <c r="G1743" s="20">
        <v>462400</v>
      </c>
      <c r="H1743" s="18">
        <v>0</v>
      </c>
      <c r="I1743" s="20">
        <v>163952</v>
      </c>
      <c r="J1743" s="8">
        <f t="shared" si="81"/>
        <v>298448</v>
      </c>
      <c r="K1743" s="10">
        <f t="shared" si="82"/>
        <v>0.64543252595155709</v>
      </c>
      <c r="L1743" s="17">
        <f t="shared" si="83"/>
        <v>0</v>
      </c>
      <c r="M1743" t="str">
        <f>VLOOKUP(D1743,'Jer-Tip-Emp'!B:E,4,0)</f>
        <v>Combos personales</v>
      </c>
      <c r="N1743" t="str">
        <f>VLOOKUP(D1743,'Jer-Tip-Emp'!B:F,5,0)</f>
        <v>Personal</v>
      </c>
      <c r="O1743" t="str">
        <f>VLOOKUP(D1743,'Jer-Tip-Emp'!B:G,6,0)</f>
        <v>Combo</v>
      </c>
    </row>
    <row r="1744" spans="1:15" ht="27.5" hidden="1" customHeight="1" x14ac:dyDescent="0.2">
      <c r="A1744">
        <v>2025</v>
      </c>
      <c r="B1744" t="s">
        <v>618</v>
      </c>
      <c r="C1744" t="s">
        <v>609</v>
      </c>
      <c r="D1744" s="19" t="s">
        <v>262</v>
      </c>
      <c r="E1744" s="18" t="s">
        <v>102</v>
      </c>
      <c r="F1744" s="18">
        <v>16</v>
      </c>
      <c r="G1744" s="20">
        <v>269646</v>
      </c>
      <c r="H1744" s="18">
        <v>-754</v>
      </c>
      <c r="I1744" s="20">
        <v>99440</v>
      </c>
      <c r="J1744" s="8">
        <f t="shared" si="81"/>
        <v>170206</v>
      </c>
      <c r="K1744" s="10">
        <f t="shared" si="82"/>
        <v>0.6312201924004065</v>
      </c>
      <c r="L1744" s="17">
        <f t="shared" si="83"/>
        <v>2.7962587985729437E-3</v>
      </c>
      <c r="M1744" t="str">
        <f>VLOOKUP(D1744,'Jer-Tip-Emp'!B:E,4,0)</f>
        <v>Entradas</v>
      </c>
      <c r="N1744" t="str">
        <f>VLOOKUP(D1744,'Jer-Tip-Emp'!B:F,5,0)</f>
        <v>Otro</v>
      </c>
      <c r="O1744" t="str">
        <f>VLOOKUP(D1744,'Jer-Tip-Emp'!B:G,6,0)</f>
        <v>Otro</v>
      </c>
    </row>
    <row r="1745" spans="1:15" ht="27.5" hidden="1" customHeight="1" x14ac:dyDescent="0.2">
      <c r="A1745">
        <v>2025</v>
      </c>
      <c r="B1745" t="s">
        <v>618</v>
      </c>
      <c r="C1745" t="s">
        <v>609</v>
      </c>
      <c r="D1745" s="19" t="s">
        <v>282</v>
      </c>
      <c r="E1745" s="18" t="s">
        <v>19</v>
      </c>
      <c r="F1745" s="18">
        <v>15</v>
      </c>
      <c r="G1745" s="20">
        <v>88500</v>
      </c>
      <c r="H1745" s="18">
        <v>0</v>
      </c>
      <c r="I1745" s="20">
        <v>61470</v>
      </c>
      <c r="J1745" s="8">
        <f t="shared" si="81"/>
        <v>27030</v>
      </c>
      <c r="K1745" s="10">
        <f t="shared" si="82"/>
        <v>0.30542372881355934</v>
      </c>
      <c r="L1745" s="17">
        <f t="shared" si="83"/>
        <v>0</v>
      </c>
      <c r="M1745" t="str">
        <f>VLOOKUP(D1745,'Jer-Tip-Emp'!B:E,4,0)</f>
        <v>Adición</v>
      </c>
      <c r="N1745" t="str">
        <f>VLOOKUP(D1745,'Jer-Tip-Emp'!B:F,5,0)</f>
        <v>Adición</v>
      </c>
      <c r="O1745" t="str">
        <f>VLOOKUP(D1745,'Jer-Tip-Emp'!B:G,6,0)</f>
        <v>Adición</v>
      </c>
    </row>
    <row r="1746" spans="1:15" ht="27.5" customHeight="1" x14ac:dyDescent="0.2">
      <c r="A1746">
        <v>2025</v>
      </c>
      <c r="B1746" t="s">
        <v>618</v>
      </c>
      <c r="C1746" t="s">
        <v>609</v>
      </c>
      <c r="D1746" s="19" t="s">
        <v>214</v>
      </c>
      <c r="E1746" s="18" t="s">
        <v>81</v>
      </c>
      <c r="F1746" s="18">
        <v>12</v>
      </c>
      <c r="G1746" s="20">
        <v>718800</v>
      </c>
      <c r="H1746" s="18">
        <v>0</v>
      </c>
      <c r="I1746" s="20">
        <v>283656</v>
      </c>
      <c r="J1746" s="8">
        <f t="shared" si="81"/>
        <v>435144</v>
      </c>
      <c r="K1746" s="10">
        <f t="shared" si="82"/>
        <v>0.60537562604340567</v>
      </c>
      <c r="L1746" s="17">
        <f t="shared" si="83"/>
        <v>0</v>
      </c>
      <c r="M1746" t="str">
        <f>VLOOKUP(D1746,'Jer-Tip-Emp'!B:E,4,0)</f>
        <v>Combos para compartir</v>
      </c>
      <c r="N1746" t="str">
        <f>VLOOKUP(D1746,'Jer-Tip-Emp'!B:F,5,0)</f>
        <v>No Personal</v>
      </c>
      <c r="O1746" t="str">
        <f>VLOOKUP(D1746,'Jer-Tip-Emp'!B:G,6,0)</f>
        <v>Combo</v>
      </c>
    </row>
    <row r="1747" spans="1:15" ht="27.5" customHeight="1" x14ac:dyDescent="0.2">
      <c r="A1747">
        <v>2025</v>
      </c>
      <c r="B1747" t="s">
        <v>618</v>
      </c>
      <c r="C1747" t="s">
        <v>609</v>
      </c>
      <c r="D1747" s="19" t="s">
        <v>285</v>
      </c>
      <c r="E1747" s="18" t="s">
        <v>146</v>
      </c>
      <c r="F1747" s="18">
        <v>12</v>
      </c>
      <c r="G1747" s="20">
        <v>260800</v>
      </c>
      <c r="H1747" s="20">
        <v>-2000</v>
      </c>
      <c r="I1747" s="20">
        <v>101568</v>
      </c>
      <c r="J1747" s="8">
        <f t="shared" si="81"/>
        <v>159232</v>
      </c>
      <c r="K1747" s="10">
        <f t="shared" si="82"/>
        <v>0.61055214723926376</v>
      </c>
      <c r="L1747" s="17">
        <f t="shared" si="83"/>
        <v>7.6687116564417178E-3</v>
      </c>
      <c r="M1747" t="str">
        <f>VLOOKUP(D1747,'Jer-Tip-Emp'!B:E,4,0)</f>
        <v>Platos mong</v>
      </c>
      <c r="N1747" t="str">
        <f>VLOOKUP(D1747,'Jer-Tip-Emp'!B:F,5,0)</f>
        <v>Personal</v>
      </c>
      <c r="O1747" t="str">
        <f>VLOOKUP(D1747,'Jer-Tip-Emp'!B:G,6,0)</f>
        <v>Caja</v>
      </c>
    </row>
    <row r="1748" spans="1:15" ht="27.5" hidden="1" customHeight="1" x14ac:dyDescent="0.2">
      <c r="A1748">
        <v>2025</v>
      </c>
      <c r="B1748" t="s">
        <v>618</v>
      </c>
      <c r="C1748" t="s">
        <v>609</v>
      </c>
      <c r="D1748" s="19" t="s">
        <v>193</v>
      </c>
      <c r="E1748" s="18" t="s">
        <v>18</v>
      </c>
      <c r="F1748" s="18">
        <v>12</v>
      </c>
      <c r="G1748" s="20">
        <v>82800</v>
      </c>
      <c r="H1748" s="18">
        <v>0</v>
      </c>
      <c r="I1748" s="20">
        <v>37296</v>
      </c>
      <c r="J1748" s="8">
        <f t="shared" si="81"/>
        <v>45504</v>
      </c>
      <c r="K1748" s="10">
        <f t="shared" si="82"/>
        <v>0.54956521739130437</v>
      </c>
      <c r="L1748" s="17">
        <f t="shared" si="83"/>
        <v>0</v>
      </c>
      <c r="M1748" t="str">
        <f>VLOOKUP(D1748,'Jer-Tip-Emp'!B:E,4,0)</f>
        <v>Adición</v>
      </c>
      <c r="N1748" t="str">
        <f>VLOOKUP(D1748,'Jer-Tip-Emp'!B:F,5,0)</f>
        <v>Adición</v>
      </c>
      <c r="O1748" t="str">
        <f>VLOOKUP(D1748,'Jer-Tip-Emp'!B:G,6,0)</f>
        <v>Adición</v>
      </c>
    </row>
    <row r="1749" spans="1:15" ht="27.5" hidden="1" customHeight="1" x14ac:dyDescent="0.2">
      <c r="A1749">
        <v>2025</v>
      </c>
      <c r="B1749" t="s">
        <v>618</v>
      </c>
      <c r="C1749" t="s">
        <v>609</v>
      </c>
      <c r="D1749" s="19" t="s">
        <v>321</v>
      </c>
      <c r="E1749" s="18" t="s">
        <v>72</v>
      </c>
      <c r="F1749" s="18">
        <v>11</v>
      </c>
      <c r="G1749" s="20">
        <v>53900</v>
      </c>
      <c r="H1749" s="18">
        <v>0</v>
      </c>
      <c r="I1749" s="20">
        <v>14630</v>
      </c>
      <c r="J1749" s="8">
        <f t="shared" si="81"/>
        <v>39270</v>
      </c>
      <c r="K1749" s="10">
        <f t="shared" si="82"/>
        <v>0.72857142857142854</v>
      </c>
      <c r="L1749" s="17">
        <f t="shared" si="83"/>
        <v>0</v>
      </c>
      <c r="M1749" t="str">
        <f>VLOOKUP(D1749,'Jer-Tip-Emp'!B:E,4,0)</f>
        <v>Bebidas</v>
      </c>
      <c r="N1749" t="str">
        <f>VLOOKUP(D1749,'Jer-Tip-Emp'!B:F,5,0)</f>
        <v>Bebidas</v>
      </c>
      <c r="O1749" t="str">
        <f>VLOOKUP(D1749,'Jer-Tip-Emp'!B:G,6,0)</f>
        <v>Bebidas</v>
      </c>
    </row>
    <row r="1750" spans="1:15" ht="27.5" hidden="1" customHeight="1" x14ac:dyDescent="0.2">
      <c r="A1750">
        <v>2025</v>
      </c>
      <c r="B1750" t="s">
        <v>618</v>
      </c>
      <c r="C1750" t="s">
        <v>609</v>
      </c>
      <c r="D1750" s="19" t="s">
        <v>335</v>
      </c>
      <c r="E1750" s="18" t="s">
        <v>40</v>
      </c>
      <c r="F1750" s="18">
        <v>11</v>
      </c>
      <c r="G1750" s="20">
        <v>53900</v>
      </c>
      <c r="H1750" s="18">
        <v>0</v>
      </c>
      <c r="I1750" s="20">
        <v>15103</v>
      </c>
      <c r="J1750" s="8">
        <f t="shared" si="81"/>
        <v>38797</v>
      </c>
      <c r="K1750" s="10">
        <f t="shared" si="82"/>
        <v>0.71979591836734691</v>
      </c>
      <c r="L1750" s="17">
        <f t="shared" si="83"/>
        <v>0</v>
      </c>
      <c r="M1750" t="str">
        <f>VLOOKUP(D1750,'Jer-Tip-Emp'!B:E,4,0)</f>
        <v>Bebidas</v>
      </c>
      <c r="N1750" t="str">
        <f>VLOOKUP(D1750,'Jer-Tip-Emp'!B:F,5,0)</f>
        <v>Bebidas</v>
      </c>
      <c r="O1750" t="str">
        <f>VLOOKUP(D1750,'Jer-Tip-Emp'!B:G,6,0)</f>
        <v>Bebidas</v>
      </c>
    </row>
    <row r="1751" spans="1:15" ht="27.5" customHeight="1" x14ac:dyDescent="0.2">
      <c r="A1751">
        <v>2025</v>
      </c>
      <c r="B1751" t="s">
        <v>618</v>
      </c>
      <c r="C1751" t="s">
        <v>609</v>
      </c>
      <c r="D1751" s="19" t="s">
        <v>266</v>
      </c>
      <c r="E1751" s="18" t="s">
        <v>85</v>
      </c>
      <c r="F1751" s="18">
        <v>11</v>
      </c>
      <c r="G1751" s="20">
        <v>903409</v>
      </c>
      <c r="H1751" s="20">
        <v>-8491</v>
      </c>
      <c r="I1751" s="20">
        <v>431431</v>
      </c>
      <c r="J1751" s="8">
        <f t="shared" si="81"/>
        <v>471978</v>
      </c>
      <c r="K1751" s="10">
        <f t="shared" si="82"/>
        <v>0.5224411091764638</v>
      </c>
      <c r="L1751" s="17">
        <f t="shared" si="83"/>
        <v>9.3988437130911907E-3</v>
      </c>
      <c r="M1751" t="str">
        <f>VLOOKUP(D1751,'Jer-Tip-Emp'!B:E,4,0)</f>
        <v>Combos para compartir</v>
      </c>
      <c r="N1751" t="str">
        <f>VLOOKUP(D1751,'Jer-Tip-Emp'!B:F,5,0)</f>
        <v>No Personal</v>
      </c>
      <c r="O1751" t="str">
        <f>VLOOKUP(D1751,'Jer-Tip-Emp'!B:G,6,0)</f>
        <v>Combo</v>
      </c>
    </row>
    <row r="1752" spans="1:15" ht="27.5" hidden="1" customHeight="1" x14ac:dyDescent="0.2">
      <c r="A1752">
        <v>2025</v>
      </c>
      <c r="B1752" t="s">
        <v>618</v>
      </c>
      <c r="C1752" t="s">
        <v>609</v>
      </c>
      <c r="D1752" s="19" t="s">
        <v>337</v>
      </c>
      <c r="E1752" s="18" t="s">
        <v>58</v>
      </c>
      <c r="F1752" s="18">
        <v>10</v>
      </c>
      <c r="G1752" s="20">
        <v>49000</v>
      </c>
      <c r="H1752" s="18">
        <v>0</v>
      </c>
      <c r="I1752" s="20">
        <v>15600</v>
      </c>
      <c r="J1752" s="8">
        <f t="shared" si="81"/>
        <v>33400</v>
      </c>
      <c r="K1752" s="10">
        <f t="shared" si="82"/>
        <v>0.68163265306122445</v>
      </c>
      <c r="L1752" s="17">
        <f t="shared" si="83"/>
        <v>0</v>
      </c>
      <c r="M1752" t="str">
        <f>VLOOKUP(D1752,'Jer-Tip-Emp'!B:E,4,0)</f>
        <v>Bebidas</v>
      </c>
      <c r="N1752" t="str">
        <f>VLOOKUP(D1752,'Jer-Tip-Emp'!B:F,5,0)</f>
        <v>Bebidas</v>
      </c>
      <c r="O1752" t="str">
        <f>VLOOKUP(D1752,'Jer-Tip-Emp'!B:G,6,0)</f>
        <v>Bebidas</v>
      </c>
    </row>
    <row r="1753" spans="1:15" ht="27.5" hidden="1" customHeight="1" x14ac:dyDescent="0.2">
      <c r="A1753">
        <v>2025</v>
      </c>
      <c r="B1753" t="s">
        <v>618</v>
      </c>
      <c r="C1753" t="s">
        <v>609</v>
      </c>
      <c r="D1753" s="19" t="s">
        <v>330</v>
      </c>
      <c r="E1753" s="18" t="s">
        <v>38</v>
      </c>
      <c r="F1753" s="18">
        <v>10</v>
      </c>
      <c r="G1753" s="20">
        <v>49000</v>
      </c>
      <c r="H1753" s="18">
        <v>0</v>
      </c>
      <c r="I1753" s="20">
        <v>12880</v>
      </c>
      <c r="J1753" s="8">
        <f t="shared" si="81"/>
        <v>36120</v>
      </c>
      <c r="K1753" s="10">
        <f t="shared" si="82"/>
        <v>0.7371428571428571</v>
      </c>
      <c r="L1753" s="17">
        <f t="shared" si="83"/>
        <v>0</v>
      </c>
      <c r="M1753" t="str">
        <f>VLOOKUP(D1753,'Jer-Tip-Emp'!B:E,4,0)</f>
        <v>Bebidas</v>
      </c>
      <c r="N1753" t="str">
        <f>VLOOKUP(D1753,'Jer-Tip-Emp'!B:F,5,0)</f>
        <v>Bebidas</v>
      </c>
      <c r="O1753" t="str">
        <f>VLOOKUP(D1753,'Jer-Tip-Emp'!B:G,6,0)</f>
        <v>Bebidas</v>
      </c>
    </row>
    <row r="1754" spans="1:15" ht="27.5" customHeight="1" x14ac:dyDescent="0.2">
      <c r="A1754">
        <v>2025</v>
      </c>
      <c r="B1754" t="s">
        <v>618</v>
      </c>
      <c r="C1754" t="s">
        <v>609</v>
      </c>
      <c r="D1754" s="19" t="s">
        <v>185</v>
      </c>
      <c r="E1754" s="18" t="s">
        <v>137</v>
      </c>
      <c r="F1754" s="18">
        <v>10</v>
      </c>
      <c r="G1754" s="20">
        <v>469000</v>
      </c>
      <c r="H1754" s="18">
        <v>0</v>
      </c>
      <c r="I1754" s="20">
        <v>200530</v>
      </c>
      <c r="J1754" s="8">
        <f t="shared" si="81"/>
        <v>268470</v>
      </c>
      <c r="K1754" s="10">
        <f t="shared" si="82"/>
        <v>0.57243070362473347</v>
      </c>
      <c r="L1754" s="17">
        <f t="shared" si="83"/>
        <v>0</v>
      </c>
      <c r="M1754" t="str">
        <f>VLOOKUP(D1754,'Jer-Tip-Emp'!B:E,4,0)</f>
        <v>Platos mong</v>
      </c>
      <c r="N1754" t="str">
        <f>VLOOKUP(D1754,'Jer-Tip-Emp'!B:F,5,0)</f>
        <v>No Personal</v>
      </c>
      <c r="O1754" t="str">
        <f>VLOOKUP(D1754,'Jer-Tip-Emp'!B:G,6,0)</f>
        <v>Platos Especiales</v>
      </c>
    </row>
    <row r="1755" spans="1:15" ht="27.5" customHeight="1" x14ac:dyDescent="0.2">
      <c r="A1755">
        <v>2025</v>
      </c>
      <c r="B1755" t="s">
        <v>618</v>
      </c>
      <c r="C1755" t="s">
        <v>609</v>
      </c>
      <c r="D1755" s="19" t="s">
        <v>197</v>
      </c>
      <c r="E1755" s="18" t="s">
        <v>31</v>
      </c>
      <c r="F1755" s="18">
        <v>10</v>
      </c>
      <c r="G1755" s="20">
        <v>79000</v>
      </c>
      <c r="H1755" s="18">
        <v>0</v>
      </c>
      <c r="I1755" s="20">
        <v>32120</v>
      </c>
      <c r="J1755" s="8">
        <f t="shared" si="81"/>
        <v>46880</v>
      </c>
      <c r="K1755" s="10">
        <f t="shared" si="82"/>
        <v>0.59341772151898731</v>
      </c>
      <c r="L1755" s="17">
        <f t="shared" si="83"/>
        <v>0</v>
      </c>
      <c r="M1755" t="str">
        <f>VLOOKUP(D1755,'Jer-Tip-Emp'!B:E,4,0)</f>
        <v>Armalo en combo</v>
      </c>
      <c r="N1755" t="str">
        <f>VLOOKUP(D1755,'Jer-Tip-Emp'!B:F,5,0)</f>
        <v>Personal</v>
      </c>
      <c r="O1755" t="str">
        <f>VLOOKUP(D1755,'Jer-Tip-Emp'!B:G,6,0)</f>
        <v>Combo</v>
      </c>
    </row>
    <row r="1756" spans="1:15" ht="27.5" customHeight="1" x14ac:dyDescent="0.2">
      <c r="A1756">
        <v>2025</v>
      </c>
      <c r="B1756" t="s">
        <v>618</v>
      </c>
      <c r="C1756" t="s">
        <v>609</v>
      </c>
      <c r="D1756" s="19" t="s">
        <v>244</v>
      </c>
      <c r="E1756" s="18" t="s">
        <v>113</v>
      </c>
      <c r="F1756" s="18">
        <v>10</v>
      </c>
      <c r="G1756" s="20">
        <v>260100</v>
      </c>
      <c r="H1756" s="20">
        <v>-28900</v>
      </c>
      <c r="I1756" s="20">
        <v>76050</v>
      </c>
      <c r="J1756" s="8">
        <f t="shared" si="81"/>
        <v>184050</v>
      </c>
      <c r="K1756" s="10">
        <f t="shared" si="82"/>
        <v>0.70761245674740481</v>
      </c>
      <c r="L1756" s="17">
        <f t="shared" si="83"/>
        <v>0.1111111111111111</v>
      </c>
      <c r="M1756" t="str">
        <f>VLOOKUP(D1756,'Jer-Tip-Emp'!B:E,4,0)</f>
        <v>Platos especiales</v>
      </c>
      <c r="N1756" t="str">
        <f>VLOOKUP(D1756,'Jer-Tip-Emp'!B:F,5,0)</f>
        <v>Personal</v>
      </c>
      <c r="O1756" t="str">
        <f>VLOOKUP(D1756,'Jer-Tip-Emp'!B:G,6,0)</f>
        <v>Platos especiales</v>
      </c>
    </row>
    <row r="1757" spans="1:15" ht="27.5" hidden="1" customHeight="1" x14ac:dyDescent="0.2">
      <c r="A1757">
        <v>2025</v>
      </c>
      <c r="B1757" t="s">
        <v>618</v>
      </c>
      <c r="C1757" t="s">
        <v>609</v>
      </c>
      <c r="D1757" s="19" t="s">
        <v>403</v>
      </c>
      <c r="E1757" s="18" t="s">
        <v>45</v>
      </c>
      <c r="F1757" s="18">
        <v>10</v>
      </c>
      <c r="G1757" s="20">
        <v>99000</v>
      </c>
      <c r="H1757" s="18">
        <v>0</v>
      </c>
      <c r="I1757" s="20">
        <v>45010</v>
      </c>
      <c r="J1757" s="8">
        <f t="shared" si="81"/>
        <v>53990</v>
      </c>
      <c r="K1757" s="10">
        <f t="shared" si="82"/>
        <v>0.54535353535353537</v>
      </c>
      <c r="L1757" s="17">
        <f t="shared" si="83"/>
        <v>0</v>
      </c>
      <c r="M1757" t="str">
        <f>VLOOKUP(D1757,'Jer-Tip-Emp'!B:E,4,0)</f>
        <v>Bebidas</v>
      </c>
      <c r="N1757" t="str">
        <f>VLOOKUP(D1757,'Jer-Tip-Emp'!B:F,5,0)</f>
        <v>Bebidas</v>
      </c>
      <c r="O1757" t="str">
        <f>VLOOKUP(D1757,'Jer-Tip-Emp'!B:G,6,0)</f>
        <v>Bebidas</v>
      </c>
    </row>
    <row r="1758" spans="1:15" ht="27.5" hidden="1" customHeight="1" x14ac:dyDescent="0.2">
      <c r="A1758">
        <v>2025</v>
      </c>
      <c r="B1758" t="s">
        <v>618</v>
      </c>
      <c r="C1758" t="s">
        <v>609</v>
      </c>
      <c r="D1758" s="19" t="s">
        <v>408</v>
      </c>
      <c r="E1758" s="18" t="s">
        <v>35</v>
      </c>
      <c r="F1758" s="18">
        <v>9</v>
      </c>
      <c r="G1758" s="20">
        <v>31500</v>
      </c>
      <c r="H1758" s="18">
        <v>0</v>
      </c>
      <c r="I1758" s="20">
        <v>7812</v>
      </c>
      <c r="J1758" s="8">
        <f t="shared" si="81"/>
        <v>23688</v>
      </c>
      <c r="K1758" s="10">
        <f t="shared" si="82"/>
        <v>0.752</v>
      </c>
      <c r="L1758" s="17">
        <f t="shared" si="83"/>
        <v>0</v>
      </c>
      <c r="M1758" t="str">
        <f>VLOOKUP(D1758,'Jer-Tip-Emp'!B:E,4,0)</f>
        <v>Bebidas</v>
      </c>
      <c r="N1758" t="str">
        <f>VLOOKUP(D1758,'Jer-Tip-Emp'!B:F,5,0)</f>
        <v>Bebidas</v>
      </c>
      <c r="O1758" t="str">
        <f>VLOOKUP(D1758,'Jer-Tip-Emp'!B:G,6,0)</f>
        <v>Bebidas</v>
      </c>
    </row>
    <row r="1759" spans="1:15" ht="27.5" hidden="1" customHeight="1" x14ac:dyDescent="0.2">
      <c r="A1759">
        <v>2025</v>
      </c>
      <c r="B1759" t="s">
        <v>618</v>
      </c>
      <c r="C1759" t="s">
        <v>609</v>
      </c>
      <c r="D1759" s="19" t="s">
        <v>218</v>
      </c>
      <c r="E1759" s="18" t="s">
        <v>33</v>
      </c>
      <c r="F1759" s="18">
        <v>8</v>
      </c>
      <c r="G1759" s="20">
        <v>63200</v>
      </c>
      <c r="H1759" s="18">
        <v>0</v>
      </c>
      <c r="I1759" s="18">
        <v>0</v>
      </c>
      <c r="J1759" s="8">
        <f t="shared" si="81"/>
        <v>63200</v>
      </c>
      <c r="K1759" s="10">
        <f t="shared" si="82"/>
        <v>1</v>
      </c>
      <c r="L1759" s="17">
        <f t="shared" si="83"/>
        <v>0</v>
      </c>
      <c r="M1759" t="str">
        <f>VLOOKUP(D1759,'Jer-Tip-Emp'!B:E,4,0)</f>
        <v>Adición</v>
      </c>
      <c r="N1759" t="str">
        <f>VLOOKUP(D1759,'Jer-Tip-Emp'!B:F,5,0)</f>
        <v>Adición</v>
      </c>
      <c r="O1759" t="str">
        <f>VLOOKUP(D1759,'Jer-Tip-Emp'!B:G,6,0)</f>
        <v>Adición</v>
      </c>
    </row>
    <row r="1760" spans="1:15" ht="27.5" hidden="1" customHeight="1" x14ac:dyDescent="0.2">
      <c r="A1760">
        <v>2025</v>
      </c>
      <c r="B1760" t="s">
        <v>618</v>
      </c>
      <c r="C1760" t="s">
        <v>609</v>
      </c>
      <c r="D1760" s="19" t="s">
        <v>189</v>
      </c>
      <c r="E1760" s="18" t="s">
        <v>21</v>
      </c>
      <c r="F1760" s="18">
        <v>8</v>
      </c>
      <c r="G1760" s="20">
        <v>52984</v>
      </c>
      <c r="H1760" s="20">
        <v>-2216</v>
      </c>
      <c r="I1760" s="20">
        <v>19712</v>
      </c>
      <c r="J1760" s="8">
        <f t="shared" si="81"/>
        <v>33272</v>
      </c>
      <c r="K1760" s="10">
        <f t="shared" si="82"/>
        <v>0.62796315868941566</v>
      </c>
      <c r="L1760" s="17">
        <f t="shared" si="83"/>
        <v>4.182394685187981E-2</v>
      </c>
      <c r="M1760" t="str">
        <f>VLOOKUP(D1760,'Jer-Tip-Emp'!B:E,4,0)</f>
        <v>Adición</v>
      </c>
      <c r="N1760" t="str">
        <f>VLOOKUP(D1760,'Jer-Tip-Emp'!B:F,5,0)</f>
        <v>Adición</v>
      </c>
      <c r="O1760" t="str">
        <f>VLOOKUP(D1760,'Jer-Tip-Emp'!B:G,6,0)</f>
        <v>Adición</v>
      </c>
    </row>
    <row r="1761" spans="1:15" ht="27.5" hidden="1" customHeight="1" x14ac:dyDescent="0.2">
      <c r="A1761">
        <v>2025</v>
      </c>
      <c r="B1761" t="s">
        <v>618</v>
      </c>
      <c r="C1761" t="s">
        <v>609</v>
      </c>
      <c r="D1761" s="19" t="s">
        <v>350</v>
      </c>
      <c r="E1761" s="18" t="s">
        <v>66</v>
      </c>
      <c r="F1761" s="18">
        <v>7</v>
      </c>
      <c r="G1761" s="20">
        <v>34300</v>
      </c>
      <c r="H1761" s="18">
        <v>0</v>
      </c>
      <c r="I1761" s="20">
        <v>10920</v>
      </c>
      <c r="J1761" s="8">
        <f t="shared" si="81"/>
        <v>23380</v>
      </c>
      <c r="K1761" s="10">
        <f t="shared" si="82"/>
        <v>0.68163265306122445</v>
      </c>
      <c r="L1761" s="17">
        <f t="shared" si="83"/>
        <v>0</v>
      </c>
      <c r="M1761" t="str">
        <f>VLOOKUP(D1761,'Jer-Tip-Emp'!B:E,4,0)</f>
        <v>Bebidas</v>
      </c>
      <c r="N1761" t="str">
        <f>VLOOKUP(D1761,'Jer-Tip-Emp'!B:F,5,0)</f>
        <v>Bebidas</v>
      </c>
      <c r="O1761" t="str">
        <f>VLOOKUP(D1761,'Jer-Tip-Emp'!B:G,6,0)</f>
        <v>Bebidas</v>
      </c>
    </row>
    <row r="1762" spans="1:15" ht="27.5" hidden="1" customHeight="1" x14ac:dyDescent="0.2">
      <c r="A1762">
        <v>2025</v>
      </c>
      <c r="B1762" t="s">
        <v>618</v>
      </c>
      <c r="C1762" t="s">
        <v>609</v>
      </c>
      <c r="D1762" s="19" t="s">
        <v>314</v>
      </c>
      <c r="E1762" s="18" t="s">
        <v>67</v>
      </c>
      <c r="F1762" s="18">
        <v>7</v>
      </c>
      <c r="G1762" s="20">
        <v>34300</v>
      </c>
      <c r="H1762" s="18">
        <v>0</v>
      </c>
      <c r="I1762" s="20">
        <v>9310</v>
      </c>
      <c r="J1762" s="8">
        <f t="shared" si="81"/>
        <v>24990</v>
      </c>
      <c r="K1762" s="10">
        <f t="shared" si="82"/>
        <v>0.72857142857142854</v>
      </c>
      <c r="L1762" s="17">
        <f t="shared" si="83"/>
        <v>0</v>
      </c>
      <c r="M1762" t="str">
        <f>VLOOKUP(D1762,'Jer-Tip-Emp'!B:E,4,0)</f>
        <v>Bebidas</v>
      </c>
      <c r="N1762" t="str">
        <f>VLOOKUP(D1762,'Jer-Tip-Emp'!B:F,5,0)</f>
        <v>Bebidas</v>
      </c>
      <c r="O1762" t="str">
        <f>VLOOKUP(D1762,'Jer-Tip-Emp'!B:G,6,0)</f>
        <v>Bebidas</v>
      </c>
    </row>
    <row r="1763" spans="1:15" ht="27.5" hidden="1" customHeight="1" x14ac:dyDescent="0.2">
      <c r="A1763">
        <v>2025</v>
      </c>
      <c r="B1763" t="s">
        <v>618</v>
      </c>
      <c r="C1763" t="s">
        <v>609</v>
      </c>
      <c r="D1763" s="19" t="s">
        <v>410</v>
      </c>
      <c r="E1763" s="18" t="s">
        <v>559</v>
      </c>
      <c r="F1763" s="18">
        <v>7</v>
      </c>
      <c r="G1763" s="20">
        <v>16100</v>
      </c>
      <c r="H1763" s="18">
        <v>0</v>
      </c>
      <c r="I1763" s="20">
        <v>15645</v>
      </c>
      <c r="J1763" s="8">
        <f t="shared" si="81"/>
        <v>455</v>
      </c>
      <c r="K1763" s="10">
        <f t="shared" si="82"/>
        <v>2.8260869565217391E-2</v>
      </c>
      <c r="L1763" s="17">
        <f t="shared" si="83"/>
        <v>0</v>
      </c>
      <c r="M1763" t="str">
        <f>VLOOKUP(D1763,'Jer-Tip-Emp'!B:E,4,0)</f>
        <v>Bebidas</v>
      </c>
      <c r="N1763" t="str">
        <f>VLOOKUP(D1763,'Jer-Tip-Emp'!B:F,5,0)</f>
        <v>Bebidas Cambio de bebida</v>
      </c>
      <c r="O1763" t="str">
        <f>VLOOKUP(D1763,'Jer-Tip-Emp'!B:G,6,0)</f>
        <v>Bebidas</v>
      </c>
    </row>
    <row r="1764" spans="1:15" ht="27.5" customHeight="1" x14ac:dyDescent="0.2">
      <c r="A1764">
        <v>2025</v>
      </c>
      <c r="B1764" t="s">
        <v>618</v>
      </c>
      <c r="C1764" t="s">
        <v>609</v>
      </c>
      <c r="D1764" s="19" t="s">
        <v>252</v>
      </c>
      <c r="E1764" s="18" t="s">
        <v>100</v>
      </c>
      <c r="F1764" s="18">
        <v>6</v>
      </c>
      <c r="G1764" s="20">
        <v>401400</v>
      </c>
      <c r="H1764" s="18">
        <v>0</v>
      </c>
      <c r="I1764" s="20">
        <v>194106</v>
      </c>
      <c r="J1764" s="8">
        <f t="shared" si="81"/>
        <v>207294</v>
      </c>
      <c r="K1764" s="10">
        <f t="shared" si="82"/>
        <v>0.51642750373692081</v>
      </c>
      <c r="L1764" s="17">
        <f t="shared" si="83"/>
        <v>0</v>
      </c>
      <c r="M1764" t="str">
        <f>VLOOKUP(D1764,'Jer-Tip-Emp'!B:E,4,0)</f>
        <v>Platos mong</v>
      </c>
      <c r="N1764" t="str">
        <f>VLOOKUP(D1764,'Jer-Tip-Emp'!B:F,5,0)</f>
        <v>No Personal</v>
      </c>
      <c r="O1764" t="str">
        <f>VLOOKUP(D1764,'Jer-Tip-Emp'!B:G,6,0)</f>
        <v>Caja</v>
      </c>
    </row>
    <row r="1765" spans="1:15" ht="27.5" customHeight="1" x14ac:dyDescent="0.2">
      <c r="A1765">
        <v>2025</v>
      </c>
      <c r="B1765" t="s">
        <v>618</v>
      </c>
      <c r="C1765" t="s">
        <v>609</v>
      </c>
      <c r="D1765" s="19" t="s">
        <v>180</v>
      </c>
      <c r="E1765" s="18" t="s">
        <v>128</v>
      </c>
      <c r="F1765" s="18">
        <v>6</v>
      </c>
      <c r="G1765" s="20">
        <v>125400</v>
      </c>
      <c r="H1765" s="18">
        <v>0</v>
      </c>
      <c r="I1765" s="20">
        <v>41028</v>
      </c>
      <c r="J1765" s="8">
        <f t="shared" si="81"/>
        <v>84372</v>
      </c>
      <c r="K1765" s="10">
        <f t="shared" si="82"/>
        <v>0.67282296650717699</v>
      </c>
      <c r="L1765" s="17">
        <f t="shared" si="83"/>
        <v>0</v>
      </c>
      <c r="M1765" t="str">
        <f>VLOOKUP(D1765,'Jer-Tip-Emp'!B:E,4,0)</f>
        <v>Platos mong</v>
      </c>
      <c r="N1765" t="str">
        <f>VLOOKUP(D1765,'Jer-Tip-Emp'!B:F,5,0)</f>
        <v>Personal</v>
      </c>
      <c r="O1765" t="str">
        <f>VLOOKUP(D1765,'Jer-Tip-Emp'!B:G,6,0)</f>
        <v>Caja</v>
      </c>
    </row>
    <row r="1766" spans="1:15" ht="27.5" customHeight="1" x14ac:dyDescent="0.2">
      <c r="A1766">
        <v>2025</v>
      </c>
      <c r="B1766" t="s">
        <v>618</v>
      </c>
      <c r="C1766" t="s">
        <v>609</v>
      </c>
      <c r="D1766" s="19" t="s">
        <v>232</v>
      </c>
      <c r="E1766" s="18" t="s">
        <v>94</v>
      </c>
      <c r="F1766" s="18">
        <v>6</v>
      </c>
      <c r="G1766" s="20">
        <v>137400</v>
      </c>
      <c r="H1766" s="18">
        <v>0</v>
      </c>
      <c r="I1766" s="20">
        <v>56424</v>
      </c>
      <c r="J1766" s="8">
        <f t="shared" si="81"/>
        <v>80976</v>
      </c>
      <c r="K1766" s="10">
        <f t="shared" si="82"/>
        <v>0.58934497816593889</v>
      </c>
      <c r="L1766" s="17">
        <f t="shared" si="83"/>
        <v>0</v>
      </c>
      <c r="M1766" t="str">
        <f>VLOOKUP(D1766,'Jer-Tip-Emp'!B:E,4,0)</f>
        <v>Platos mong</v>
      </c>
      <c r="N1766" t="str">
        <f>VLOOKUP(D1766,'Jer-Tip-Emp'!B:F,5,0)</f>
        <v>Personal</v>
      </c>
      <c r="O1766" t="str">
        <f>VLOOKUP(D1766,'Jer-Tip-Emp'!B:G,6,0)</f>
        <v>Caja</v>
      </c>
    </row>
    <row r="1767" spans="1:15" ht="27.5" customHeight="1" x14ac:dyDescent="0.2">
      <c r="A1767">
        <v>2025</v>
      </c>
      <c r="B1767" t="s">
        <v>618</v>
      </c>
      <c r="C1767" t="s">
        <v>609</v>
      </c>
      <c r="D1767" s="19" t="s">
        <v>298</v>
      </c>
      <c r="E1767" s="18" t="s">
        <v>153</v>
      </c>
      <c r="F1767" s="18">
        <v>6</v>
      </c>
      <c r="G1767" s="20">
        <v>125400</v>
      </c>
      <c r="H1767" s="18">
        <v>0</v>
      </c>
      <c r="I1767" s="20">
        <v>51126</v>
      </c>
      <c r="J1767" s="8">
        <f t="shared" si="81"/>
        <v>74274</v>
      </c>
      <c r="K1767" s="10">
        <f t="shared" si="82"/>
        <v>0.59229665071770332</v>
      </c>
      <c r="L1767" s="17">
        <f t="shared" si="83"/>
        <v>0</v>
      </c>
      <c r="M1767" t="str">
        <f>VLOOKUP(D1767,'Jer-Tip-Emp'!B:E,4,0)</f>
        <v>Platos mong</v>
      </c>
      <c r="N1767" t="str">
        <f>VLOOKUP(D1767,'Jer-Tip-Emp'!B:F,5,0)</f>
        <v>Personal</v>
      </c>
      <c r="O1767" t="str">
        <f>VLOOKUP(D1767,'Jer-Tip-Emp'!B:G,6,0)</f>
        <v>Caja</v>
      </c>
    </row>
    <row r="1768" spans="1:15" ht="27.5" customHeight="1" x14ac:dyDescent="0.2">
      <c r="A1768">
        <v>2025</v>
      </c>
      <c r="B1768" t="s">
        <v>618</v>
      </c>
      <c r="C1768" t="s">
        <v>609</v>
      </c>
      <c r="D1768" s="19" t="s">
        <v>290</v>
      </c>
      <c r="E1768" s="18" t="s">
        <v>86</v>
      </c>
      <c r="F1768" s="18">
        <v>6</v>
      </c>
      <c r="G1768" s="20">
        <v>581400</v>
      </c>
      <c r="H1768" s="18">
        <v>0</v>
      </c>
      <c r="I1768" s="20">
        <v>280680</v>
      </c>
      <c r="J1768" s="8">
        <f t="shared" si="81"/>
        <v>300720</v>
      </c>
      <c r="K1768" s="10">
        <f t="shared" si="82"/>
        <v>0.51723426212590295</v>
      </c>
      <c r="L1768" s="17">
        <f t="shared" si="83"/>
        <v>0</v>
      </c>
      <c r="M1768" t="str">
        <f>VLOOKUP(D1768,'Jer-Tip-Emp'!B:E,4,0)</f>
        <v>Combos para compartir</v>
      </c>
      <c r="N1768" t="str">
        <f>VLOOKUP(D1768,'Jer-Tip-Emp'!B:F,5,0)</f>
        <v>No Personal</v>
      </c>
      <c r="O1768" t="str">
        <f>VLOOKUP(D1768,'Jer-Tip-Emp'!B:G,6,0)</f>
        <v>Combo</v>
      </c>
    </row>
    <row r="1769" spans="1:15" ht="27.5" customHeight="1" x14ac:dyDescent="0.2">
      <c r="A1769">
        <v>2025</v>
      </c>
      <c r="B1769" t="s">
        <v>618</v>
      </c>
      <c r="C1769" t="s">
        <v>609</v>
      </c>
      <c r="D1769" s="19" t="s">
        <v>299</v>
      </c>
      <c r="E1769" s="18" t="s">
        <v>129</v>
      </c>
      <c r="F1769" s="18">
        <v>5</v>
      </c>
      <c r="G1769" s="20">
        <v>234500</v>
      </c>
      <c r="H1769" s="18">
        <v>0</v>
      </c>
      <c r="I1769" s="20">
        <v>56660</v>
      </c>
      <c r="J1769" s="8">
        <f t="shared" si="81"/>
        <v>177840</v>
      </c>
      <c r="K1769" s="10">
        <f t="shared" si="82"/>
        <v>0.7583795309168444</v>
      </c>
      <c r="L1769" s="17">
        <f t="shared" si="83"/>
        <v>0</v>
      </c>
      <c r="M1769" t="str">
        <f>VLOOKUP(D1769,'Jer-Tip-Emp'!B:E,4,0)</f>
        <v>Platos mong</v>
      </c>
      <c r="N1769" t="str">
        <f>VLOOKUP(D1769,'Jer-Tip-Emp'!B:F,5,0)</f>
        <v>No Personal</v>
      </c>
      <c r="O1769" t="str">
        <f>VLOOKUP(D1769,'Jer-Tip-Emp'!B:G,6,0)</f>
        <v>Caja</v>
      </c>
    </row>
    <row r="1770" spans="1:15" ht="27.5" customHeight="1" x14ac:dyDescent="0.2">
      <c r="A1770">
        <v>2025</v>
      </c>
      <c r="B1770" t="s">
        <v>618</v>
      </c>
      <c r="C1770" t="s">
        <v>609</v>
      </c>
      <c r="D1770" s="19" t="s">
        <v>235</v>
      </c>
      <c r="E1770" s="18" t="s">
        <v>147</v>
      </c>
      <c r="F1770" s="18">
        <v>5</v>
      </c>
      <c r="G1770" s="20">
        <v>294500</v>
      </c>
      <c r="H1770" s="18">
        <v>0</v>
      </c>
      <c r="I1770" s="20">
        <v>94090</v>
      </c>
      <c r="J1770" s="8">
        <f t="shared" si="81"/>
        <v>200410</v>
      </c>
      <c r="K1770" s="10">
        <f t="shared" si="82"/>
        <v>0.68050933786078094</v>
      </c>
      <c r="L1770" s="17">
        <f t="shared" si="83"/>
        <v>0</v>
      </c>
      <c r="M1770" t="str">
        <f>VLOOKUP(D1770,'Jer-Tip-Emp'!B:E,4,0)</f>
        <v>Platos mong</v>
      </c>
      <c r="N1770" t="str">
        <f>VLOOKUP(D1770,'Jer-Tip-Emp'!B:F,5,0)</f>
        <v>No Personal</v>
      </c>
      <c r="O1770" t="str">
        <f>VLOOKUP(D1770,'Jer-Tip-Emp'!B:G,6,0)</f>
        <v>Caja</v>
      </c>
    </row>
    <row r="1771" spans="1:15" ht="27.5" customHeight="1" x14ac:dyDescent="0.2">
      <c r="A1771">
        <v>2025</v>
      </c>
      <c r="B1771" t="s">
        <v>618</v>
      </c>
      <c r="C1771" t="s">
        <v>609</v>
      </c>
      <c r="D1771" s="19" t="s">
        <v>261</v>
      </c>
      <c r="E1771" s="18" t="s">
        <v>135</v>
      </c>
      <c r="F1771" s="18">
        <v>5</v>
      </c>
      <c r="G1771" s="20">
        <v>89500</v>
      </c>
      <c r="H1771" s="18">
        <v>0</v>
      </c>
      <c r="I1771" s="20">
        <v>27330</v>
      </c>
      <c r="J1771" s="8">
        <f t="shared" si="81"/>
        <v>62170</v>
      </c>
      <c r="K1771" s="10">
        <f t="shared" si="82"/>
        <v>0.69463687150837994</v>
      </c>
      <c r="L1771" s="17">
        <f t="shared" si="83"/>
        <v>0</v>
      </c>
      <c r="M1771" t="str">
        <f>VLOOKUP(D1771,'Jer-Tip-Emp'!B:E,4,0)</f>
        <v>Platos mong</v>
      </c>
      <c r="N1771" t="str">
        <f>VLOOKUP(D1771,'Jer-Tip-Emp'!B:F,5,0)</f>
        <v>Personal</v>
      </c>
      <c r="O1771" t="str">
        <f>VLOOKUP(D1771,'Jer-Tip-Emp'!B:G,6,0)</f>
        <v>Caja</v>
      </c>
    </row>
    <row r="1772" spans="1:15" ht="27.5" customHeight="1" x14ac:dyDescent="0.2">
      <c r="A1772">
        <v>2025</v>
      </c>
      <c r="B1772" t="s">
        <v>618</v>
      </c>
      <c r="C1772" t="s">
        <v>609</v>
      </c>
      <c r="D1772" s="19" t="s">
        <v>221</v>
      </c>
      <c r="E1772" s="18" t="s">
        <v>27</v>
      </c>
      <c r="F1772" s="18">
        <v>4</v>
      </c>
      <c r="G1772" s="20">
        <v>31600</v>
      </c>
      <c r="H1772" s="18">
        <v>0</v>
      </c>
      <c r="I1772" s="18">
        <v>0</v>
      </c>
      <c r="J1772" s="8">
        <f t="shared" si="81"/>
        <v>31600</v>
      </c>
      <c r="K1772" s="10">
        <f t="shared" si="82"/>
        <v>1</v>
      </c>
      <c r="L1772" s="17">
        <f t="shared" si="83"/>
        <v>0</v>
      </c>
      <c r="M1772" t="str">
        <f>VLOOKUP(D1772,'Jer-Tip-Emp'!B:E,4,0)</f>
        <v>Armalo en combo</v>
      </c>
      <c r="N1772" t="str">
        <f>VLOOKUP(D1772,'Jer-Tip-Emp'!B:F,5,0)</f>
        <v>Personal</v>
      </c>
      <c r="O1772" t="str">
        <f>VLOOKUP(D1772,'Jer-Tip-Emp'!B:G,6,0)</f>
        <v>Combo</v>
      </c>
    </row>
    <row r="1773" spans="1:15" ht="27.5" hidden="1" customHeight="1" x14ac:dyDescent="0.2">
      <c r="A1773">
        <v>2025</v>
      </c>
      <c r="B1773" t="s">
        <v>618</v>
      </c>
      <c r="C1773" t="s">
        <v>609</v>
      </c>
      <c r="D1773" s="19" t="s">
        <v>411</v>
      </c>
      <c r="E1773" s="18" t="s">
        <v>569</v>
      </c>
      <c r="F1773" s="18">
        <v>4</v>
      </c>
      <c r="G1773" s="20">
        <v>6400</v>
      </c>
      <c r="H1773" s="18">
        <v>0</v>
      </c>
      <c r="I1773" s="20">
        <v>8940</v>
      </c>
      <c r="J1773" s="8">
        <f t="shared" si="81"/>
        <v>-2540</v>
      </c>
      <c r="K1773" s="10">
        <f t="shared" si="82"/>
        <v>-0.39687499999999998</v>
      </c>
      <c r="L1773" s="17">
        <f t="shared" si="83"/>
        <v>0</v>
      </c>
      <c r="M1773" t="str">
        <f>VLOOKUP(D1773,'Jer-Tip-Emp'!B:E,4,0)</f>
        <v>Bebidas</v>
      </c>
      <c r="N1773" t="str">
        <f>VLOOKUP(D1773,'Jer-Tip-Emp'!B:F,5,0)</f>
        <v>Bebidas Cambio de bebida</v>
      </c>
      <c r="O1773" t="str">
        <f>VLOOKUP(D1773,'Jer-Tip-Emp'!B:G,6,0)</f>
        <v>Bebidas</v>
      </c>
    </row>
    <row r="1774" spans="1:15" ht="27.5" hidden="1" customHeight="1" x14ac:dyDescent="0.2">
      <c r="A1774">
        <v>2025</v>
      </c>
      <c r="B1774" t="s">
        <v>618</v>
      </c>
      <c r="C1774" t="s">
        <v>609</v>
      </c>
      <c r="D1774" s="19" t="s">
        <v>445</v>
      </c>
      <c r="E1774" s="18" t="s">
        <v>570</v>
      </c>
      <c r="F1774" s="18">
        <v>4</v>
      </c>
      <c r="G1774" s="20">
        <v>6400</v>
      </c>
      <c r="H1774" s="18">
        <v>0</v>
      </c>
      <c r="I1774" s="20">
        <v>6844</v>
      </c>
      <c r="J1774" s="8">
        <f t="shared" si="81"/>
        <v>-444</v>
      </c>
      <c r="K1774" s="10">
        <f t="shared" si="82"/>
        <v>-6.9375000000000006E-2</v>
      </c>
      <c r="L1774" s="17">
        <f t="shared" si="83"/>
        <v>0</v>
      </c>
      <c r="M1774" t="str">
        <f>VLOOKUP(D1774,'Jer-Tip-Emp'!B:E,4,0)</f>
        <v>Bebidas</v>
      </c>
      <c r="N1774" t="str">
        <f>VLOOKUP(D1774,'Jer-Tip-Emp'!B:F,5,0)</f>
        <v>Bebidas Cambio de bebida</v>
      </c>
      <c r="O1774" t="str">
        <f>VLOOKUP(D1774,'Jer-Tip-Emp'!B:G,6,0)</f>
        <v>Bebidas</v>
      </c>
    </row>
    <row r="1775" spans="1:15" ht="27.5" customHeight="1" x14ac:dyDescent="0.2">
      <c r="A1775">
        <v>2025</v>
      </c>
      <c r="B1775" t="s">
        <v>618</v>
      </c>
      <c r="C1775" t="s">
        <v>609</v>
      </c>
      <c r="D1775" s="19" t="s">
        <v>297</v>
      </c>
      <c r="E1775" s="18" t="s">
        <v>131</v>
      </c>
      <c r="F1775" s="18">
        <v>4</v>
      </c>
      <c r="G1775" s="20">
        <v>75600</v>
      </c>
      <c r="H1775" s="18">
        <v>0</v>
      </c>
      <c r="I1775" s="20">
        <v>21844</v>
      </c>
      <c r="J1775" s="8">
        <f t="shared" si="81"/>
        <v>53756</v>
      </c>
      <c r="K1775" s="10">
        <f t="shared" si="82"/>
        <v>0.71105820105820106</v>
      </c>
      <c r="L1775" s="17">
        <f t="shared" si="83"/>
        <v>0</v>
      </c>
      <c r="M1775" t="str">
        <f>VLOOKUP(D1775,'Jer-Tip-Emp'!B:E,4,0)</f>
        <v>Platos mong</v>
      </c>
      <c r="N1775" t="str">
        <f>VLOOKUP(D1775,'Jer-Tip-Emp'!B:F,5,0)</f>
        <v>Personal</v>
      </c>
      <c r="O1775" t="str">
        <f>VLOOKUP(D1775,'Jer-Tip-Emp'!B:G,6,0)</f>
        <v>Caja</v>
      </c>
    </row>
    <row r="1776" spans="1:15" ht="27.5" hidden="1" customHeight="1" x14ac:dyDescent="0.2">
      <c r="A1776">
        <v>2025</v>
      </c>
      <c r="B1776" t="s">
        <v>618</v>
      </c>
      <c r="C1776" t="s">
        <v>609</v>
      </c>
      <c r="D1776" s="19" t="s">
        <v>402</v>
      </c>
      <c r="E1776" s="18" t="s">
        <v>63</v>
      </c>
      <c r="F1776" s="18">
        <v>4</v>
      </c>
      <c r="G1776" s="20">
        <v>19498</v>
      </c>
      <c r="H1776" s="18">
        <v>-102</v>
      </c>
      <c r="I1776" s="20">
        <v>6240</v>
      </c>
      <c r="J1776" s="8">
        <f t="shared" si="81"/>
        <v>13258</v>
      </c>
      <c r="K1776" s="10">
        <f t="shared" si="82"/>
        <v>0.67996717612062774</v>
      </c>
      <c r="L1776" s="17">
        <f t="shared" si="83"/>
        <v>5.2313057749512771E-3</v>
      </c>
      <c r="M1776" t="str">
        <f>VLOOKUP(D1776,'Jer-Tip-Emp'!B:E,4,0)</f>
        <v>Bebidas</v>
      </c>
      <c r="N1776" t="str">
        <f>VLOOKUP(D1776,'Jer-Tip-Emp'!B:F,5,0)</f>
        <v>Bebidas</v>
      </c>
      <c r="O1776" t="str">
        <f>VLOOKUP(D1776,'Jer-Tip-Emp'!B:G,6,0)</f>
        <v>Bebidas</v>
      </c>
    </row>
    <row r="1777" spans="1:15" ht="27.5" hidden="1" customHeight="1" x14ac:dyDescent="0.2">
      <c r="A1777">
        <v>2025</v>
      </c>
      <c r="B1777" t="s">
        <v>618</v>
      </c>
      <c r="C1777" t="s">
        <v>609</v>
      </c>
      <c r="D1777" s="19" t="s">
        <v>365</v>
      </c>
      <c r="E1777" s="18" t="s">
        <v>558</v>
      </c>
      <c r="F1777" s="18">
        <v>4</v>
      </c>
      <c r="G1777" s="20">
        <v>2000</v>
      </c>
      <c r="H1777" s="18">
        <v>0</v>
      </c>
      <c r="I1777" s="20">
        <v>6276</v>
      </c>
      <c r="J1777" s="8">
        <f t="shared" si="81"/>
        <v>-4276</v>
      </c>
      <c r="K1777" s="10">
        <f t="shared" si="82"/>
        <v>-2.1379999999999999</v>
      </c>
      <c r="L1777" s="17">
        <f t="shared" si="83"/>
        <v>0</v>
      </c>
      <c r="M1777" t="str">
        <f>VLOOKUP(D1777,'Jer-Tip-Emp'!B:E,4,0)</f>
        <v>Adición</v>
      </c>
      <c r="N1777" t="str">
        <f>VLOOKUP(D1777,'Jer-Tip-Emp'!B:F,5,0)</f>
        <v>Otro</v>
      </c>
      <c r="O1777" t="str">
        <f>VLOOKUP(D1777,'Jer-Tip-Emp'!B:G,6,0)</f>
        <v>Otro</v>
      </c>
    </row>
    <row r="1778" spans="1:15" ht="27.5" hidden="1" customHeight="1" x14ac:dyDescent="0.2">
      <c r="A1778">
        <v>2025</v>
      </c>
      <c r="B1778" t="s">
        <v>618</v>
      </c>
      <c r="C1778" t="s">
        <v>609</v>
      </c>
      <c r="D1778" s="19" t="s">
        <v>369</v>
      </c>
      <c r="E1778" s="18" t="s">
        <v>68</v>
      </c>
      <c r="F1778" s="18">
        <v>3</v>
      </c>
      <c r="G1778" s="20">
        <v>14700</v>
      </c>
      <c r="H1778" s="18">
        <v>0</v>
      </c>
      <c r="I1778" s="20">
        <v>3990</v>
      </c>
      <c r="J1778" s="8">
        <f t="shared" si="81"/>
        <v>10710</v>
      </c>
      <c r="K1778" s="10">
        <f t="shared" si="82"/>
        <v>0.72857142857142854</v>
      </c>
      <c r="L1778" s="17">
        <f t="shared" si="83"/>
        <v>0</v>
      </c>
      <c r="M1778" t="str">
        <f>VLOOKUP(D1778,'Jer-Tip-Emp'!B:E,4,0)</f>
        <v>Bebidas</v>
      </c>
      <c r="N1778" t="str">
        <f>VLOOKUP(D1778,'Jer-Tip-Emp'!B:F,5,0)</f>
        <v>Bebidas</v>
      </c>
      <c r="O1778" t="str">
        <f>VLOOKUP(D1778,'Jer-Tip-Emp'!B:G,6,0)</f>
        <v>Bebidas</v>
      </c>
    </row>
    <row r="1779" spans="1:15" ht="27.5" customHeight="1" x14ac:dyDescent="0.2">
      <c r="A1779">
        <v>2025</v>
      </c>
      <c r="B1779" t="s">
        <v>618</v>
      </c>
      <c r="C1779" t="s">
        <v>609</v>
      </c>
      <c r="D1779" s="19" t="s">
        <v>202</v>
      </c>
      <c r="E1779" s="18" t="s">
        <v>142</v>
      </c>
      <c r="F1779" s="18">
        <v>3</v>
      </c>
      <c r="G1779" s="20">
        <v>119700</v>
      </c>
      <c r="H1779" s="18">
        <v>0</v>
      </c>
      <c r="I1779" s="20">
        <v>42693</v>
      </c>
      <c r="J1779" s="8">
        <f t="shared" si="81"/>
        <v>77007</v>
      </c>
      <c r="K1779" s="10">
        <f t="shared" si="82"/>
        <v>0.64333333333333331</v>
      </c>
      <c r="L1779" s="17">
        <f t="shared" si="83"/>
        <v>0</v>
      </c>
      <c r="M1779" t="str">
        <f>VLOOKUP(D1779,'Jer-Tip-Emp'!B:E,4,0)</f>
        <v>Platos mong</v>
      </c>
      <c r="N1779" t="str">
        <f>VLOOKUP(D1779,'Jer-Tip-Emp'!B:F,5,0)</f>
        <v>No Personal</v>
      </c>
      <c r="O1779" t="str">
        <f>VLOOKUP(D1779,'Jer-Tip-Emp'!B:G,6,0)</f>
        <v>Caja</v>
      </c>
    </row>
    <row r="1780" spans="1:15" ht="27.5" hidden="1" customHeight="1" x14ac:dyDescent="0.2">
      <c r="A1780">
        <v>2025</v>
      </c>
      <c r="B1780" t="s">
        <v>618</v>
      </c>
      <c r="C1780" t="s">
        <v>609</v>
      </c>
      <c r="D1780" s="19" t="s">
        <v>397</v>
      </c>
      <c r="E1780" s="18" t="s">
        <v>61</v>
      </c>
      <c r="F1780" s="18">
        <v>3</v>
      </c>
      <c r="G1780" s="20">
        <v>14700</v>
      </c>
      <c r="H1780" s="18">
        <v>0</v>
      </c>
      <c r="I1780" s="20">
        <v>5688</v>
      </c>
      <c r="J1780" s="8">
        <f t="shared" si="81"/>
        <v>9012</v>
      </c>
      <c r="K1780" s="10">
        <f t="shared" si="82"/>
        <v>0.61306122448979594</v>
      </c>
      <c r="L1780" s="17">
        <f t="shared" si="83"/>
        <v>0</v>
      </c>
      <c r="M1780" t="str">
        <f>VLOOKUP(D1780,'Jer-Tip-Emp'!B:E,4,0)</f>
        <v>Bebidas</v>
      </c>
      <c r="N1780" t="str">
        <f>VLOOKUP(D1780,'Jer-Tip-Emp'!B:F,5,0)</f>
        <v>Bebidas</v>
      </c>
      <c r="O1780" t="str">
        <f>VLOOKUP(D1780,'Jer-Tip-Emp'!B:G,6,0)</f>
        <v>Bebidas</v>
      </c>
    </row>
    <row r="1781" spans="1:15" ht="27.5" hidden="1" customHeight="1" x14ac:dyDescent="0.2">
      <c r="A1781">
        <v>2025</v>
      </c>
      <c r="B1781" t="s">
        <v>618</v>
      </c>
      <c r="C1781" t="s">
        <v>609</v>
      </c>
      <c r="D1781" s="19" t="s">
        <v>444</v>
      </c>
      <c r="E1781" s="18" t="s">
        <v>562</v>
      </c>
      <c r="F1781" s="18">
        <v>3</v>
      </c>
      <c r="G1781" s="20">
        <v>4800</v>
      </c>
      <c r="H1781" s="18">
        <v>0</v>
      </c>
      <c r="I1781" s="20">
        <v>4830</v>
      </c>
      <c r="J1781" s="8">
        <f t="shared" si="81"/>
        <v>-30</v>
      </c>
      <c r="K1781" s="10">
        <f t="shared" si="82"/>
        <v>-6.2500000000000003E-3</v>
      </c>
      <c r="L1781" s="17">
        <f t="shared" si="83"/>
        <v>0</v>
      </c>
      <c r="M1781" t="str">
        <f>VLOOKUP(D1781,'Jer-Tip-Emp'!B:E,4,0)</f>
        <v>Bebidas</v>
      </c>
      <c r="N1781" t="str">
        <f>VLOOKUP(D1781,'Jer-Tip-Emp'!B:F,5,0)</f>
        <v>Bebidas Cambio de bebida</v>
      </c>
      <c r="O1781" t="str">
        <f>VLOOKUP(D1781,'Jer-Tip-Emp'!B:G,6,0)</f>
        <v>Bebidas</v>
      </c>
    </row>
    <row r="1782" spans="1:15" ht="27.5" customHeight="1" x14ac:dyDescent="0.2">
      <c r="A1782">
        <v>2025</v>
      </c>
      <c r="B1782" t="s">
        <v>618</v>
      </c>
      <c r="C1782" t="s">
        <v>609</v>
      </c>
      <c r="D1782" s="19" t="s">
        <v>225</v>
      </c>
      <c r="E1782" s="18" t="s">
        <v>157</v>
      </c>
      <c r="F1782" s="18">
        <v>3</v>
      </c>
      <c r="G1782" s="20">
        <v>53700</v>
      </c>
      <c r="H1782" s="18">
        <v>0</v>
      </c>
      <c r="I1782" s="20">
        <v>21423</v>
      </c>
      <c r="J1782" s="8">
        <f t="shared" si="81"/>
        <v>32277</v>
      </c>
      <c r="K1782" s="10">
        <f t="shared" si="82"/>
        <v>0.60106145251396648</v>
      </c>
      <c r="L1782" s="17">
        <f t="shared" si="83"/>
        <v>0</v>
      </c>
      <c r="M1782" t="str">
        <f>VLOOKUP(D1782,'Jer-Tip-Emp'!B:E,4,0)</f>
        <v>Platos mong</v>
      </c>
      <c r="N1782" t="str">
        <f>VLOOKUP(D1782,'Jer-Tip-Emp'!B:F,5,0)</f>
        <v>Personal</v>
      </c>
      <c r="O1782" t="str">
        <f>VLOOKUP(D1782,'Jer-Tip-Emp'!B:G,6,0)</f>
        <v>Caja</v>
      </c>
    </row>
    <row r="1783" spans="1:15" ht="27.5" hidden="1" customHeight="1" x14ac:dyDescent="0.2">
      <c r="A1783">
        <v>2025</v>
      </c>
      <c r="B1783" t="s">
        <v>618</v>
      </c>
      <c r="C1783" t="s">
        <v>609</v>
      </c>
      <c r="D1783" s="19" t="s">
        <v>183</v>
      </c>
      <c r="E1783" s="18" t="s">
        <v>104</v>
      </c>
      <c r="F1783" s="18">
        <v>3</v>
      </c>
      <c r="G1783" s="20">
        <v>31571</v>
      </c>
      <c r="H1783" s="20">
        <v>-16129</v>
      </c>
      <c r="I1783" s="20">
        <v>30084</v>
      </c>
      <c r="J1783" s="8">
        <f t="shared" si="81"/>
        <v>1487</v>
      </c>
      <c r="K1783" s="10">
        <f t="shared" si="82"/>
        <v>4.7100186880364894E-2</v>
      </c>
      <c r="L1783" s="17">
        <f t="shared" si="83"/>
        <v>0.51088023819327866</v>
      </c>
      <c r="M1783" t="str">
        <f>VLOOKUP(D1783,'Jer-Tip-Emp'!B:E,4,0)</f>
        <v>Entradas</v>
      </c>
      <c r="N1783" t="str">
        <f>VLOOKUP(D1783,'Jer-Tip-Emp'!B:F,5,0)</f>
        <v>Otro</v>
      </c>
      <c r="O1783" t="str">
        <f>VLOOKUP(D1783,'Jer-Tip-Emp'!B:G,6,0)</f>
        <v>Otro</v>
      </c>
    </row>
    <row r="1784" spans="1:15" ht="27.5" hidden="1" customHeight="1" x14ac:dyDescent="0.2">
      <c r="A1784">
        <v>2025</v>
      </c>
      <c r="B1784" t="s">
        <v>618</v>
      </c>
      <c r="C1784" t="s">
        <v>609</v>
      </c>
      <c r="D1784" s="19" t="s">
        <v>275</v>
      </c>
      <c r="E1784" s="18" t="s">
        <v>16</v>
      </c>
      <c r="F1784" s="18">
        <v>3</v>
      </c>
      <c r="G1784" s="20">
        <v>20700</v>
      </c>
      <c r="H1784" s="18">
        <v>0</v>
      </c>
      <c r="I1784" s="20">
        <v>6735</v>
      </c>
      <c r="J1784" s="8">
        <f t="shared" si="81"/>
        <v>13965</v>
      </c>
      <c r="K1784" s="10">
        <f t="shared" si="82"/>
        <v>0.67463768115942024</v>
      </c>
      <c r="L1784" s="17">
        <f t="shared" si="83"/>
        <v>0</v>
      </c>
      <c r="M1784" t="str">
        <f>VLOOKUP(D1784,'Jer-Tip-Emp'!B:E,4,0)</f>
        <v>Adición</v>
      </c>
      <c r="N1784" t="str">
        <f>VLOOKUP(D1784,'Jer-Tip-Emp'!B:F,5,0)</f>
        <v>Adición</v>
      </c>
      <c r="O1784" t="str">
        <f>VLOOKUP(D1784,'Jer-Tip-Emp'!B:G,6,0)</f>
        <v>Adición</v>
      </c>
    </row>
    <row r="1785" spans="1:15" ht="27.5" hidden="1" customHeight="1" x14ac:dyDescent="0.2">
      <c r="A1785">
        <v>2025</v>
      </c>
      <c r="B1785" t="s">
        <v>618</v>
      </c>
      <c r="C1785" t="s">
        <v>609</v>
      </c>
      <c r="D1785" s="19" t="s">
        <v>409</v>
      </c>
      <c r="E1785" s="18" t="s">
        <v>64</v>
      </c>
      <c r="F1785" s="18">
        <v>3</v>
      </c>
      <c r="G1785" s="20">
        <v>24000</v>
      </c>
      <c r="H1785" s="18">
        <v>0</v>
      </c>
      <c r="I1785" s="18">
        <v>0</v>
      </c>
      <c r="J1785" s="8">
        <f t="shared" si="81"/>
        <v>24000</v>
      </c>
      <c r="K1785" s="10">
        <f t="shared" si="82"/>
        <v>1</v>
      </c>
      <c r="L1785" s="17">
        <f t="shared" si="83"/>
        <v>0</v>
      </c>
      <c r="M1785" t="str">
        <f>VLOOKUP(D1785,'Jer-Tip-Emp'!B:E,4,0)</f>
        <v>Bebidas</v>
      </c>
      <c r="N1785" t="str">
        <f>VLOOKUP(D1785,'Jer-Tip-Emp'!B:F,5,0)</f>
        <v>Bebidas</v>
      </c>
      <c r="O1785" t="str">
        <f>VLOOKUP(D1785,'Jer-Tip-Emp'!B:G,6,0)</f>
        <v>Bebidas</v>
      </c>
    </row>
    <row r="1786" spans="1:15" ht="27.5" customHeight="1" x14ac:dyDescent="0.2">
      <c r="A1786">
        <v>2025</v>
      </c>
      <c r="B1786" t="s">
        <v>618</v>
      </c>
      <c r="C1786" t="s">
        <v>609</v>
      </c>
      <c r="D1786" s="19" t="s">
        <v>278</v>
      </c>
      <c r="E1786" s="18" t="s">
        <v>84</v>
      </c>
      <c r="F1786" s="18">
        <v>2</v>
      </c>
      <c r="G1786" s="20">
        <v>41800</v>
      </c>
      <c r="H1786" s="18">
        <v>0</v>
      </c>
      <c r="I1786" s="20">
        <v>15946</v>
      </c>
      <c r="J1786" s="8">
        <f t="shared" si="81"/>
        <v>25854</v>
      </c>
      <c r="K1786" s="10">
        <f t="shared" si="82"/>
        <v>0.61851674641148324</v>
      </c>
      <c r="L1786" s="17">
        <f t="shared" si="83"/>
        <v>0</v>
      </c>
      <c r="M1786" t="str">
        <f>VLOOKUP(D1786,'Jer-Tip-Emp'!B:E,4,0)</f>
        <v>Combos para compartir</v>
      </c>
      <c r="N1786" t="str">
        <f>VLOOKUP(D1786,'Jer-Tip-Emp'!B:F,5,0)</f>
        <v>No Personal</v>
      </c>
      <c r="O1786" t="str">
        <f>VLOOKUP(D1786,'Jer-Tip-Emp'!B:G,6,0)</f>
        <v>Combo</v>
      </c>
    </row>
    <row r="1787" spans="1:15" ht="27.5" customHeight="1" x14ac:dyDescent="0.2">
      <c r="A1787">
        <v>2025</v>
      </c>
      <c r="B1787" t="s">
        <v>618</v>
      </c>
      <c r="C1787" t="s">
        <v>609</v>
      </c>
      <c r="D1787" s="19" t="s">
        <v>199</v>
      </c>
      <c r="E1787" s="18" t="s">
        <v>115</v>
      </c>
      <c r="F1787" s="18">
        <v>2</v>
      </c>
      <c r="G1787" s="20">
        <v>23800</v>
      </c>
      <c r="H1787" s="18">
        <v>0</v>
      </c>
      <c r="I1787" s="18">
        <v>0</v>
      </c>
      <c r="J1787" s="8">
        <f t="shared" si="81"/>
        <v>23800</v>
      </c>
      <c r="K1787" s="10">
        <f t="shared" si="82"/>
        <v>1</v>
      </c>
      <c r="L1787" s="17">
        <f t="shared" si="83"/>
        <v>0</v>
      </c>
      <c r="M1787" t="str">
        <f>VLOOKUP(D1787,'Jer-Tip-Emp'!B:E,4,0)</f>
        <v>Platos especiales</v>
      </c>
      <c r="N1787" t="str">
        <f>VLOOKUP(D1787,'Jer-Tip-Emp'!B:F,5,0)</f>
        <v>Personal</v>
      </c>
      <c r="O1787" t="str">
        <f>VLOOKUP(D1787,'Jer-Tip-Emp'!B:G,6,0)</f>
        <v>Platos especiales</v>
      </c>
    </row>
    <row r="1788" spans="1:15" ht="27.5" hidden="1" customHeight="1" x14ac:dyDescent="0.2">
      <c r="A1788">
        <v>2025</v>
      </c>
      <c r="B1788" t="s">
        <v>618</v>
      </c>
      <c r="C1788" t="s">
        <v>609</v>
      </c>
      <c r="D1788" s="19" t="s">
        <v>254</v>
      </c>
      <c r="E1788" s="18" t="s">
        <v>20</v>
      </c>
      <c r="F1788" s="18">
        <v>2</v>
      </c>
      <c r="G1788" s="20">
        <v>9800</v>
      </c>
      <c r="H1788" s="18">
        <v>0</v>
      </c>
      <c r="I1788" s="20">
        <v>6020</v>
      </c>
      <c r="J1788" s="8">
        <f t="shared" si="81"/>
        <v>3780</v>
      </c>
      <c r="K1788" s="10">
        <f t="shared" si="82"/>
        <v>0.38571428571428573</v>
      </c>
      <c r="L1788" s="17">
        <f t="shared" si="83"/>
        <v>0</v>
      </c>
      <c r="M1788" t="str">
        <f>VLOOKUP(D1788,'Jer-Tip-Emp'!B:E,4,0)</f>
        <v>Adición</v>
      </c>
      <c r="N1788" t="str">
        <f>VLOOKUP(D1788,'Jer-Tip-Emp'!B:F,5,0)</f>
        <v>Adición</v>
      </c>
      <c r="O1788" t="str">
        <f>VLOOKUP(D1788,'Jer-Tip-Emp'!B:G,6,0)</f>
        <v>Adición</v>
      </c>
    </row>
    <row r="1789" spans="1:15" ht="27.5" hidden="1" customHeight="1" x14ac:dyDescent="0.2">
      <c r="A1789">
        <v>2025</v>
      </c>
      <c r="B1789" t="s">
        <v>618</v>
      </c>
      <c r="C1789" t="s">
        <v>609</v>
      </c>
      <c r="D1789" s="19" t="s">
        <v>426</v>
      </c>
      <c r="E1789" s="18" t="s">
        <v>561</v>
      </c>
      <c r="F1789" s="18">
        <v>2</v>
      </c>
      <c r="G1789" s="20">
        <v>3200</v>
      </c>
      <c r="H1789" s="18">
        <v>0</v>
      </c>
      <c r="I1789" s="20">
        <v>3032</v>
      </c>
      <c r="J1789" s="8">
        <f t="shared" si="81"/>
        <v>168</v>
      </c>
      <c r="K1789" s="10">
        <f t="shared" si="82"/>
        <v>5.2499999999999998E-2</v>
      </c>
      <c r="L1789" s="17">
        <f t="shared" si="83"/>
        <v>0</v>
      </c>
      <c r="M1789" t="str">
        <f>VLOOKUP(D1789,'Jer-Tip-Emp'!B:E,4,0)</f>
        <v>Bebidas</v>
      </c>
      <c r="N1789" t="str">
        <f>VLOOKUP(D1789,'Jer-Tip-Emp'!B:F,5,0)</f>
        <v>Bebidas Cambio de bebida</v>
      </c>
      <c r="O1789" t="str">
        <f>VLOOKUP(D1789,'Jer-Tip-Emp'!B:G,6,0)</f>
        <v>Bebidas</v>
      </c>
    </row>
    <row r="1790" spans="1:15" ht="27.5" hidden="1" customHeight="1" x14ac:dyDescent="0.2">
      <c r="A1790">
        <v>2025</v>
      </c>
      <c r="B1790" t="s">
        <v>618</v>
      </c>
      <c r="C1790" t="s">
        <v>609</v>
      </c>
      <c r="D1790" s="19" t="s">
        <v>496</v>
      </c>
      <c r="E1790" s="18" t="s">
        <v>581</v>
      </c>
      <c r="F1790" s="18">
        <v>2</v>
      </c>
      <c r="G1790" s="20">
        <v>3200</v>
      </c>
      <c r="H1790" s="18">
        <v>0</v>
      </c>
      <c r="I1790" s="20">
        <v>3792</v>
      </c>
      <c r="J1790" s="8">
        <f t="shared" si="81"/>
        <v>-592</v>
      </c>
      <c r="K1790" s="10">
        <f t="shared" si="82"/>
        <v>-0.185</v>
      </c>
      <c r="L1790" s="17">
        <f t="shared" si="83"/>
        <v>0</v>
      </c>
      <c r="M1790" t="str">
        <f>VLOOKUP(D1790,'Jer-Tip-Emp'!B:E,4,0)</f>
        <v>Bebidas</v>
      </c>
      <c r="N1790" t="str">
        <f>VLOOKUP(D1790,'Jer-Tip-Emp'!B:F,5,0)</f>
        <v>Bebidas Cambio de bebida</v>
      </c>
      <c r="O1790" t="str">
        <f>VLOOKUP(D1790,'Jer-Tip-Emp'!B:G,6,0)</f>
        <v>Bebidas</v>
      </c>
    </row>
    <row r="1791" spans="1:15" ht="27.5" hidden="1" customHeight="1" x14ac:dyDescent="0.2">
      <c r="A1791">
        <v>2025</v>
      </c>
      <c r="B1791" t="s">
        <v>618</v>
      </c>
      <c r="C1791" t="s">
        <v>609</v>
      </c>
      <c r="D1791" s="19" t="s">
        <v>296</v>
      </c>
      <c r="E1791" s="18" t="s">
        <v>22</v>
      </c>
      <c r="F1791" s="18">
        <v>2</v>
      </c>
      <c r="G1791" s="20">
        <v>13800</v>
      </c>
      <c r="H1791" s="18">
        <v>0</v>
      </c>
      <c r="I1791" s="20">
        <v>1378</v>
      </c>
      <c r="J1791" s="8">
        <f t="shared" si="81"/>
        <v>12422</v>
      </c>
      <c r="K1791" s="10">
        <f t="shared" si="82"/>
        <v>0.90014492753623188</v>
      </c>
      <c r="L1791" s="17">
        <f t="shared" si="83"/>
        <v>0</v>
      </c>
      <c r="M1791" t="str">
        <f>VLOOKUP(D1791,'Jer-Tip-Emp'!B:E,4,0)</f>
        <v>Adición</v>
      </c>
      <c r="N1791" t="str">
        <f>VLOOKUP(D1791,'Jer-Tip-Emp'!B:F,5,0)</f>
        <v>Adición</v>
      </c>
      <c r="O1791" t="str">
        <f>VLOOKUP(D1791,'Jer-Tip-Emp'!B:G,6,0)</f>
        <v>Adición</v>
      </c>
    </row>
    <row r="1792" spans="1:15" ht="27.5" customHeight="1" x14ac:dyDescent="0.2">
      <c r="A1792">
        <v>2025</v>
      </c>
      <c r="B1792" t="s">
        <v>618</v>
      </c>
      <c r="C1792" t="s">
        <v>609</v>
      </c>
      <c r="D1792" s="19" t="s">
        <v>204</v>
      </c>
      <c r="E1792" s="18" t="s">
        <v>154</v>
      </c>
      <c r="F1792" s="18">
        <v>2</v>
      </c>
      <c r="G1792" s="20">
        <v>91800</v>
      </c>
      <c r="H1792" s="18">
        <v>0</v>
      </c>
      <c r="I1792" s="20">
        <v>38882</v>
      </c>
      <c r="J1792" s="8">
        <f t="shared" si="81"/>
        <v>52918</v>
      </c>
      <c r="K1792" s="10">
        <f t="shared" si="82"/>
        <v>0.57644880174291935</v>
      </c>
      <c r="L1792" s="17">
        <f t="shared" si="83"/>
        <v>0</v>
      </c>
      <c r="M1792" t="str">
        <f>VLOOKUP(D1792,'Jer-Tip-Emp'!B:E,4,0)</f>
        <v>Platos mong</v>
      </c>
      <c r="N1792" t="str">
        <f>VLOOKUP(D1792,'Jer-Tip-Emp'!B:F,5,0)</f>
        <v>No Personal</v>
      </c>
      <c r="O1792" t="str">
        <f>VLOOKUP(D1792,'Jer-Tip-Emp'!B:G,6,0)</f>
        <v>Caja</v>
      </c>
    </row>
    <row r="1793" spans="1:15" ht="27.5" customHeight="1" x14ac:dyDescent="0.2">
      <c r="A1793">
        <v>2025</v>
      </c>
      <c r="B1793" t="s">
        <v>618</v>
      </c>
      <c r="C1793" t="s">
        <v>609</v>
      </c>
      <c r="D1793" s="19" t="s">
        <v>216</v>
      </c>
      <c r="E1793" s="18" t="s">
        <v>158</v>
      </c>
      <c r="F1793" s="18">
        <v>2</v>
      </c>
      <c r="G1793" s="20">
        <v>79800</v>
      </c>
      <c r="H1793" s="18">
        <v>0</v>
      </c>
      <c r="I1793" s="20">
        <v>31790</v>
      </c>
      <c r="J1793" s="8">
        <f t="shared" ref="J1793:J1856" si="84">G1793-I1793</f>
        <v>48010</v>
      </c>
      <c r="K1793" s="10">
        <f t="shared" ref="K1793:K1856" si="85">IFERROR(J1793/G1793,0)</f>
        <v>0.60162907268170429</v>
      </c>
      <c r="L1793" s="17">
        <f t="shared" ref="L1793:L1856" si="86">IFERROR((H1793/G1793)*-1,0)</f>
        <v>0</v>
      </c>
      <c r="M1793" t="str">
        <f>VLOOKUP(D1793,'Jer-Tip-Emp'!B:E,4,0)</f>
        <v>Platos mong</v>
      </c>
      <c r="N1793" t="str">
        <f>VLOOKUP(D1793,'Jer-Tip-Emp'!B:F,5,0)</f>
        <v>No Personal</v>
      </c>
      <c r="O1793" t="str">
        <f>VLOOKUP(D1793,'Jer-Tip-Emp'!B:G,6,0)</f>
        <v>Caja</v>
      </c>
    </row>
    <row r="1794" spans="1:15" ht="27.5" customHeight="1" x14ac:dyDescent="0.2">
      <c r="A1794">
        <v>2025</v>
      </c>
      <c r="B1794" t="s">
        <v>618</v>
      </c>
      <c r="C1794" t="s">
        <v>609</v>
      </c>
      <c r="D1794" s="19" t="s">
        <v>200</v>
      </c>
      <c r="E1794" s="18" t="s">
        <v>149</v>
      </c>
      <c r="F1794" s="18">
        <v>2</v>
      </c>
      <c r="G1794" s="20">
        <v>48800</v>
      </c>
      <c r="H1794" s="20">
        <v>-1000</v>
      </c>
      <c r="I1794" s="20">
        <v>20962</v>
      </c>
      <c r="J1794" s="8">
        <f t="shared" si="84"/>
        <v>27838</v>
      </c>
      <c r="K1794" s="10">
        <f t="shared" si="85"/>
        <v>0.57045081967213118</v>
      </c>
      <c r="L1794" s="17">
        <f t="shared" si="86"/>
        <v>2.0491803278688523E-2</v>
      </c>
      <c r="M1794" t="str">
        <f>VLOOKUP(D1794,'Jer-Tip-Emp'!B:E,4,0)</f>
        <v>Platos mong</v>
      </c>
      <c r="N1794" t="str">
        <f>VLOOKUP(D1794,'Jer-Tip-Emp'!B:F,5,0)</f>
        <v>Personal</v>
      </c>
      <c r="O1794" t="str">
        <f>VLOOKUP(D1794,'Jer-Tip-Emp'!B:G,6,0)</f>
        <v>Caja</v>
      </c>
    </row>
    <row r="1795" spans="1:15" ht="27.5" customHeight="1" x14ac:dyDescent="0.2">
      <c r="A1795">
        <v>2025</v>
      </c>
      <c r="B1795" t="s">
        <v>618</v>
      </c>
      <c r="C1795" t="s">
        <v>609</v>
      </c>
      <c r="D1795" s="19" t="s">
        <v>279</v>
      </c>
      <c r="E1795" s="18" t="s">
        <v>132</v>
      </c>
      <c r="F1795" s="18">
        <v>2</v>
      </c>
      <c r="G1795" s="20">
        <v>83800</v>
      </c>
      <c r="H1795" s="18">
        <v>0</v>
      </c>
      <c r="I1795" s="20">
        <v>22434</v>
      </c>
      <c r="J1795" s="8">
        <f t="shared" si="84"/>
        <v>61366</v>
      </c>
      <c r="K1795" s="10">
        <f t="shared" si="85"/>
        <v>0.73229116945107398</v>
      </c>
      <c r="L1795" s="17">
        <f t="shared" si="86"/>
        <v>0</v>
      </c>
      <c r="M1795" t="str">
        <f>VLOOKUP(D1795,'Jer-Tip-Emp'!B:E,4,0)</f>
        <v>Platos mong</v>
      </c>
      <c r="N1795" t="str">
        <f>VLOOKUP(D1795,'Jer-Tip-Emp'!B:F,5,0)</f>
        <v>No Personal</v>
      </c>
      <c r="O1795" t="str">
        <f>VLOOKUP(D1795,'Jer-Tip-Emp'!B:G,6,0)</f>
        <v>Caja</v>
      </c>
    </row>
    <row r="1796" spans="1:15" ht="27.5" customHeight="1" x14ac:dyDescent="0.2">
      <c r="A1796">
        <v>2025</v>
      </c>
      <c r="B1796" t="s">
        <v>618</v>
      </c>
      <c r="C1796" t="s">
        <v>609</v>
      </c>
      <c r="D1796" s="19" t="s">
        <v>293</v>
      </c>
      <c r="E1796" s="18" t="s">
        <v>127</v>
      </c>
      <c r="F1796" s="18">
        <v>2</v>
      </c>
      <c r="G1796" s="20">
        <v>155800</v>
      </c>
      <c r="H1796" s="18">
        <v>0</v>
      </c>
      <c r="I1796" s="20">
        <v>56114</v>
      </c>
      <c r="J1796" s="8">
        <f t="shared" si="84"/>
        <v>99686</v>
      </c>
      <c r="K1796" s="10">
        <f t="shared" si="85"/>
        <v>0.63983311938382537</v>
      </c>
      <c r="L1796" s="17">
        <f t="shared" si="86"/>
        <v>0</v>
      </c>
      <c r="M1796" t="str">
        <f>VLOOKUP(D1796,'Jer-Tip-Emp'!B:E,4,0)</f>
        <v>Platos mong</v>
      </c>
      <c r="N1796" t="str">
        <f>VLOOKUP(D1796,'Jer-Tip-Emp'!B:F,5,0)</f>
        <v>No Personal</v>
      </c>
      <c r="O1796" t="str">
        <f>VLOOKUP(D1796,'Jer-Tip-Emp'!B:G,6,0)</f>
        <v>Caja</v>
      </c>
    </row>
    <row r="1797" spans="1:15" ht="27.5" hidden="1" customHeight="1" x14ac:dyDescent="0.2">
      <c r="A1797">
        <v>2025</v>
      </c>
      <c r="B1797" t="s">
        <v>618</v>
      </c>
      <c r="C1797" t="s">
        <v>609</v>
      </c>
      <c r="D1797" s="19" t="s">
        <v>339</v>
      </c>
      <c r="E1797" s="18" t="s">
        <v>65</v>
      </c>
      <c r="F1797" s="18">
        <v>2</v>
      </c>
      <c r="G1797" s="20">
        <v>9800</v>
      </c>
      <c r="H1797" s="18">
        <v>0</v>
      </c>
      <c r="I1797" s="20">
        <v>3120</v>
      </c>
      <c r="J1797" s="8">
        <f t="shared" si="84"/>
        <v>6680</v>
      </c>
      <c r="K1797" s="10">
        <f t="shared" si="85"/>
        <v>0.68163265306122445</v>
      </c>
      <c r="L1797" s="17">
        <f t="shared" si="86"/>
        <v>0</v>
      </c>
      <c r="M1797" t="str">
        <f>VLOOKUP(D1797,'Jer-Tip-Emp'!B:E,4,0)</f>
        <v>Bebidas</v>
      </c>
      <c r="N1797" t="str">
        <f>VLOOKUP(D1797,'Jer-Tip-Emp'!B:F,5,0)</f>
        <v>Bebidas</v>
      </c>
      <c r="O1797" t="str">
        <f>VLOOKUP(D1797,'Jer-Tip-Emp'!B:G,6,0)</f>
        <v>Bebidas</v>
      </c>
    </row>
    <row r="1798" spans="1:15" ht="27.5" hidden="1" customHeight="1" x14ac:dyDescent="0.2">
      <c r="A1798">
        <v>2025</v>
      </c>
      <c r="B1798" t="s">
        <v>618</v>
      </c>
      <c r="C1798" t="s">
        <v>609</v>
      </c>
      <c r="D1798" s="19" t="s">
        <v>494</v>
      </c>
      <c r="E1798" s="18" t="s">
        <v>568</v>
      </c>
      <c r="F1798" s="18">
        <v>2</v>
      </c>
      <c r="G1798" s="20">
        <v>3200</v>
      </c>
      <c r="H1798" s="18">
        <v>0</v>
      </c>
      <c r="I1798" s="20">
        <v>4278</v>
      </c>
      <c r="J1798" s="8">
        <f t="shared" si="84"/>
        <v>-1078</v>
      </c>
      <c r="K1798" s="10">
        <f t="shared" si="85"/>
        <v>-0.33687499999999998</v>
      </c>
      <c r="L1798" s="17">
        <f t="shared" si="86"/>
        <v>0</v>
      </c>
      <c r="M1798" t="str">
        <f>VLOOKUP(D1798,'Jer-Tip-Emp'!B:E,4,0)</f>
        <v>Bebidas</v>
      </c>
      <c r="N1798" t="str">
        <f>VLOOKUP(D1798,'Jer-Tip-Emp'!B:F,5,0)</f>
        <v>Bebidas Cambio de bebida</v>
      </c>
      <c r="O1798" t="str">
        <f>VLOOKUP(D1798,'Jer-Tip-Emp'!B:G,6,0)</f>
        <v>Bebidas</v>
      </c>
    </row>
    <row r="1799" spans="1:15" ht="27.5" hidden="1" customHeight="1" x14ac:dyDescent="0.2">
      <c r="A1799">
        <v>2025</v>
      </c>
      <c r="B1799" t="s">
        <v>618</v>
      </c>
      <c r="C1799" t="s">
        <v>609</v>
      </c>
      <c r="D1799" s="19" t="s">
        <v>450</v>
      </c>
      <c r="E1799" s="18" t="s">
        <v>565</v>
      </c>
      <c r="F1799" s="18">
        <v>1</v>
      </c>
      <c r="G1799" s="20">
        <v>1600</v>
      </c>
      <c r="H1799" s="18">
        <v>0</v>
      </c>
      <c r="I1799" s="20">
        <v>1874</v>
      </c>
      <c r="J1799" s="8">
        <f t="shared" si="84"/>
        <v>-274</v>
      </c>
      <c r="K1799" s="10">
        <f t="shared" si="85"/>
        <v>-0.17125000000000001</v>
      </c>
      <c r="L1799" s="17">
        <f t="shared" si="86"/>
        <v>0</v>
      </c>
      <c r="M1799" t="str">
        <f>VLOOKUP(D1799,'Jer-Tip-Emp'!B:E,4,0)</f>
        <v>Bebidas</v>
      </c>
      <c r="N1799" t="str">
        <f>VLOOKUP(D1799,'Jer-Tip-Emp'!B:F,5,0)</f>
        <v>Bebidas Cambio de bebida</v>
      </c>
      <c r="O1799" t="str">
        <f>VLOOKUP(D1799,'Jer-Tip-Emp'!B:G,6,0)</f>
        <v>Bebidas</v>
      </c>
    </row>
    <row r="1800" spans="1:15" ht="27.5" customHeight="1" x14ac:dyDescent="0.2">
      <c r="A1800">
        <v>2025</v>
      </c>
      <c r="B1800" t="s">
        <v>618</v>
      </c>
      <c r="C1800" t="s">
        <v>609</v>
      </c>
      <c r="D1800" s="19" t="s">
        <v>286</v>
      </c>
      <c r="E1800" s="18" t="s">
        <v>144</v>
      </c>
      <c r="F1800" s="18">
        <v>1</v>
      </c>
      <c r="G1800" s="20">
        <v>76900</v>
      </c>
      <c r="H1800" s="18">
        <v>0</v>
      </c>
      <c r="I1800" s="20">
        <v>34655</v>
      </c>
      <c r="J1800" s="8">
        <f t="shared" si="84"/>
        <v>42245</v>
      </c>
      <c r="K1800" s="10">
        <f t="shared" si="85"/>
        <v>0.54934980494148244</v>
      </c>
      <c r="L1800" s="17">
        <f t="shared" si="86"/>
        <v>0</v>
      </c>
      <c r="M1800" t="str">
        <f>VLOOKUP(D1800,'Jer-Tip-Emp'!B:E,4,0)</f>
        <v>Platos mong</v>
      </c>
      <c r="N1800" t="str">
        <f>VLOOKUP(D1800,'Jer-Tip-Emp'!B:F,5,0)</f>
        <v>No Personal</v>
      </c>
      <c r="O1800" t="str">
        <f>VLOOKUP(D1800,'Jer-Tip-Emp'!B:G,6,0)</f>
        <v>Caja</v>
      </c>
    </row>
    <row r="1801" spans="1:15" ht="27.5" hidden="1" customHeight="1" x14ac:dyDescent="0.2">
      <c r="A1801">
        <v>2025</v>
      </c>
      <c r="B1801" t="s">
        <v>618</v>
      </c>
      <c r="C1801" t="s">
        <v>609</v>
      </c>
      <c r="D1801" s="19" t="s">
        <v>490</v>
      </c>
      <c r="E1801" s="18" t="s">
        <v>554</v>
      </c>
      <c r="F1801" s="18">
        <v>1</v>
      </c>
      <c r="G1801" s="18">
        <v>0</v>
      </c>
      <c r="H1801" s="18">
        <v>0</v>
      </c>
      <c r="I1801" s="20">
        <v>2049</v>
      </c>
      <c r="J1801" s="8">
        <f t="shared" si="84"/>
        <v>-2049</v>
      </c>
      <c r="K1801" s="10">
        <f t="shared" si="85"/>
        <v>0</v>
      </c>
      <c r="L1801" s="17">
        <f t="shared" si="86"/>
        <v>0</v>
      </c>
      <c r="M1801" t="str">
        <f>VLOOKUP(D1801,'Jer-Tip-Emp'!B:E,4,0)</f>
        <v>Adición</v>
      </c>
      <c r="N1801" t="str">
        <f>VLOOKUP(D1801,'Jer-Tip-Emp'!B:F,5,0)</f>
        <v>Otro</v>
      </c>
      <c r="O1801" t="str">
        <f>VLOOKUP(D1801,'Jer-Tip-Emp'!B:G,6,0)</f>
        <v>Otro</v>
      </c>
    </row>
    <row r="1802" spans="1:15" ht="27.5" hidden="1" customHeight="1" x14ac:dyDescent="0.2">
      <c r="A1802">
        <v>2025</v>
      </c>
      <c r="B1802" t="s">
        <v>618</v>
      </c>
      <c r="C1802" t="s">
        <v>609</v>
      </c>
      <c r="D1802" s="19" t="s">
        <v>209</v>
      </c>
      <c r="E1802" s="18" t="s">
        <v>210</v>
      </c>
      <c r="F1802" s="18">
        <v>1</v>
      </c>
      <c r="G1802" s="20">
        <v>2023000</v>
      </c>
      <c r="H1802" s="18">
        <v>0</v>
      </c>
      <c r="I1802" s="18">
        <v>0</v>
      </c>
      <c r="J1802" s="8">
        <f t="shared" si="84"/>
        <v>2023000</v>
      </c>
      <c r="K1802" s="10">
        <f t="shared" si="85"/>
        <v>1</v>
      </c>
      <c r="L1802" s="17">
        <f t="shared" si="86"/>
        <v>0</v>
      </c>
      <c r="M1802" t="str">
        <f>VLOOKUP(D1802,'Jer-Tip-Emp'!B:E,4,0)</f>
        <v>Otro</v>
      </c>
      <c r="N1802" t="str">
        <f>VLOOKUP(D1802,'Jer-Tip-Emp'!B:F,5,0)</f>
        <v>Otro</v>
      </c>
      <c r="O1802" t="str">
        <f>VLOOKUP(D1802,'Jer-Tip-Emp'!B:G,6,0)</f>
        <v>Otro</v>
      </c>
    </row>
    <row r="1803" spans="1:15" ht="27.5" customHeight="1" x14ac:dyDescent="0.2">
      <c r="A1803">
        <v>2025</v>
      </c>
      <c r="B1803" t="s">
        <v>618</v>
      </c>
      <c r="C1803" t="s">
        <v>609</v>
      </c>
      <c r="D1803" s="19" t="s">
        <v>182</v>
      </c>
      <c r="E1803" s="18" t="s">
        <v>118</v>
      </c>
      <c r="F1803" s="18">
        <v>1</v>
      </c>
      <c r="G1803" s="20">
        <v>26654</v>
      </c>
      <c r="H1803" s="20">
        <v>-1246</v>
      </c>
      <c r="I1803" s="20">
        <v>9478</v>
      </c>
      <c r="J1803" s="8">
        <f t="shared" si="84"/>
        <v>17176</v>
      </c>
      <c r="K1803" s="10">
        <f t="shared" si="85"/>
        <v>0.64440609289412476</v>
      </c>
      <c r="L1803" s="17">
        <f t="shared" si="86"/>
        <v>4.6747204922338109E-2</v>
      </c>
      <c r="M1803" t="str">
        <f>VLOOKUP(D1803,'Jer-Tip-Emp'!B:E,4,0)</f>
        <v>Platos mong</v>
      </c>
      <c r="N1803" t="str">
        <f>VLOOKUP(D1803,'Jer-Tip-Emp'!B:F,5,0)</f>
        <v>Personal</v>
      </c>
      <c r="O1803" t="str">
        <f>VLOOKUP(D1803,'Jer-Tip-Emp'!B:G,6,0)</f>
        <v>Caja</v>
      </c>
    </row>
    <row r="1804" spans="1:15" ht="27.5" customHeight="1" x14ac:dyDescent="0.2">
      <c r="A1804">
        <v>2025</v>
      </c>
      <c r="B1804" t="s">
        <v>618</v>
      </c>
      <c r="C1804" t="s">
        <v>609</v>
      </c>
      <c r="D1804" s="19" t="s">
        <v>198</v>
      </c>
      <c r="E1804" s="18" t="s">
        <v>124</v>
      </c>
      <c r="F1804" s="18">
        <v>1</v>
      </c>
      <c r="G1804" s="20">
        <v>23900</v>
      </c>
      <c r="H1804" s="18">
        <v>0</v>
      </c>
      <c r="I1804" s="20">
        <v>8757</v>
      </c>
      <c r="J1804" s="8">
        <f t="shared" si="84"/>
        <v>15143</v>
      </c>
      <c r="K1804" s="10">
        <f t="shared" si="85"/>
        <v>0.6335983263598326</v>
      </c>
      <c r="L1804" s="17">
        <f t="shared" si="86"/>
        <v>0</v>
      </c>
      <c r="M1804" t="str">
        <f>VLOOKUP(D1804,'Jer-Tip-Emp'!B:E,4,0)</f>
        <v>Platos mong</v>
      </c>
      <c r="N1804" t="str">
        <f>VLOOKUP(D1804,'Jer-Tip-Emp'!B:F,5,0)</f>
        <v>Personal</v>
      </c>
      <c r="O1804" t="str">
        <f>VLOOKUP(D1804,'Jer-Tip-Emp'!B:G,6,0)</f>
        <v>Caja</v>
      </c>
    </row>
    <row r="1805" spans="1:15" ht="27.5" hidden="1" customHeight="1" x14ac:dyDescent="0.2">
      <c r="A1805">
        <v>2025</v>
      </c>
      <c r="B1805" t="s">
        <v>618</v>
      </c>
      <c r="C1805" t="s">
        <v>609</v>
      </c>
      <c r="D1805" s="19" t="s">
        <v>465</v>
      </c>
      <c r="E1805" s="18" t="s">
        <v>578</v>
      </c>
      <c r="F1805" s="18">
        <v>1</v>
      </c>
      <c r="G1805" s="20">
        <v>2300</v>
      </c>
      <c r="H1805" s="18">
        <v>0</v>
      </c>
      <c r="I1805" s="20">
        <v>2239</v>
      </c>
      <c r="J1805" s="8">
        <f t="shared" si="84"/>
        <v>61</v>
      </c>
      <c r="K1805" s="10">
        <f t="shared" si="85"/>
        <v>2.6521739130434784E-2</v>
      </c>
      <c r="L1805" s="17">
        <f t="shared" si="86"/>
        <v>0</v>
      </c>
      <c r="M1805" t="str">
        <f>VLOOKUP(D1805,'Jer-Tip-Emp'!B:E,4,0)</f>
        <v>Bebidas</v>
      </c>
      <c r="N1805" t="str">
        <f>VLOOKUP(D1805,'Jer-Tip-Emp'!B:F,5,0)</f>
        <v>Bebidas Cambio de bebida</v>
      </c>
      <c r="O1805" t="str">
        <f>VLOOKUP(D1805,'Jer-Tip-Emp'!B:G,6,0)</f>
        <v>Bebidas</v>
      </c>
    </row>
    <row r="1806" spans="1:15" ht="27.5" hidden="1" customHeight="1" x14ac:dyDescent="0.2">
      <c r="A1806">
        <v>2025</v>
      </c>
      <c r="B1806" t="s">
        <v>618</v>
      </c>
      <c r="C1806" t="s">
        <v>609</v>
      </c>
      <c r="D1806" s="19" t="s">
        <v>452</v>
      </c>
      <c r="E1806" s="18" t="s">
        <v>573</v>
      </c>
      <c r="F1806" s="18">
        <v>1</v>
      </c>
      <c r="G1806" s="20">
        <v>1600</v>
      </c>
      <c r="H1806" s="18">
        <v>0</v>
      </c>
      <c r="I1806" s="20">
        <v>1874</v>
      </c>
      <c r="J1806" s="8">
        <f t="shared" si="84"/>
        <v>-274</v>
      </c>
      <c r="K1806" s="10">
        <f t="shared" si="85"/>
        <v>-0.17125000000000001</v>
      </c>
      <c r="L1806" s="17">
        <f t="shared" si="86"/>
        <v>0</v>
      </c>
      <c r="M1806" t="str">
        <f>VLOOKUP(D1806,'Jer-Tip-Emp'!B:E,4,0)</f>
        <v>Bebidas</v>
      </c>
      <c r="N1806" t="str">
        <f>VLOOKUP(D1806,'Jer-Tip-Emp'!B:F,5,0)</f>
        <v>Bebidas Cambio de bebida</v>
      </c>
      <c r="O1806" t="str">
        <f>VLOOKUP(D1806,'Jer-Tip-Emp'!B:G,6,0)</f>
        <v>Bebidas</v>
      </c>
    </row>
    <row r="1807" spans="1:15" ht="27.5" customHeight="1" x14ac:dyDescent="0.2">
      <c r="A1807">
        <v>2025</v>
      </c>
      <c r="B1807" t="s">
        <v>618</v>
      </c>
      <c r="C1807" t="s">
        <v>609</v>
      </c>
      <c r="D1807" s="19" t="s">
        <v>191</v>
      </c>
      <c r="E1807" s="18" t="s">
        <v>136</v>
      </c>
      <c r="F1807" s="18">
        <v>1</v>
      </c>
      <c r="G1807" s="20">
        <v>37900</v>
      </c>
      <c r="H1807" s="18">
        <v>0</v>
      </c>
      <c r="I1807" s="20">
        <v>11810</v>
      </c>
      <c r="J1807" s="8">
        <f t="shared" si="84"/>
        <v>26090</v>
      </c>
      <c r="K1807" s="10">
        <f t="shared" si="85"/>
        <v>0.68839050131926116</v>
      </c>
      <c r="L1807" s="17">
        <f t="shared" si="86"/>
        <v>0</v>
      </c>
      <c r="M1807" t="str">
        <f>VLOOKUP(D1807,'Jer-Tip-Emp'!B:E,4,0)</f>
        <v>Platos mong</v>
      </c>
      <c r="N1807" t="str">
        <f>VLOOKUP(D1807,'Jer-Tip-Emp'!B:F,5,0)</f>
        <v>No Personal</v>
      </c>
      <c r="O1807" t="str">
        <f>VLOOKUP(D1807,'Jer-Tip-Emp'!B:G,6,0)</f>
        <v>Caja</v>
      </c>
    </row>
    <row r="1808" spans="1:15" ht="27.5" customHeight="1" x14ac:dyDescent="0.2">
      <c r="A1808">
        <v>2025</v>
      </c>
      <c r="B1808" t="s">
        <v>618</v>
      </c>
      <c r="C1808" t="s">
        <v>609</v>
      </c>
      <c r="D1808" s="19" t="s">
        <v>195</v>
      </c>
      <c r="E1808" s="18" t="s">
        <v>156</v>
      </c>
      <c r="F1808" s="18">
        <v>1</v>
      </c>
      <c r="G1808" s="20">
        <v>58900</v>
      </c>
      <c r="H1808" s="18">
        <v>0</v>
      </c>
      <c r="I1808" s="20">
        <v>30804</v>
      </c>
      <c r="J1808" s="8">
        <f t="shared" si="84"/>
        <v>28096</v>
      </c>
      <c r="K1808" s="10">
        <f t="shared" si="85"/>
        <v>0.47701188455008486</v>
      </c>
      <c r="L1808" s="17">
        <f t="shared" si="86"/>
        <v>0</v>
      </c>
      <c r="M1808" t="str">
        <f>VLOOKUP(D1808,'Jer-Tip-Emp'!B:E,4,0)</f>
        <v>Platos mong</v>
      </c>
      <c r="N1808" t="str">
        <f>VLOOKUP(D1808,'Jer-Tip-Emp'!B:F,5,0)</f>
        <v>No Personal</v>
      </c>
      <c r="O1808" t="str">
        <f>VLOOKUP(D1808,'Jer-Tip-Emp'!B:G,6,0)</f>
        <v>Caja</v>
      </c>
    </row>
    <row r="1809" spans="1:15" ht="27.5" customHeight="1" x14ac:dyDescent="0.2">
      <c r="A1809">
        <v>2025</v>
      </c>
      <c r="B1809" t="s">
        <v>618</v>
      </c>
      <c r="C1809" t="s">
        <v>609</v>
      </c>
      <c r="D1809" s="19" t="s">
        <v>181</v>
      </c>
      <c r="E1809" s="18" t="s">
        <v>121</v>
      </c>
      <c r="F1809" s="18">
        <v>1</v>
      </c>
      <c r="G1809" s="20">
        <v>19900</v>
      </c>
      <c r="H1809" s="18">
        <v>0</v>
      </c>
      <c r="I1809" s="20">
        <v>6138</v>
      </c>
      <c r="J1809" s="8">
        <f t="shared" si="84"/>
        <v>13762</v>
      </c>
      <c r="K1809" s="10">
        <f t="shared" si="85"/>
        <v>0.69155778894472364</v>
      </c>
      <c r="L1809" s="17">
        <f t="shared" si="86"/>
        <v>0</v>
      </c>
      <c r="M1809" t="str">
        <f>VLOOKUP(D1809,'Jer-Tip-Emp'!B:E,4,0)</f>
        <v>Platos mong</v>
      </c>
      <c r="N1809" t="str">
        <f>VLOOKUP(D1809,'Jer-Tip-Emp'!B:F,5,0)</f>
        <v>Personal</v>
      </c>
      <c r="O1809" t="str">
        <f>VLOOKUP(D1809,'Jer-Tip-Emp'!B:G,6,0)</f>
        <v>Caja</v>
      </c>
    </row>
    <row r="1810" spans="1:15" ht="27.5" customHeight="1" x14ac:dyDescent="0.2">
      <c r="A1810">
        <v>2025</v>
      </c>
      <c r="B1810" t="s">
        <v>618</v>
      </c>
      <c r="C1810" t="s">
        <v>609</v>
      </c>
      <c r="D1810" s="19" t="s">
        <v>259</v>
      </c>
      <c r="E1810" s="18" t="s">
        <v>152</v>
      </c>
      <c r="F1810" s="18">
        <v>1</v>
      </c>
      <c r="G1810" s="20">
        <v>62900</v>
      </c>
      <c r="H1810" s="18">
        <v>0</v>
      </c>
      <c r="I1810" s="20">
        <v>37744</v>
      </c>
      <c r="J1810" s="8">
        <f t="shared" si="84"/>
        <v>25156</v>
      </c>
      <c r="K1810" s="10">
        <f t="shared" si="85"/>
        <v>0.39993640699523053</v>
      </c>
      <c r="L1810" s="17">
        <f t="shared" si="86"/>
        <v>0</v>
      </c>
      <c r="M1810" t="str">
        <f>VLOOKUP(D1810,'Jer-Tip-Emp'!B:E,4,0)</f>
        <v>Platos mong</v>
      </c>
      <c r="N1810" t="str">
        <f>VLOOKUP(D1810,'Jer-Tip-Emp'!B:F,5,0)</f>
        <v>No Personal</v>
      </c>
      <c r="O1810" t="str">
        <f>VLOOKUP(D1810,'Jer-Tip-Emp'!B:G,6,0)</f>
        <v>Caja</v>
      </c>
    </row>
    <row r="1811" spans="1:15" ht="27.5" hidden="1" customHeight="1" x14ac:dyDescent="0.2">
      <c r="A1811">
        <v>2025</v>
      </c>
      <c r="B1811" t="s">
        <v>618</v>
      </c>
      <c r="C1811" t="s">
        <v>594</v>
      </c>
      <c r="D1811" s="19" t="s">
        <v>173</v>
      </c>
      <c r="E1811" s="18" t="s">
        <v>542</v>
      </c>
      <c r="F1811" s="18">
        <v>57</v>
      </c>
      <c r="G1811" s="18">
        <v>0</v>
      </c>
      <c r="H1811" s="18">
        <v>0</v>
      </c>
      <c r="I1811" s="18">
        <v>0</v>
      </c>
      <c r="J1811" s="8">
        <f t="shared" si="84"/>
        <v>0</v>
      </c>
      <c r="K1811" s="10">
        <f t="shared" si="85"/>
        <v>0</v>
      </c>
      <c r="L1811" s="17">
        <f t="shared" si="86"/>
        <v>0</v>
      </c>
      <c r="M1811" t="str">
        <f>VLOOKUP(D1811,'Jer-Tip-Emp'!B:E,4,0)</f>
        <v>Bebidas</v>
      </c>
      <c r="N1811" t="str">
        <f>VLOOKUP(D1811,'Jer-Tip-Emp'!B:F,5,0)</f>
        <v>Bebidas Cambio de bebida</v>
      </c>
      <c r="O1811" t="str">
        <f>VLOOKUP(D1811,'Jer-Tip-Emp'!B:G,6,0)</f>
        <v>Bebidas</v>
      </c>
    </row>
    <row r="1812" spans="1:15" ht="27.5" customHeight="1" x14ac:dyDescent="0.2">
      <c r="A1812">
        <v>2025</v>
      </c>
      <c r="B1812" t="s">
        <v>618</v>
      </c>
      <c r="C1812" t="s">
        <v>594</v>
      </c>
      <c r="D1812" s="19" t="s">
        <v>207</v>
      </c>
      <c r="E1812" s="18" t="s">
        <v>92</v>
      </c>
      <c r="F1812" s="18">
        <v>53</v>
      </c>
      <c r="G1812" s="20">
        <v>1323433</v>
      </c>
      <c r="H1812" s="20">
        <v>-367267</v>
      </c>
      <c r="I1812" s="20">
        <v>510231</v>
      </c>
      <c r="J1812" s="8">
        <f t="shared" si="84"/>
        <v>813202</v>
      </c>
      <c r="K1812" s="10">
        <f t="shared" si="85"/>
        <v>0.61446404918118258</v>
      </c>
      <c r="L1812" s="17">
        <f t="shared" si="86"/>
        <v>0.27751083734499593</v>
      </c>
      <c r="M1812" t="str">
        <f>VLOOKUP(D1812,'Jer-Tip-Emp'!B:E,4,0)</f>
        <v>Combos personales</v>
      </c>
      <c r="N1812" t="str">
        <f>VLOOKUP(D1812,'Jer-Tip-Emp'!B:F,5,0)</f>
        <v>Personal</v>
      </c>
      <c r="O1812" t="str">
        <f>VLOOKUP(D1812,'Jer-Tip-Emp'!B:G,6,0)</f>
        <v>Combo</v>
      </c>
    </row>
    <row r="1813" spans="1:15" ht="27.5" hidden="1" customHeight="1" x14ac:dyDescent="0.2">
      <c r="A1813">
        <v>2025</v>
      </c>
      <c r="B1813" t="s">
        <v>618</v>
      </c>
      <c r="C1813" t="s">
        <v>594</v>
      </c>
      <c r="D1813" s="19" t="s">
        <v>346</v>
      </c>
      <c r="E1813" s="18" t="s">
        <v>551</v>
      </c>
      <c r="F1813" s="18">
        <v>33</v>
      </c>
      <c r="G1813" s="18">
        <v>0</v>
      </c>
      <c r="H1813" s="18">
        <v>0</v>
      </c>
      <c r="I1813" s="18">
        <v>0</v>
      </c>
      <c r="J1813" s="8">
        <f t="shared" si="84"/>
        <v>0</v>
      </c>
      <c r="K1813" s="10">
        <f t="shared" si="85"/>
        <v>0</v>
      </c>
      <c r="L1813" s="17">
        <f t="shared" si="86"/>
        <v>0</v>
      </c>
      <c r="M1813" t="str">
        <f>VLOOKUP(D1813,'Jer-Tip-Emp'!B:E,4,0)</f>
        <v>Adición</v>
      </c>
      <c r="N1813" t="str">
        <f>VLOOKUP(D1813,'Jer-Tip-Emp'!B:F,5,0)</f>
        <v>Adición</v>
      </c>
      <c r="O1813" t="str">
        <f>VLOOKUP(D1813,'Jer-Tip-Emp'!B:G,6,0)</f>
        <v>Adición</v>
      </c>
    </row>
    <row r="1814" spans="1:15" ht="27.5" customHeight="1" x14ac:dyDescent="0.2">
      <c r="A1814">
        <v>2025</v>
      </c>
      <c r="B1814" t="s">
        <v>618</v>
      </c>
      <c r="C1814" t="s">
        <v>594</v>
      </c>
      <c r="D1814" s="19" t="s">
        <v>184</v>
      </c>
      <c r="E1814" s="18" t="s">
        <v>162</v>
      </c>
      <c r="F1814" s="18">
        <v>28</v>
      </c>
      <c r="G1814" s="20">
        <v>600650</v>
      </c>
      <c r="H1814" s="20">
        <v>-152550</v>
      </c>
      <c r="I1814" s="18">
        <v>0</v>
      </c>
      <c r="J1814" s="8">
        <f t="shared" si="84"/>
        <v>600650</v>
      </c>
      <c r="K1814" s="10">
        <f t="shared" si="85"/>
        <v>1</v>
      </c>
      <c r="L1814" s="17">
        <f t="shared" si="86"/>
        <v>0.25397486056771829</v>
      </c>
      <c r="M1814" t="str">
        <f>VLOOKUP(D1814,'Jer-Tip-Emp'!B:E,4,0)</f>
        <v>Combos personales</v>
      </c>
      <c r="N1814" t="str">
        <f>VLOOKUP(D1814,'Jer-Tip-Emp'!B:F,5,0)</f>
        <v>Personal</v>
      </c>
      <c r="O1814" t="str">
        <f>VLOOKUP(D1814,'Jer-Tip-Emp'!B:G,6,0)</f>
        <v>Caja</v>
      </c>
    </row>
    <row r="1815" spans="1:15" ht="27.5" customHeight="1" x14ac:dyDescent="0.2">
      <c r="A1815">
        <v>2025</v>
      </c>
      <c r="B1815" t="s">
        <v>618</v>
      </c>
      <c r="C1815" t="s">
        <v>594</v>
      </c>
      <c r="D1815" s="19" t="s">
        <v>196</v>
      </c>
      <c r="E1815" s="18" t="s">
        <v>159</v>
      </c>
      <c r="F1815" s="18">
        <v>17</v>
      </c>
      <c r="G1815" s="20">
        <v>445534</v>
      </c>
      <c r="H1815" s="20">
        <v>-147766</v>
      </c>
      <c r="I1815" s="20">
        <v>161517</v>
      </c>
      <c r="J1815" s="8">
        <f t="shared" si="84"/>
        <v>284017</v>
      </c>
      <c r="K1815" s="10">
        <f t="shared" si="85"/>
        <v>0.63747547886356593</v>
      </c>
      <c r="L1815" s="17">
        <f t="shared" si="86"/>
        <v>0.33166043444495819</v>
      </c>
      <c r="M1815" t="str">
        <f>VLOOKUP(D1815,'Jer-Tip-Emp'!B:E,4,0)</f>
        <v>Combos personales</v>
      </c>
      <c r="N1815" t="str">
        <f>VLOOKUP(D1815,'Jer-Tip-Emp'!B:F,5,0)</f>
        <v>Personal</v>
      </c>
      <c r="O1815" t="str">
        <f>VLOOKUP(D1815,'Jer-Tip-Emp'!B:G,6,0)</f>
        <v>Combo</v>
      </c>
    </row>
    <row r="1816" spans="1:15" ht="27.5" customHeight="1" x14ac:dyDescent="0.2">
      <c r="A1816">
        <v>2025</v>
      </c>
      <c r="B1816" t="s">
        <v>618</v>
      </c>
      <c r="C1816" t="s">
        <v>594</v>
      </c>
      <c r="D1816" s="19" t="s">
        <v>177</v>
      </c>
      <c r="E1816" s="18" t="s">
        <v>99</v>
      </c>
      <c r="F1816" s="18">
        <v>12</v>
      </c>
      <c r="G1816" s="20">
        <v>353933</v>
      </c>
      <c r="H1816" s="20">
        <v>-112867</v>
      </c>
      <c r="I1816" s="18">
        <v>0</v>
      </c>
      <c r="J1816" s="8">
        <f t="shared" si="84"/>
        <v>353933</v>
      </c>
      <c r="K1816" s="10">
        <f t="shared" si="85"/>
        <v>1</v>
      </c>
      <c r="L1816" s="17">
        <f t="shared" si="86"/>
        <v>0.31889368891852415</v>
      </c>
      <c r="M1816" t="str">
        <f>VLOOKUP(D1816,'Jer-Tip-Emp'!B:E,4,0)</f>
        <v>Combos personales</v>
      </c>
      <c r="N1816" t="str">
        <f>VLOOKUP(D1816,'Jer-Tip-Emp'!B:F,5,0)</f>
        <v>Personal</v>
      </c>
      <c r="O1816" t="str">
        <f>VLOOKUP(D1816,'Jer-Tip-Emp'!B:G,6,0)</f>
        <v>Combo</v>
      </c>
    </row>
    <row r="1817" spans="1:15" ht="27.5" hidden="1" customHeight="1" x14ac:dyDescent="0.2">
      <c r="A1817">
        <v>2025</v>
      </c>
      <c r="B1817" t="s">
        <v>618</v>
      </c>
      <c r="C1817" t="s">
        <v>594</v>
      </c>
      <c r="D1817" s="19" t="s">
        <v>176</v>
      </c>
      <c r="E1817" s="18" t="s">
        <v>544</v>
      </c>
      <c r="F1817" s="18">
        <v>10</v>
      </c>
      <c r="G1817" s="20">
        <v>10000</v>
      </c>
      <c r="H1817" s="18">
        <v>0</v>
      </c>
      <c r="I1817" s="20">
        <v>19450</v>
      </c>
      <c r="J1817" s="8">
        <f t="shared" si="84"/>
        <v>-9450</v>
      </c>
      <c r="K1817" s="10">
        <f t="shared" si="85"/>
        <v>-0.94499999999999995</v>
      </c>
      <c r="L1817" s="17">
        <f t="shared" si="86"/>
        <v>0</v>
      </c>
      <c r="M1817" t="str">
        <f>VLOOKUP(D1817,'Jer-Tip-Emp'!B:E,4,0)</f>
        <v>Bebidas</v>
      </c>
      <c r="N1817" t="str">
        <f>VLOOKUP(D1817,'Jer-Tip-Emp'!B:F,5,0)</f>
        <v>Bebidas Cambio de bebida</v>
      </c>
      <c r="O1817" t="str">
        <f>VLOOKUP(D1817,'Jer-Tip-Emp'!B:G,6,0)</f>
        <v>Bebidas</v>
      </c>
    </row>
    <row r="1818" spans="1:15" ht="27.5" hidden="1" customHeight="1" x14ac:dyDescent="0.2">
      <c r="A1818">
        <v>2025</v>
      </c>
      <c r="B1818" t="s">
        <v>618</v>
      </c>
      <c r="C1818" t="s">
        <v>594</v>
      </c>
      <c r="D1818" s="19" t="s">
        <v>284</v>
      </c>
      <c r="E1818" s="18" t="s">
        <v>106</v>
      </c>
      <c r="F1818" s="18">
        <v>9</v>
      </c>
      <c r="G1818" s="20">
        <v>116100</v>
      </c>
      <c r="H1818" s="18">
        <v>0</v>
      </c>
      <c r="I1818" s="20">
        <v>28251</v>
      </c>
      <c r="J1818" s="8">
        <f t="shared" si="84"/>
        <v>87849</v>
      </c>
      <c r="K1818" s="10">
        <f t="shared" si="85"/>
        <v>0.75666666666666671</v>
      </c>
      <c r="L1818" s="17">
        <f t="shared" si="86"/>
        <v>0</v>
      </c>
      <c r="M1818" t="str">
        <f>VLOOKUP(D1818,'Jer-Tip-Emp'!B:E,4,0)</f>
        <v>Entradas</v>
      </c>
      <c r="N1818" t="str">
        <f>VLOOKUP(D1818,'Jer-Tip-Emp'!B:F,5,0)</f>
        <v>Otro</v>
      </c>
      <c r="O1818" t="str">
        <f>VLOOKUP(D1818,'Jer-Tip-Emp'!B:G,6,0)</f>
        <v>Otro</v>
      </c>
    </row>
    <row r="1819" spans="1:15" ht="27.5" hidden="1" customHeight="1" x14ac:dyDescent="0.2">
      <c r="A1819">
        <v>2025</v>
      </c>
      <c r="B1819" t="s">
        <v>618</v>
      </c>
      <c r="C1819" t="s">
        <v>594</v>
      </c>
      <c r="D1819" s="19" t="s">
        <v>500</v>
      </c>
      <c r="E1819" s="18" t="s">
        <v>546</v>
      </c>
      <c r="F1819" s="18">
        <v>9</v>
      </c>
      <c r="G1819" s="18">
        <v>0</v>
      </c>
      <c r="H1819" s="18">
        <v>0</v>
      </c>
      <c r="I1819" s="20">
        <v>7812</v>
      </c>
      <c r="J1819" s="8">
        <f t="shared" si="84"/>
        <v>-7812</v>
      </c>
      <c r="K1819" s="10">
        <f t="shared" si="85"/>
        <v>0</v>
      </c>
      <c r="L1819" s="17">
        <f t="shared" si="86"/>
        <v>0</v>
      </c>
      <c r="M1819" t="str">
        <f>VLOOKUP(D1819,'Jer-Tip-Emp'!B:E,4,0)</f>
        <v>Bebidas</v>
      </c>
      <c r="N1819" t="str">
        <f>VLOOKUP(D1819,'Jer-Tip-Emp'!B:F,5,0)</f>
        <v>Bebidas Cambio de bebida</v>
      </c>
      <c r="O1819" t="str">
        <f>VLOOKUP(D1819,'Jer-Tip-Emp'!B:G,6,0)</f>
        <v>Bebidas</v>
      </c>
    </row>
    <row r="1820" spans="1:15" ht="27.5" hidden="1" customHeight="1" x14ac:dyDescent="0.2">
      <c r="A1820">
        <v>2025</v>
      </c>
      <c r="B1820" t="s">
        <v>618</v>
      </c>
      <c r="C1820" t="s">
        <v>594</v>
      </c>
      <c r="D1820" s="19" t="s">
        <v>490</v>
      </c>
      <c r="E1820" s="18" t="s">
        <v>554</v>
      </c>
      <c r="F1820" s="18">
        <v>9</v>
      </c>
      <c r="G1820" s="18">
        <v>0</v>
      </c>
      <c r="H1820" s="18">
        <v>0</v>
      </c>
      <c r="I1820" s="20">
        <v>18441</v>
      </c>
      <c r="J1820" s="8">
        <f t="shared" si="84"/>
        <v>-18441</v>
      </c>
      <c r="K1820" s="10">
        <f t="shared" si="85"/>
        <v>0</v>
      </c>
      <c r="L1820" s="17">
        <f t="shared" si="86"/>
        <v>0</v>
      </c>
      <c r="M1820" t="str">
        <f>VLOOKUP(D1820,'Jer-Tip-Emp'!B:E,4,0)</f>
        <v>Adición</v>
      </c>
      <c r="N1820" t="str">
        <f>VLOOKUP(D1820,'Jer-Tip-Emp'!B:F,5,0)</f>
        <v>Otro</v>
      </c>
      <c r="O1820" t="str">
        <f>VLOOKUP(D1820,'Jer-Tip-Emp'!B:G,6,0)</f>
        <v>Otro</v>
      </c>
    </row>
    <row r="1821" spans="1:15" ht="27.5" customHeight="1" x14ac:dyDescent="0.2">
      <c r="A1821">
        <v>2025</v>
      </c>
      <c r="B1821" t="s">
        <v>618</v>
      </c>
      <c r="C1821" t="s">
        <v>594</v>
      </c>
      <c r="D1821" s="19" t="s">
        <v>186</v>
      </c>
      <c r="E1821" s="18" t="s">
        <v>95</v>
      </c>
      <c r="F1821" s="18">
        <v>8</v>
      </c>
      <c r="G1821" s="20">
        <v>244450</v>
      </c>
      <c r="H1821" s="20">
        <v>-66750</v>
      </c>
      <c r="I1821" s="20">
        <v>76560</v>
      </c>
      <c r="J1821" s="8">
        <f t="shared" si="84"/>
        <v>167890</v>
      </c>
      <c r="K1821" s="10">
        <f t="shared" si="85"/>
        <v>0.68680711802004502</v>
      </c>
      <c r="L1821" s="17">
        <f t="shared" si="86"/>
        <v>0.2730619758641849</v>
      </c>
      <c r="M1821" t="str">
        <f>VLOOKUP(D1821,'Jer-Tip-Emp'!B:E,4,0)</f>
        <v>Combos personales</v>
      </c>
      <c r="N1821" t="str">
        <f>VLOOKUP(D1821,'Jer-Tip-Emp'!B:F,5,0)</f>
        <v>Personal</v>
      </c>
      <c r="O1821" t="str">
        <f>VLOOKUP(D1821,'Jer-Tip-Emp'!B:G,6,0)</f>
        <v>Combo</v>
      </c>
    </row>
    <row r="1822" spans="1:15" ht="27.5" customHeight="1" x14ac:dyDescent="0.2">
      <c r="A1822">
        <v>2025</v>
      </c>
      <c r="B1822" t="s">
        <v>618</v>
      </c>
      <c r="C1822" t="s">
        <v>594</v>
      </c>
      <c r="D1822" s="19" t="s">
        <v>212</v>
      </c>
      <c r="E1822" s="18" t="s">
        <v>160</v>
      </c>
      <c r="F1822" s="18">
        <v>8</v>
      </c>
      <c r="G1822" s="20">
        <v>260150</v>
      </c>
      <c r="H1822" s="20">
        <v>-51050</v>
      </c>
      <c r="I1822" s="20">
        <v>90024</v>
      </c>
      <c r="J1822" s="8">
        <f t="shared" si="84"/>
        <v>170126</v>
      </c>
      <c r="K1822" s="10">
        <f t="shared" si="85"/>
        <v>0.65395348837209299</v>
      </c>
      <c r="L1822" s="17">
        <f t="shared" si="86"/>
        <v>0.19623294253315396</v>
      </c>
      <c r="M1822" t="str">
        <f>VLOOKUP(D1822,'Jer-Tip-Emp'!B:E,4,0)</f>
        <v>Combos personales</v>
      </c>
      <c r="N1822" t="str">
        <f>VLOOKUP(D1822,'Jer-Tip-Emp'!B:F,5,0)</f>
        <v>Personal</v>
      </c>
      <c r="O1822" t="str">
        <f>VLOOKUP(D1822,'Jer-Tip-Emp'!B:G,6,0)</f>
        <v>Combo</v>
      </c>
    </row>
    <row r="1823" spans="1:15" ht="27.5" customHeight="1" x14ac:dyDescent="0.2">
      <c r="A1823">
        <v>2025</v>
      </c>
      <c r="B1823" t="s">
        <v>618</v>
      </c>
      <c r="C1823" t="s">
        <v>594</v>
      </c>
      <c r="D1823" s="19" t="s">
        <v>313</v>
      </c>
      <c r="E1823" s="18" t="s">
        <v>540</v>
      </c>
      <c r="F1823" s="18">
        <v>8</v>
      </c>
      <c r="G1823" s="18">
        <v>0</v>
      </c>
      <c r="H1823" s="18">
        <v>0</v>
      </c>
      <c r="I1823" s="20">
        <v>43928</v>
      </c>
      <c r="J1823" s="8">
        <f t="shared" si="84"/>
        <v>-43928</v>
      </c>
      <c r="K1823" s="10">
        <f t="shared" si="85"/>
        <v>0</v>
      </c>
      <c r="L1823" s="17">
        <f t="shared" si="86"/>
        <v>0</v>
      </c>
      <c r="M1823" t="str">
        <f>VLOOKUP(D1823,'Jer-Tip-Emp'!B:E,4,0)</f>
        <v>Arma tu plato</v>
      </c>
      <c r="N1823" t="str">
        <f>VLOOKUP(D1823,'Jer-Tip-Emp'!B:F,5,0)</f>
        <v>Personal</v>
      </c>
      <c r="O1823" t="str">
        <f>VLOOKUP(D1823,'Jer-Tip-Emp'!B:G,6,0)</f>
        <v>Caja</v>
      </c>
    </row>
    <row r="1824" spans="1:15" ht="27.5" customHeight="1" x14ac:dyDescent="0.2">
      <c r="A1824">
        <v>2025</v>
      </c>
      <c r="B1824" t="s">
        <v>618</v>
      </c>
      <c r="C1824" t="s">
        <v>594</v>
      </c>
      <c r="D1824" s="19" t="s">
        <v>389</v>
      </c>
      <c r="E1824" s="18" t="s">
        <v>541</v>
      </c>
      <c r="F1824" s="18">
        <v>7</v>
      </c>
      <c r="G1824" s="18">
        <v>0</v>
      </c>
      <c r="H1824" s="18">
        <v>0</v>
      </c>
      <c r="I1824" s="20">
        <v>38269</v>
      </c>
      <c r="J1824" s="8">
        <f t="shared" si="84"/>
        <v>-38269</v>
      </c>
      <c r="K1824" s="10">
        <f t="shared" si="85"/>
        <v>0</v>
      </c>
      <c r="L1824" s="17">
        <f t="shared" si="86"/>
        <v>0</v>
      </c>
      <c r="M1824" t="str">
        <f>VLOOKUP(D1824,'Jer-Tip-Emp'!B:E,4,0)</f>
        <v>Arma tu plato</v>
      </c>
      <c r="N1824" t="str">
        <f>VLOOKUP(D1824,'Jer-Tip-Emp'!B:F,5,0)</f>
        <v>Personal</v>
      </c>
      <c r="O1824" t="str">
        <f>VLOOKUP(D1824,'Jer-Tip-Emp'!B:G,6,0)</f>
        <v>Caja</v>
      </c>
    </row>
    <row r="1825" spans="1:15" ht="27.5" customHeight="1" x14ac:dyDescent="0.2">
      <c r="A1825">
        <v>2025</v>
      </c>
      <c r="B1825" t="s">
        <v>618</v>
      </c>
      <c r="C1825" t="s">
        <v>594</v>
      </c>
      <c r="D1825" s="19" t="s">
        <v>354</v>
      </c>
      <c r="E1825" s="18" t="s">
        <v>548</v>
      </c>
      <c r="F1825" s="18">
        <v>7</v>
      </c>
      <c r="G1825" s="18">
        <v>0</v>
      </c>
      <c r="H1825" s="18">
        <v>0</v>
      </c>
      <c r="I1825" s="20">
        <v>18438</v>
      </c>
      <c r="J1825" s="8">
        <f t="shared" si="84"/>
        <v>-18438</v>
      </c>
      <c r="K1825" s="10">
        <f t="shared" si="85"/>
        <v>0</v>
      </c>
      <c r="L1825" s="17">
        <f t="shared" si="86"/>
        <v>0</v>
      </c>
      <c r="M1825" t="str">
        <f>VLOOKUP(D1825,'Jer-Tip-Emp'!B:E,4,0)</f>
        <v>Arma tu plato</v>
      </c>
      <c r="N1825" t="str">
        <f>VLOOKUP(D1825,'Jer-Tip-Emp'!B:F,5,0)</f>
        <v>Personal</v>
      </c>
      <c r="O1825" t="str">
        <f>VLOOKUP(D1825,'Jer-Tip-Emp'!B:G,6,0)</f>
        <v>Caja</v>
      </c>
    </row>
    <row r="1826" spans="1:15" ht="27.5" hidden="1" customHeight="1" x14ac:dyDescent="0.2">
      <c r="A1826">
        <v>2025</v>
      </c>
      <c r="B1826" t="s">
        <v>618</v>
      </c>
      <c r="C1826" t="s">
        <v>594</v>
      </c>
      <c r="D1826" s="19" t="s">
        <v>342</v>
      </c>
      <c r="E1826" s="18" t="s">
        <v>556</v>
      </c>
      <c r="F1826" s="18">
        <v>6</v>
      </c>
      <c r="G1826" s="20">
        <v>45600</v>
      </c>
      <c r="H1826" s="18">
        <v>0</v>
      </c>
      <c r="I1826" s="20">
        <v>18648</v>
      </c>
      <c r="J1826" s="8">
        <f t="shared" si="84"/>
        <v>26952</v>
      </c>
      <c r="K1826" s="10">
        <f t="shared" si="85"/>
        <v>0.59105263157894739</v>
      </c>
      <c r="L1826" s="17">
        <f t="shared" si="86"/>
        <v>0</v>
      </c>
      <c r="M1826" t="str">
        <f>VLOOKUP(D1826,'Jer-Tip-Emp'!B:E,4,0)</f>
        <v>Adición</v>
      </c>
      <c r="N1826" t="str">
        <f>VLOOKUP(D1826,'Jer-Tip-Emp'!B:F,5,0)</f>
        <v>Adición</v>
      </c>
      <c r="O1826" t="str">
        <f>VLOOKUP(D1826,'Jer-Tip-Emp'!B:G,6,0)</f>
        <v>Adición</v>
      </c>
    </row>
    <row r="1827" spans="1:15" ht="27.5" hidden="1" customHeight="1" x14ac:dyDescent="0.2">
      <c r="A1827">
        <v>2025</v>
      </c>
      <c r="B1827" t="s">
        <v>618</v>
      </c>
      <c r="C1827" t="s">
        <v>594</v>
      </c>
      <c r="D1827" s="19" t="s">
        <v>365</v>
      </c>
      <c r="E1827" s="18" t="s">
        <v>558</v>
      </c>
      <c r="F1827" s="18">
        <v>6</v>
      </c>
      <c r="G1827" s="20">
        <v>4500</v>
      </c>
      <c r="H1827" s="18">
        <v>-900</v>
      </c>
      <c r="I1827" s="20">
        <v>9414</v>
      </c>
      <c r="J1827" s="8">
        <f t="shared" si="84"/>
        <v>-4914</v>
      </c>
      <c r="K1827" s="10">
        <f t="shared" si="85"/>
        <v>-1.0920000000000001</v>
      </c>
      <c r="L1827" s="17">
        <f t="shared" si="86"/>
        <v>0.2</v>
      </c>
      <c r="M1827" t="str">
        <f>VLOOKUP(D1827,'Jer-Tip-Emp'!B:E,4,0)</f>
        <v>Adición</v>
      </c>
      <c r="N1827" t="str">
        <f>VLOOKUP(D1827,'Jer-Tip-Emp'!B:F,5,0)</f>
        <v>Otro</v>
      </c>
      <c r="O1827" t="str">
        <f>VLOOKUP(D1827,'Jer-Tip-Emp'!B:G,6,0)</f>
        <v>Otro</v>
      </c>
    </row>
    <row r="1828" spans="1:15" ht="27.5" hidden="1" customHeight="1" x14ac:dyDescent="0.2">
      <c r="A1828">
        <v>2025</v>
      </c>
      <c r="B1828" t="s">
        <v>618</v>
      </c>
      <c r="C1828" t="s">
        <v>594</v>
      </c>
      <c r="D1828" s="19" t="s">
        <v>400</v>
      </c>
      <c r="E1828" s="18" t="s">
        <v>564</v>
      </c>
      <c r="F1828" s="18">
        <v>6</v>
      </c>
      <c r="G1828" s="20">
        <v>28800</v>
      </c>
      <c r="H1828" s="18">
        <v>0</v>
      </c>
      <c r="I1828" s="20">
        <v>7692</v>
      </c>
      <c r="J1828" s="8">
        <f t="shared" si="84"/>
        <v>21108</v>
      </c>
      <c r="K1828" s="10">
        <f t="shared" si="85"/>
        <v>0.73291666666666666</v>
      </c>
      <c r="L1828" s="17">
        <f t="shared" si="86"/>
        <v>0</v>
      </c>
      <c r="M1828" t="str">
        <f>VLOOKUP(D1828,'Jer-Tip-Emp'!B:E,4,0)</f>
        <v>Adición</v>
      </c>
      <c r="N1828" t="str">
        <f>VLOOKUP(D1828,'Jer-Tip-Emp'!B:F,5,0)</f>
        <v>Adición</v>
      </c>
      <c r="O1828" t="str">
        <f>VLOOKUP(D1828,'Jer-Tip-Emp'!B:G,6,0)</f>
        <v>Adición</v>
      </c>
    </row>
    <row r="1829" spans="1:15" ht="27.5" customHeight="1" x14ac:dyDescent="0.2">
      <c r="A1829">
        <v>2025</v>
      </c>
      <c r="B1829" t="s">
        <v>618</v>
      </c>
      <c r="C1829" t="s">
        <v>594</v>
      </c>
      <c r="D1829" s="19" t="s">
        <v>228</v>
      </c>
      <c r="E1829" s="18" t="s">
        <v>96</v>
      </c>
      <c r="F1829" s="18">
        <v>6</v>
      </c>
      <c r="G1829" s="20">
        <v>195200</v>
      </c>
      <c r="H1829" s="20">
        <v>-38200</v>
      </c>
      <c r="I1829" s="20">
        <v>61482</v>
      </c>
      <c r="J1829" s="8">
        <f t="shared" si="84"/>
        <v>133718</v>
      </c>
      <c r="K1829" s="10">
        <f t="shared" si="85"/>
        <v>0.68503073770491807</v>
      </c>
      <c r="L1829" s="17">
        <f t="shared" si="86"/>
        <v>0.19569672131147542</v>
      </c>
      <c r="M1829" t="str">
        <f>VLOOKUP(D1829,'Jer-Tip-Emp'!B:E,4,0)</f>
        <v>Combos personales</v>
      </c>
      <c r="N1829" t="str">
        <f>VLOOKUP(D1829,'Jer-Tip-Emp'!B:F,5,0)</f>
        <v>Personal</v>
      </c>
      <c r="O1829" t="str">
        <f>VLOOKUP(D1829,'Jer-Tip-Emp'!B:G,6,0)</f>
        <v>Combo</v>
      </c>
    </row>
    <row r="1830" spans="1:15" ht="27.5" customHeight="1" x14ac:dyDescent="0.2">
      <c r="A1830">
        <v>2025</v>
      </c>
      <c r="B1830" t="s">
        <v>618</v>
      </c>
      <c r="C1830" t="s">
        <v>594</v>
      </c>
      <c r="D1830" s="19" t="s">
        <v>213</v>
      </c>
      <c r="E1830" s="18" t="s">
        <v>101</v>
      </c>
      <c r="F1830" s="18">
        <v>4</v>
      </c>
      <c r="G1830" s="20">
        <v>150400</v>
      </c>
      <c r="H1830" s="20">
        <v>-9200</v>
      </c>
      <c r="I1830" s="20">
        <v>131204</v>
      </c>
      <c r="J1830" s="8">
        <f t="shared" si="84"/>
        <v>19196</v>
      </c>
      <c r="K1830" s="10">
        <f t="shared" si="85"/>
        <v>0.12763297872340426</v>
      </c>
      <c r="L1830" s="17">
        <f t="shared" si="86"/>
        <v>6.1170212765957445E-2</v>
      </c>
      <c r="M1830" t="str">
        <f>VLOOKUP(D1830,'Jer-Tip-Emp'!B:E,4,0)</f>
        <v>Combos personales</v>
      </c>
      <c r="N1830" t="str">
        <f>VLOOKUP(D1830,'Jer-Tip-Emp'!B:F,5,0)</f>
        <v>Personal</v>
      </c>
      <c r="O1830" t="str">
        <f>VLOOKUP(D1830,'Jer-Tip-Emp'!B:G,6,0)</f>
        <v>Combo</v>
      </c>
    </row>
    <row r="1831" spans="1:15" ht="27.5" customHeight="1" x14ac:dyDescent="0.2">
      <c r="A1831">
        <v>2025</v>
      </c>
      <c r="B1831" t="s">
        <v>618</v>
      </c>
      <c r="C1831" t="s">
        <v>594</v>
      </c>
      <c r="D1831" s="19" t="s">
        <v>470</v>
      </c>
      <c r="E1831" s="18" t="s">
        <v>550</v>
      </c>
      <c r="F1831" s="18">
        <v>4</v>
      </c>
      <c r="G1831" s="18">
        <v>0</v>
      </c>
      <c r="H1831" s="18">
        <v>0</v>
      </c>
      <c r="I1831" s="20">
        <v>12388</v>
      </c>
      <c r="J1831" s="8">
        <f t="shared" si="84"/>
        <v>-12388</v>
      </c>
      <c r="K1831" s="10">
        <f t="shared" si="85"/>
        <v>0</v>
      </c>
      <c r="L1831" s="17">
        <f t="shared" si="86"/>
        <v>0</v>
      </c>
      <c r="M1831" t="str">
        <f>VLOOKUP(D1831,'Jer-Tip-Emp'!B:E,4,0)</f>
        <v>Arma tu plato</v>
      </c>
      <c r="N1831" t="str">
        <f>VLOOKUP(D1831,'Jer-Tip-Emp'!B:F,5,0)</f>
        <v>Personal</v>
      </c>
      <c r="O1831" t="str">
        <f>VLOOKUP(D1831,'Jer-Tip-Emp'!B:G,6,0)</f>
        <v>Caja</v>
      </c>
    </row>
    <row r="1832" spans="1:15" ht="27.5" hidden="1" customHeight="1" x14ac:dyDescent="0.2">
      <c r="A1832">
        <v>2025</v>
      </c>
      <c r="B1832" t="s">
        <v>618</v>
      </c>
      <c r="C1832" t="s">
        <v>594</v>
      </c>
      <c r="D1832" s="19" t="s">
        <v>367</v>
      </c>
      <c r="E1832" s="18" t="s">
        <v>566</v>
      </c>
      <c r="F1832" s="18">
        <v>4</v>
      </c>
      <c r="G1832" s="20">
        <v>3000</v>
      </c>
      <c r="H1832" s="20">
        <v>-1000</v>
      </c>
      <c r="I1832" s="18">
        <v>0</v>
      </c>
      <c r="J1832" s="8">
        <f t="shared" si="84"/>
        <v>3000</v>
      </c>
      <c r="K1832" s="10">
        <f t="shared" si="85"/>
        <v>1</v>
      </c>
      <c r="L1832" s="17">
        <f t="shared" si="86"/>
        <v>0.33333333333333331</v>
      </c>
      <c r="M1832" t="str">
        <f>VLOOKUP(D1832,'Jer-Tip-Emp'!B:E,4,0)</f>
        <v>Adición</v>
      </c>
      <c r="N1832" t="str">
        <f>VLOOKUP(D1832,'Jer-Tip-Emp'!B:F,5,0)</f>
        <v>Adición</v>
      </c>
      <c r="O1832" t="str">
        <f>VLOOKUP(D1832,'Jer-Tip-Emp'!B:G,6,0)</f>
        <v>Adición</v>
      </c>
    </row>
    <row r="1833" spans="1:15" ht="27.5" customHeight="1" x14ac:dyDescent="0.2">
      <c r="A1833">
        <v>2025</v>
      </c>
      <c r="B1833" t="s">
        <v>618</v>
      </c>
      <c r="C1833" t="s">
        <v>594</v>
      </c>
      <c r="D1833" s="19" t="s">
        <v>278</v>
      </c>
      <c r="E1833" s="18" t="s">
        <v>84</v>
      </c>
      <c r="F1833" s="18">
        <v>3</v>
      </c>
      <c r="G1833" s="20">
        <v>48100</v>
      </c>
      <c r="H1833" s="20">
        <v>-41600</v>
      </c>
      <c r="I1833" s="20">
        <v>23919</v>
      </c>
      <c r="J1833" s="8">
        <f t="shared" si="84"/>
        <v>24181</v>
      </c>
      <c r="K1833" s="10">
        <f t="shared" si="85"/>
        <v>0.5027234927234927</v>
      </c>
      <c r="L1833" s="17">
        <f t="shared" si="86"/>
        <v>0.86486486486486491</v>
      </c>
      <c r="M1833" t="str">
        <f>VLOOKUP(D1833,'Jer-Tip-Emp'!B:E,4,0)</f>
        <v>Combos para compartir</v>
      </c>
      <c r="N1833" t="str">
        <f>VLOOKUP(D1833,'Jer-Tip-Emp'!B:F,5,0)</f>
        <v>No Personal</v>
      </c>
      <c r="O1833" t="str">
        <f>VLOOKUP(D1833,'Jer-Tip-Emp'!B:G,6,0)</f>
        <v>Combo</v>
      </c>
    </row>
    <row r="1834" spans="1:15" ht="27.5" customHeight="1" x14ac:dyDescent="0.2">
      <c r="A1834">
        <v>2025</v>
      </c>
      <c r="B1834" t="s">
        <v>618</v>
      </c>
      <c r="C1834" t="s">
        <v>594</v>
      </c>
      <c r="D1834" s="19" t="s">
        <v>206</v>
      </c>
      <c r="E1834" s="18" t="s">
        <v>117</v>
      </c>
      <c r="F1834" s="18">
        <v>3</v>
      </c>
      <c r="G1834" s="20">
        <v>55100</v>
      </c>
      <c r="H1834" s="20">
        <v>-4600</v>
      </c>
      <c r="I1834" s="20">
        <v>21375</v>
      </c>
      <c r="J1834" s="8">
        <f t="shared" si="84"/>
        <v>33725</v>
      </c>
      <c r="K1834" s="10">
        <f t="shared" si="85"/>
        <v>0.61206896551724133</v>
      </c>
      <c r="L1834" s="17">
        <f t="shared" si="86"/>
        <v>8.3484573502722328E-2</v>
      </c>
      <c r="M1834" t="str">
        <f>VLOOKUP(D1834,'Jer-Tip-Emp'!B:E,4,0)</f>
        <v>Platos especiales</v>
      </c>
      <c r="N1834" t="str">
        <f>VLOOKUP(D1834,'Jer-Tip-Emp'!B:F,5,0)</f>
        <v>Personal</v>
      </c>
      <c r="O1834" t="str">
        <f>VLOOKUP(D1834,'Jer-Tip-Emp'!B:G,6,0)</f>
        <v>Platos especiales</v>
      </c>
    </row>
    <row r="1835" spans="1:15" ht="27.5" hidden="1" customHeight="1" x14ac:dyDescent="0.2">
      <c r="A1835">
        <v>2025</v>
      </c>
      <c r="B1835" t="s">
        <v>618</v>
      </c>
      <c r="C1835" t="s">
        <v>594</v>
      </c>
      <c r="D1835" s="19" t="s">
        <v>438</v>
      </c>
      <c r="E1835" s="18" t="s">
        <v>563</v>
      </c>
      <c r="F1835" s="18">
        <v>3</v>
      </c>
      <c r="G1835" s="20">
        <v>22800</v>
      </c>
      <c r="H1835" s="18">
        <v>0</v>
      </c>
      <c r="I1835" s="20">
        <v>8547</v>
      </c>
      <c r="J1835" s="8">
        <f t="shared" si="84"/>
        <v>14253</v>
      </c>
      <c r="K1835" s="10">
        <f t="shared" si="85"/>
        <v>0.62513157894736837</v>
      </c>
      <c r="L1835" s="17">
        <f t="shared" si="86"/>
        <v>0</v>
      </c>
      <c r="M1835" t="str">
        <f>VLOOKUP(D1835,'Jer-Tip-Emp'!B:E,4,0)</f>
        <v>Adición</v>
      </c>
      <c r="N1835" t="str">
        <f>VLOOKUP(D1835,'Jer-Tip-Emp'!B:F,5,0)</f>
        <v>Adición</v>
      </c>
      <c r="O1835" t="str">
        <f>VLOOKUP(D1835,'Jer-Tip-Emp'!B:G,6,0)</f>
        <v>Adición</v>
      </c>
    </row>
    <row r="1836" spans="1:15" ht="27.5" customHeight="1" x14ac:dyDescent="0.2">
      <c r="A1836">
        <v>2025</v>
      </c>
      <c r="B1836" t="s">
        <v>618</v>
      </c>
      <c r="C1836" t="s">
        <v>594</v>
      </c>
      <c r="D1836" s="19" t="s">
        <v>294</v>
      </c>
      <c r="E1836" s="18" t="s">
        <v>108</v>
      </c>
      <c r="F1836" s="18">
        <v>3</v>
      </c>
      <c r="G1836" s="20">
        <v>62100</v>
      </c>
      <c r="H1836" s="20">
        <v>-18600</v>
      </c>
      <c r="I1836" s="20">
        <v>24549</v>
      </c>
      <c r="J1836" s="8">
        <f t="shared" si="84"/>
        <v>37551</v>
      </c>
      <c r="K1836" s="10">
        <f t="shared" si="85"/>
        <v>0.60468599033816428</v>
      </c>
      <c r="L1836" s="17">
        <f t="shared" si="86"/>
        <v>0.29951690821256038</v>
      </c>
      <c r="M1836" t="str">
        <f>VLOOKUP(D1836,'Jer-Tip-Emp'!B:E,4,0)</f>
        <v>Mong Express</v>
      </c>
      <c r="N1836" t="str">
        <f>VLOOKUP(D1836,'Jer-Tip-Emp'!B:F,5,0)</f>
        <v>Personal</v>
      </c>
      <c r="O1836" t="str">
        <f>VLOOKUP(D1836,'Jer-Tip-Emp'!B:G,6,0)</f>
        <v>Caja</v>
      </c>
    </row>
    <row r="1837" spans="1:15" ht="27.5" customHeight="1" x14ac:dyDescent="0.2">
      <c r="A1837">
        <v>2025</v>
      </c>
      <c r="B1837" t="s">
        <v>618</v>
      </c>
      <c r="C1837" t="s">
        <v>594</v>
      </c>
      <c r="D1837" s="19" t="s">
        <v>333</v>
      </c>
      <c r="E1837" s="18" t="s">
        <v>547</v>
      </c>
      <c r="F1837" s="18">
        <v>3</v>
      </c>
      <c r="G1837" s="18">
        <v>0</v>
      </c>
      <c r="H1837" s="18">
        <v>0</v>
      </c>
      <c r="I1837" s="20">
        <v>9966</v>
      </c>
      <c r="J1837" s="8">
        <f t="shared" si="84"/>
        <v>-9966</v>
      </c>
      <c r="K1837" s="10">
        <f t="shared" si="85"/>
        <v>0</v>
      </c>
      <c r="L1837" s="17">
        <f t="shared" si="86"/>
        <v>0</v>
      </c>
      <c r="M1837" t="str">
        <f>VLOOKUP(D1837,'Jer-Tip-Emp'!B:E,4,0)</f>
        <v>Arma tu plato</v>
      </c>
      <c r="N1837" t="str">
        <f>VLOOKUP(D1837,'Jer-Tip-Emp'!B:F,5,0)</f>
        <v>Personal</v>
      </c>
      <c r="O1837" t="str">
        <f>VLOOKUP(D1837,'Jer-Tip-Emp'!B:G,6,0)</f>
        <v>Caja</v>
      </c>
    </row>
    <row r="1838" spans="1:15" ht="27.5" hidden="1" customHeight="1" x14ac:dyDescent="0.2">
      <c r="A1838">
        <v>2025</v>
      </c>
      <c r="B1838" t="s">
        <v>618</v>
      </c>
      <c r="C1838" t="s">
        <v>594</v>
      </c>
      <c r="D1838" s="19" t="s">
        <v>262</v>
      </c>
      <c r="E1838" s="18" t="s">
        <v>102</v>
      </c>
      <c r="F1838" s="18">
        <v>3</v>
      </c>
      <c r="G1838" s="20">
        <v>58850</v>
      </c>
      <c r="H1838" s="20">
        <v>-9850</v>
      </c>
      <c r="I1838" s="20">
        <v>18645</v>
      </c>
      <c r="J1838" s="8">
        <f t="shared" si="84"/>
        <v>40205</v>
      </c>
      <c r="K1838" s="10">
        <f t="shared" si="85"/>
        <v>0.68317757009345792</v>
      </c>
      <c r="L1838" s="17">
        <f t="shared" si="86"/>
        <v>0.16737468139337297</v>
      </c>
      <c r="M1838" t="str">
        <f>VLOOKUP(D1838,'Jer-Tip-Emp'!B:E,4,0)</f>
        <v>Entradas</v>
      </c>
      <c r="N1838" t="str">
        <f>VLOOKUP(D1838,'Jer-Tip-Emp'!B:F,5,0)</f>
        <v>Otro</v>
      </c>
      <c r="O1838" t="str">
        <f>VLOOKUP(D1838,'Jer-Tip-Emp'!B:G,6,0)</f>
        <v>Otro</v>
      </c>
    </row>
    <row r="1839" spans="1:15" ht="27.5" hidden="1" customHeight="1" x14ac:dyDescent="0.2">
      <c r="A1839">
        <v>2025</v>
      </c>
      <c r="B1839" t="s">
        <v>618</v>
      </c>
      <c r="C1839" t="s">
        <v>594</v>
      </c>
      <c r="D1839" s="19" t="s">
        <v>348</v>
      </c>
      <c r="E1839" s="18" t="s">
        <v>567</v>
      </c>
      <c r="F1839" s="18">
        <v>3</v>
      </c>
      <c r="G1839" s="20">
        <v>24000</v>
      </c>
      <c r="H1839" s="18">
        <v>0</v>
      </c>
      <c r="I1839" s="20">
        <v>5241</v>
      </c>
      <c r="J1839" s="8">
        <f t="shared" si="84"/>
        <v>18759</v>
      </c>
      <c r="K1839" s="10">
        <f t="shared" si="85"/>
        <v>0.78162500000000001</v>
      </c>
      <c r="L1839" s="17">
        <f t="shared" si="86"/>
        <v>0</v>
      </c>
      <c r="M1839" t="str">
        <f>VLOOKUP(D1839,'Jer-Tip-Emp'!B:E,4,0)</f>
        <v>Adición</v>
      </c>
      <c r="N1839" t="str">
        <f>VLOOKUP(D1839,'Jer-Tip-Emp'!B:F,5,0)</f>
        <v>Adición</v>
      </c>
      <c r="O1839" t="str">
        <f>VLOOKUP(D1839,'Jer-Tip-Emp'!B:G,6,0)</f>
        <v>Adición</v>
      </c>
    </row>
    <row r="1840" spans="1:15" ht="27.5" hidden="1" customHeight="1" x14ac:dyDescent="0.2">
      <c r="A1840">
        <v>2025</v>
      </c>
      <c r="B1840" t="s">
        <v>618</v>
      </c>
      <c r="C1840" t="s">
        <v>594</v>
      </c>
      <c r="D1840" s="19" t="s">
        <v>418</v>
      </c>
      <c r="E1840" s="18" t="s">
        <v>557</v>
      </c>
      <c r="F1840" s="18">
        <v>3</v>
      </c>
      <c r="G1840" s="20">
        <v>3000</v>
      </c>
      <c r="H1840" s="18">
        <v>0</v>
      </c>
      <c r="I1840" s="18">
        <v>0</v>
      </c>
      <c r="J1840" s="8">
        <f t="shared" si="84"/>
        <v>3000</v>
      </c>
      <c r="K1840" s="10">
        <f t="shared" si="85"/>
        <v>1</v>
      </c>
      <c r="L1840" s="17">
        <f t="shared" si="86"/>
        <v>0</v>
      </c>
      <c r="M1840" t="str">
        <f>VLOOKUP(D1840,'Jer-Tip-Emp'!B:E,4,0)</f>
        <v>Adición</v>
      </c>
      <c r="N1840" t="str">
        <f>VLOOKUP(D1840,'Jer-Tip-Emp'!B:F,5,0)</f>
        <v>Adición</v>
      </c>
      <c r="O1840" t="str">
        <f>VLOOKUP(D1840,'Jer-Tip-Emp'!B:G,6,0)</f>
        <v>Adición</v>
      </c>
    </row>
    <row r="1841" spans="1:15" ht="27.5" customHeight="1" x14ac:dyDescent="0.2">
      <c r="A1841">
        <v>2025</v>
      </c>
      <c r="B1841" t="s">
        <v>618</v>
      </c>
      <c r="C1841" t="s">
        <v>594</v>
      </c>
      <c r="D1841" s="19" t="s">
        <v>290</v>
      </c>
      <c r="E1841" s="18" t="s">
        <v>86</v>
      </c>
      <c r="F1841" s="18">
        <v>3</v>
      </c>
      <c r="G1841" s="20">
        <v>314150</v>
      </c>
      <c r="H1841" s="20">
        <v>-78550</v>
      </c>
      <c r="I1841" s="20">
        <v>140340</v>
      </c>
      <c r="J1841" s="8">
        <f t="shared" si="84"/>
        <v>173810</v>
      </c>
      <c r="K1841" s="10">
        <f t="shared" si="85"/>
        <v>0.55327073054273435</v>
      </c>
      <c r="L1841" s="17">
        <f t="shared" si="86"/>
        <v>0.250039789909279</v>
      </c>
      <c r="M1841" t="str">
        <f>VLOOKUP(D1841,'Jer-Tip-Emp'!B:E,4,0)</f>
        <v>Combos para compartir</v>
      </c>
      <c r="N1841" t="str">
        <f>VLOOKUP(D1841,'Jer-Tip-Emp'!B:F,5,0)</f>
        <v>No Personal</v>
      </c>
      <c r="O1841" t="str">
        <f>VLOOKUP(D1841,'Jer-Tip-Emp'!B:G,6,0)</f>
        <v>Combo</v>
      </c>
    </row>
    <row r="1842" spans="1:15" ht="27.5" hidden="1" customHeight="1" x14ac:dyDescent="0.2">
      <c r="A1842">
        <v>2025</v>
      </c>
      <c r="B1842" t="s">
        <v>618</v>
      </c>
      <c r="C1842" t="s">
        <v>594</v>
      </c>
      <c r="D1842" s="19" t="s">
        <v>457</v>
      </c>
      <c r="E1842" s="18" t="s">
        <v>602</v>
      </c>
      <c r="F1842" s="18">
        <v>2</v>
      </c>
      <c r="G1842" s="20">
        <v>13400</v>
      </c>
      <c r="H1842" s="18">
        <v>0</v>
      </c>
      <c r="I1842" s="18">
        <v>14</v>
      </c>
      <c r="J1842" s="8">
        <f t="shared" si="84"/>
        <v>13386</v>
      </c>
      <c r="K1842" s="10">
        <f t="shared" si="85"/>
        <v>0.99895522388059699</v>
      </c>
      <c r="L1842" s="17">
        <f t="shared" si="86"/>
        <v>0</v>
      </c>
      <c r="M1842" t="str">
        <f>VLOOKUP(D1842,'Jer-Tip-Emp'!B:E,4,0)</f>
        <v>Adición</v>
      </c>
      <c r="N1842" t="str">
        <f>VLOOKUP(D1842,'Jer-Tip-Emp'!B:F,5,0)</f>
        <v>Adición</v>
      </c>
      <c r="O1842" t="str">
        <f>VLOOKUP(D1842,'Jer-Tip-Emp'!B:G,6,0)</f>
        <v>Adición</v>
      </c>
    </row>
    <row r="1843" spans="1:15" ht="27.5" customHeight="1" x14ac:dyDescent="0.2">
      <c r="A1843">
        <v>2025</v>
      </c>
      <c r="B1843" t="s">
        <v>618</v>
      </c>
      <c r="C1843" t="s">
        <v>594</v>
      </c>
      <c r="D1843" s="19" t="s">
        <v>322</v>
      </c>
      <c r="E1843" s="18" t="s">
        <v>545</v>
      </c>
      <c r="F1843" s="18">
        <v>2</v>
      </c>
      <c r="G1843" s="20">
        <v>4000</v>
      </c>
      <c r="H1843" s="18">
        <v>0</v>
      </c>
      <c r="I1843" s="20">
        <v>6216</v>
      </c>
      <c r="J1843" s="8">
        <f t="shared" si="84"/>
        <v>-2216</v>
      </c>
      <c r="K1843" s="10">
        <f t="shared" si="85"/>
        <v>-0.55400000000000005</v>
      </c>
      <c r="L1843" s="17">
        <f t="shared" si="86"/>
        <v>0</v>
      </c>
      <c r="M1843" t="str">
        <f>VLOOKUP(D1843,'Jer-Tip-Emp'!B:E,4,0)</f>
        <v>Arma tu plato</v>
      </c>
      <c r="N1843" t="str">
        <f>VLOOKUP(D1843,'Jer-Tip-Emp'!B:F,5,0)</f>
        <v>Personal</v>
      </c>
      <c r="O1843" t="str">
        <f>VLOOKUP(D1843,'Jer-Tip-Emp'!B:G,6,0)</f>
        <v>Caja</v>
      </c>
    </row>
    <row r="1844" spans="1:15" ht="27.5" hidden="1" customHeight="1" x14ac:dyDescent="0.2">
      <c r="A1844">
        <v>2025</v>
      </c>
      <c r="B1844" t="s">
        <v>618</v>
      </c>
      <c r="C1844" t="s">
        <v>594</v>
      </c>
      <c r="D1844" s="19" t="s">
        <v>328</v>
      </c>
      <c r="E1844" s="18" t="s">
        <v>555</v>
      </c>
      <c r="F1844" s="18">
        <v>2</v>
      </c>
      <c r="G1844" s="20">
        <v>1000</v>
      </c>
      <c r="H1844" s="20">
        <v>-1000</v>
      </c>
      <c r="I1844" s="18">
        <v>118</v>
      </c>
      <c r="J1844" s="8">
        <f t="shared" si="84"/>
        <v>882</v>
      </c>
      <c r="K1844" s="10">
        <f t="shared" si="85"/>
        <v>0.88200000000000001</v>
      </c>
      <c r="L1844" s="17">
        <f t="shared" si="86"/>
        <v>1</v>
      </c>
      <c r="M1844" t="str">
        <f>VLOOKUP(D1844,'Jer-Tip-Emp'!B:E,4,0)</f>
        <v>Adición</v>
      </c>
      <c r="N1844" t="str">
        <f>VLOOKUP(D1844,'Jer-Tip-Emp'!B:F,5,0)</f>
        <v>Adición</v>
      </c>
      <c r="O1844" t="str">
        <f>VLOOKUP(D1844,'Jer-Tip-Emp'!B:G,6,0)</f>
        <v>Adición</v>
      </c>
    </row>
    <row r="1845" spans="1:15" ht="27.5" hidden="1" customHeight="1" x14ac:dyDescent="0.2">
      <c r="A1845">
        <v>2025</v>
      </c>
      <c r="B1845" t="s">
        <v>618</v>
      </c>
      <c r="C1845" t="s">
        <v>594</v>
      </c>
      <c r="D1845" s="19" t="s">
        <v>411</v>
      </c>
      <c r="E1845" s="18" t="s">
        <v>569</v>
      </c>
      <c r="F1845" s="18">
        <v>2</v>
      </c>
      <c r="G1845" s="20">
        <v>4000</v>
      </c>
      <c r="H1845" s="18">
        <v>0</v>
      </c>
      <c r="I1845" s="20">
        <v>4470</v>
      </c>
      <c r="J1845" s="8">
        <f t="shared" si="84"/>
        <v>-470</v>
      </c>
      <c r="K1845" s="10">
        <f t="shared" si="85"/>
        <v>-0.11749999999999999</v>
      </c>
      <c r="L1845" s="17">
        <f t="shared" si="86"/>
        <v>0</v>
      </c>
      <c r="M1845" t="str">
        <f>VLOOKUP(D1845,'Jer-Tip-Emp'!B:E,4,0)</f>
        <v>Bebidas</v>
      </c>
      <c r="N1845" t="str">
        <f>VLOOKUP(D1845,'Jer-Tip-Emp'!B:F,5,0)</f>
        <v>Bebidas Cambio de bebida</v>
      </c>
      <c r="O1845" t="str">
        <f>VLOOKUP(D1845,'Jer-Tip-Emp'!B:G,6,0)</f>
        <v>Bebidas</v>
      </c>
    </row>
    <row r="1846" spans="1:15" ht="27.5" hidden="1" customHeight="1" x14ac:dyDescent="0.2">
      <c r="A1846">
        <v>2025</v>
      </c>
      <c r="B1846" t="s">
        <v>618</v>
      </c>
      <c r="C1846" t="s">
        <v>594</v>
      </c>
      <c r="D1846" s="19" t="s">
        <v>450</v>
      </c>
      <c r="E1846" s="18" t="s">
        <v>565</v>
      </c>
      <c r="F1846" s="18">
        <v>2</v>
      </c>
      <c r="G1846" s="20">
        <v>4000</v>
      </c>
      <c r="H1846" s="18">
        <v>0</v>
      </c>
      <c r="I1846" s="20">
        <v>3748</v>
      </c>
      <c r="J1846" s="8">
        <f t="shared" si="84"/>
        <v>252</v>
      </c>
      <c r="K1846" s="10">
        <f t="shared" si="85"/>
        <v>6.3E-2</v>
      </c>
      <c r="L1846" s="17">
        <f t="shared" si="86"/>
        <v>0</v>
      </c>
      <c r="M1846" t="str">
        <f>VLOOKUP(D1846,'Jer-Tip-Emp'!B:E,4,0)</f>
        <v>Bebidas</v>
      </c>
      <c r="N1846" t="str">
        <f>VLOOKUP(D1846,'Jer-Tip-Emp'!B:F,5,0)</f>
        <v>Bebidas Cambio de bebida</v>
      </c>
      <c r="O1846" t="str">
        <f>VLOOKUP(D1846,'Jer-Tip-Emp'!B:G,6,0)</f>
        <v>Bebidas</v>
      </c>
    </row>
    <row r="1847" spans="1:15" ht="27.5" hidden="1" customHeight="1" x14ac:dyDescent="0.2">
      <c r="A1847">
        <v>2025</v>
      </c>
      <c r="B1847" t="s">
        <v>618</v>
      </c>
      <c r="C1847" t="s">
        <v>594</v>
      </c>
      <c r="D1847" s="19" t="s">
        <v>410</v>
      </c>
      <c r="E1847" s="18" t="s">
        <v>559</v>
      </c>
      <c r="F1847" s="18">
        <v>2</v>
      </c>
      <c r="G1847" s="20">
        <v>5200</v>
      </c>
      <c r="H1847" s="18">
        <v>0</v>
      </c>
      <c r="I1847" s="20">
        <v>4470</v>
      </c>
      <c r="J1847" s="8">
        <f t="shared" si="84"/>
        <v>730</v>
      </c>
      <c r="K1847" s="10">
        <f t="shared" si="85"/>
        <v>0.14038461538461539</v>
      </c>
      <c r="L1847" s="17">
        <f t="shared" si="86"/>
        <v>0</v>
      </c>
      <c r="M1847" t="str">
        <f>VLOOKUP(D1847,'Jer-Tip-Emp'!B:E,4,0)</f>
        <v>Bebidas</v>
      </c>
      <c r="N1847" t="str">
        <f>VLOOKUP(D1847,'Jer-Tip-Emp'!B:F,5,0)</f>
        <v>Bebidas Cambio de bebida</v>
      </c>
      <c r="O1847" t="str">
        <f>VLOOKUP(D1847,'Jer-Tip-Emp'!B:G,6,0)</f>
        <v>Bebidas</v>
      </c>
    </row>
    <row r="1848" spans="1:15" ht="27.5" hidden="1" customHeight="1" x14ac:dyDescent="0.2">
      <c r="A1848">
        <v>2025</v>
      </c>
      <c r="B1848" t="s">
        <v>618</v>
      </c>
      <c r="C1848" t="s">
        <v>594</v>
      </c>
      <c r="D1848" s="19" t="s">
        <v>452</v>
      </c>
      <c r="E1848" s="18" t="s">
        <v>573</v>
      </c>
      <c r="F1848" s="18">
        <v>2</v>
      </c>
      <c r="G1848" s="20">
        <v>4000</v>
      </c>
      <c r="H1848" s="18">
        <v>0</v>
      </c>
      <c r="I1848" s="20">
        <v>3748</v>
      </c>
      <c r="J1848" s="8">
        <f t="shared" si="84"/>
        <v>252</v>
      </c>
      <c r="K1848" s="10">
        <f t="shared" si="85"/>
        <v>6.3E-2</v>
      </c>
      <c r="L1848" s="17">
        <f t="shared" si="86"/>
        <v>0</v>
      </c>
      <c r="M1848" t="str">
        <f>VLOOKUP(D1848,'Jer-Tip-Emp'!B:E,4,0)</f>
        <v>Bebidas</v>
      </c>
      <c r="N1848" t="str">
        <f>VLOOKUP(D1848,'Jer-Tip-Emp'!B:F,5,0)</f>
        <v>Bebidas Cambio de bebida</v>
      </c>
      <c r="O1848" t="str">
        <f>VLOOKUP(D1848,'Jer-Tip-Emp'!B:G,6,0)</f>
        <v>Bebidas</v>
      </c>
    </row>
    <row r="1849" spans="1:15" ht="27.5" hidden="1" customHeight="1" x14ac:dyDescent="0.2">
      <c r="A1849">
        <v>2025</v>
      </c>
      <c r="B1849" t="s">
        <v>618</v>
      </c>
      <c r="C1849" t="s">
        <v>594</v>
      </c>
      <c r="D1849" s="19" t="s">
        <v>494</v>
      </c>
      <c r="E1849" s="18" t="s">
        <v>568</v>
      </c>
      <c r="F1849" s="18">
        <v>2</v>
      </c>
      <c r="G1849" s="20">
        <v>4000</v>
      </c>
      <c r="H1849" s="18">
        <v>0</v>
      </c>
      <c r="I1849" s="20">
        <v>4278</v>
      </c>
      <c r="J1849" s="8">
        <f t="shared" si="84"/>
        <v>-278</v>
      </c>
      <c r="K1849" s="10">
        <f t="shared" si="85"/>
        <v>-6.9500000000000006E-2</v>
      </c>
      <c r="L1849" s="17">
        <f t="shared" si="86"/>
        <v>0</v>
      </c>
      <c r="M1849" t="str">
        <f>VLOOKUP(D1849,'Jer-Tip-Emp'!B:E,4,0)</f>
        <v>Bebidas</v>
      </c>
      <c r="N1849" t="str">
        <f>VLOOKUP(D1849,'Jer-Tip-Emp'!B:F,5,0)</f>
        <v>Bebidas Cambio de bebida</v>
      </c>
      <c r="O1849" t="str">
        <f>VLOOKUP(D1849,'Jer-Tip-Emp'!B:G,6,0)</f>
        <v>Bebidas</v>
      </c>
    </row>
    <row r="1850" spans="1:15" ht="27.5" customHeight="1" x14ac:dyDescent="0.2">
      <c r="A1850">
        <v>2025</v>
      </c>
      <c r="B1850" t="s">
        <v>618</v>
      </c>
      <c r="C1850" t="s">
        <v>594</v>
      </c>
      <c r="D1850" s="19" t="s">
        <v>448</v>
      </c>
      <c r="E1850" s="18" t="s">
        <v>552</v>
      </c>
      <c r="F1850" s="18">
        <v>2</v>
      </c>
      <c r="G1850" s="18">
        <v>0</v>
      </c>
      <c r="H1850" s="18">
        <v>0</v>
      </c>
      <c r="I1850" s="20">
        <v>10526</v>
      </c>
      <c r="J1850" s="8">
        <f t="shared" si="84"/>
        <v>-10526</v>
      </c>
      <c r="K1850" s="10">
        <f t="shared" si="85"/>
        <v>0</v>
      </c>
      <c r="L1850" s="17">
        <f t="shared" si="86"/>
        <v>0</v>
      </c>
      <c r="M1850" t="str">
        <f>VLOOKUP(D1850,'Jer-Tip-Emp'!B:E,4,0)</f>
        <v>Arma tu plato</v>
      </c>
      <c r="N1850" t="str">
        <f>VLOOKUP(D1850,'Jer-Tip-Emp'!B:F,5,0)</f>
        <v>Personal</v>
      </c>
      <c r="O1850" t="str">
        <f>VLOOKUP(D1850,'Jer-Tip-Emp'!B:G,6,0)</f>
        <v>Caja</v>
      </c>
    </row>
    <row r="1851" spans="1:15" ht="27.5" hidden="1" customHeight="1" x14ac:dyDescent="0.2">
      <c r="A1851">
        <v>2025</v>
      </c>
      <c r="B1851" t="s">
        <v>618</v>
      </c>
      <c r="C1851" t="s">
        <v>594</v>
      </c>
      <c r="D1851" s="19" t="s">
        <v>431</v>
      </c>
      <c r="E1851" s="18" t="s">
        <v>560</v>
      </c>
      <c r="F1851" s="18">
        <v>1</v>
      </c>
      <c r="G1851" s="20">
        <v>2000</v>
      </c>
      <c r="H1851" s="18">
        <v>0</v>
      </c>
      <c r="I1851" s="20">
        <v>1330</v>
      </c>
      <c r="J1851" s="8">
        <f t="shared" si="84"/>
        <v>670</v>
      </c>
      <c r="K1851" s="10">
        <f t="shared" si="85"/>
        <v>0.33500000000000002</v>
      </c>
      <c r="L1851" s="17">
        <f t="shared" si="86"/>
        <v>0</v>
      </c>
      <c r="M1851" t="str">
        <f>VLOOKUP(D1851,'Jer-Tip-Emp'!B:E,4,0)</f>
        <v>Bebidas</v>
      </c>
      <c r="N1851" t="str">
        <f>VLOOKUP(D1851,'Jer-Tip-Emp'!B:F,5,0)</f>
        <v>Bebidas Cambio de bebida</v>
      </c>
      <c r="O1851" t="str">
        <f>VLOOKUP(D1851,'Jer-Tip-Emp'!B:G,6,0)</f>
        <v>Bebidas</v>
      </c>
    </row>
    <row r="1852" spans="1:15" ht="27.5" customHeight="1" x14ac:dyDescent="0.2">
      <c r="A1852">
        <v>2025</v>
      </c>
      <c r="B1852" t="s">
        <v>618</v>
      </c>
      <c r="C1852" t="s">
        <v>594</v>
      </c>
      <c r="D1852" s="19" t="s">
        <v>393</v>
      </c>
      <c r="E1852" s="18" t="s">
        <v>549</v>
      </c>
      <c r="F1852" s="18">
        <v>1</v>
      </c>
      <c r="G1852" s="20">
        <v>2000</v>
      </c>
      <c r="H1852" s="18">
        <v>0</v>
      </c>
      <c r="I1852" s="20">
        <v>2035</v>
      </c>
      <c r="J1852" s="8">
        <f t="shared" si="84"/>
        <v>-35</v>
      </c>
      <c r="K1852" s="10">
        <f t="shared" si="85"/>
        <v>-1.7500000000000002E-2</v>
      </c>
      <c r="L1852" s="17">
        <f t="shared" si="86"/>
        <v>0</v>
      </c>
      <c r="M1852" t="str">
        <f>VLOOKUP(D1852,'Jer-Tip-Emp'!B:E,4,0)</f>
        <v>Arma tu plato</v>
      </c>
      <c r="N1852" t="str">
        <f>VLOOKUP(D1852,'Jer-Tip-Emp'!B:F,5,0)</f>
        <v>Personal</v>
      </c>
      <c r="O1852" t="str">
        <f>VLOOKUP(D1852,'Jer-Tip-Emp'!B:G,6,0)</f>
        <v>Caja</v>
      </c>
    </row>
    <row r="1853" spans="1:15" ht="27.5" hidden="1" customHeight="1" x14ac:dyDescent="0.2">
      <c r="A1853">
        <v>2025</v>
      </c>
      <c r="B1853" t="s">
        <v>618</v>
      </c>
      <c r="C1853" t="s">
        <v>594</v>
      </c>
      <c r="D1853" s="19" t="s">
        <v>496</v>
      </c>
      <c r="E1853" s="18" t="s">
        <v>581</v>
      </c>
      <c r="F1853" s="18">
        <v>1</v>
      </c>
      <c r="G1853" s="20">
        <v>2000</v>
      </c>
      <c r="H1853" s="18">
        <v>0</v>
      </c>
      <c r="I1853" s="20">
        <v>1896</v>
      </c>
      <c r="J1853" s="8">
        <f t="shared" si="84"/>
        <v>104</v>
      </c>
      <c r="K1853" s="10">
        <f t="shared" si="85"/>
        <v>5.1999999999999998E-2</v>
      </c>
      <c r="L1853" s="17">
        <f t="shared" si="86"/>
        <v>0</v>
      </c>
      <c r="M1853" t="str">
        <f>VLOOKUP(D1853,'Jer-Tip-Emp'!B:E,4,0)</f>
        <v>Bebidas</v>
      </c>
      <c r="N1853" t="str">
        <f>VLOOKUP(D1853,'Jer-Tip-Emp'!B:F,5,0)</f>
        <v>Bebidas Cambio de bebida</v>
      </c>
      <c r="O1853" t="str">
        <f>VLOOKUP(D1853,'Jer-Tip-Emp'!B:G,6,0)</f>
        <v>Bebidas</v>
      </c>
    </row>
    <row r="1854" spans="1:15" ht="27.5" hidden="1" customHeight="1" x14ac:dyDescent="0.2">
      <c r="A1854">
        <v>2025</v>
      </c>
      <c r="B1854" t="s">
        <v>618</v>
      </c>
      <c r="C1854" t="s">
        <v>594</v>
      </c>
      <c r="D1854" s="19" t="s">
        <v>310</v>
      </c>
      <c r="E1854" s="18" t="s">
        <v>53</v>
      </c>
      <c r="F1854" s="18">
        <v>1</v>
      </c>
      <c r="G1854" s="20">
        <v>6500</v>
      </c>
      <c r="H1854" s="18">
        <v>0</v>
      </c>
      <c r="I1854" s="20">
        <v>1695</v>
      </c>
      <c r="J1854" s="8">
        <f t="shared" si="84"/>
        <v>4805</v>
      </c>
      <c r="K1854" s="10">
        <f t="shared" si="85"/>
        <v>0.73923076923076925</v>
      </c>
      <c r="L1854" s="17">
        <f t="shared" si="86"/>
        <v>0</v>
      </c>
      <c r="M1854" t="str">
        <f>VLOOKUP(D1854,'Jer-Tip-Emp'!B:E,4,0)</f>
        <v>Bebidas</v>
      </c>
      <c r="N1854" t="str">
        <f>VLOOKUP(D1854,'Jer-Tip-Emp'!B:F,5,0)</f>
        <v>Bebidas</v>
      </c>
      <c r="O1854" t="str">
        <f>VLOOKUP(D1854,'Jer-Tip-Emp'!B:G,6,0)</f>
        <v>Bebidas</v>
      </c>
    </row>
    <row r="1855" spans="1:15" ht="27.5" hidden="1" customHeight="1" x14ac:dyDescent="0.2">
      <c r="A1855">
        <v>2025</v>
      </c>
      <c r="B1855" t="s">
        <v>618</v>
      </c>
      <c r="C1855" t="s">
        <v>594</v>
      </c>
      <c r="D1855" s="19" t="s">
        <v>254</v>
      </c>
      <c r="E1855" s="18" t="s">
        <v>20</v>
      </c>
      <c r="F1855" s="18">
        <v>1</v>
      </c>
      <c r="G1855" s="20">
        <v>5900</v>
      </c>
      <c r="H1855" s="18">
        <v>0</v>
      </c>
      <c r="I1855" s="20">
        <v>3010</v>
      </c>
      <c r="J1855" s="8">
        <f t="shared" si="84"/>
        <v>2890</v>
      </c>
      <c r="K1855" s="10">
        <f t="shared" si="85"/>
        <v>0.48983050847457626</v>
      </c>
      <c r="L1855" s="17">
        <f t="shared" si="86"/>
        <v>0</v>
      </c>
      <c r="M1855" t="str">
        <f>VLOOKUP(D1855,'Jer-Tip-Emp'!B:E,4,0)</f>
        <v>Adición</v>
      </c>
      <c r="N1855" t="str">
        <f>VLOOKUP(D1855,'Jer-Tip-Emp'!B:F,5,0)</f>
        <v>Adición</v>
      </c>
      <c r="O1855" t="str">
        <f>VLOOKUP(D1855,'Jer-Tip-Emp'!B:G,6,0)</f>
        <v>Adición</v>
      </c>
    </row>
    <row r="1856" spans="1:15" ht="27.5" hidden="1" customHeight="1" x14ac:dyDescent="0.2">
      <c r="A1856">
        <v>2025</v>
      </c>
      <c r="B1856" t="s">
        <v>618</v>
      </c>
      <c r="C1856" t="s">
        <v>594</v>
      </c>
      <c r="D1856" s="19" t="s">
        <v>465</v>
      </c>
      <c r="E1856" s="18" t="s">
        <v>578</v>
      </c>
      <c r="F1856" s="18">
        <v>1</v>
      </c>
      <c r="G1856" s="20">
        <v>2600</v>
      </c>
      <c r="H1856" s="18">
        <v>0</v>
      </c>
      <c r="I1856" s="20">
        <v>2239</v>
      </c>
      <c r="J1856" s="8">
        <f t="shared" si="84"/>
        <v>361</v>
      </c>
      <c r="K1856" s="10">
        <f t="shared" si="85"/>
        <v>0.13884615384615384</v>
      </c>
      <c r="L1856" s="17">
        <f t="shared" si="86"/>
        <v>0</v>
      </c>
      <c r="M1856" t="str">
        <f>VLOOKUP(D1856,'Jer-Tip-Emp'!B:E,4,0)</f>
        <v>Bebidas</v>
      </c>
      <c r="N1856" t="str">
        <f>VLOOKUP(D1856,'Jer-Tip-Emp'!B:F,5,0)</f>
        <v>Bebidas Cambio de bebida</v>
      </c>
      <c r="O1856" t="str">
        <f>VLOOKUP(D1856,'Jer-Tip-Emp'!B:G,6,0)</f>
        <v>Bebidas</v>
      </c>
    </row>
    <row r="1857" spans="1:15" ht="27.5" customHeight="1" x14ac:dyDescent="0.2">
      <c r="A1857">
        <v>2025</v>
      </c>
      <c r="B1857" t="s">
        <v>618</v>
      </c>
      <c r="C1857" t="s">
        <v>594</v>
      </c>
      <c r="D1857" s="19" t="s">
        <v>266</v>
      </c>
      <c r="E1857" s="18" t="s">
        <v>85</v>
      </c>
      <c r="F1857" s="18">
        <v>1</v>
      </c>
      <c r="G1857" s="20">
        <v>86150</v>
      </c>
      <c r="H1857" s="20">
        <v>-25750</v>
      </c>
      <c r="I1857" s="20">
        <v>39221</v>
      </c>
      <c r="J1857" s="8">
        <f t="shared" ref="J1857:J1920" si="87">G1857-I1857</f>
        <v>46929</v>
      </c>
      <c r="K1857" s="10">
        <f t="shared" ref="K1857:K1920" si="88">IFERROR(J1857/G1857,0)</f>
        <v>0.54473592571096929</v>
      </c>
      <c r="L1857" s="17">
        <f t="shared" ref="L1857:L1920" si="89">IFERROR((H1857/G1857)*-1,0)</f>
        <v>0.29889727219965179</v>
      </c>
      <c r="M1857" t="str">
        <f>VLOOKUP(D1857,'Jer-Tip-Emp'!B:E,4,0)</f>
        <v>Combos para compartir</v>
      </c>
      <c r="N1857" t="str">
        <f>VLOOKUP(D1857,'Jer-Tip-Emp'!B:F,5,0)</f>
        <v>No Personal</v>
      </c>
      <c r="O1857" t="str">
        <f>VLOOKUP(D1857,'Jer-Tip-Emp'!B:G,6,0)</f>
        <v>Combo</v>
      </c>
    </row>
    <row r="1858" spans="1:15" ht="27.5" customHeight="1" x14ac:dyDescent="0.2">
      <c r="A1858">
        <v>2025</v>
      </c>
      <c r="B1858" t="s">
        <v>618</v>
      </c>
      <c r="C1858" t="s">
        <v>594</v>
      </c>
      <c r="D1858" s="19" t="s">
        <v>214</v>
      </c>
      <c r="E1858" s="18" t="s">
        <v>81</v>
      </c>
      <c r="F1858" s="18">
        <v>1</v>
      </c>
      <c r="G1858" s="20">
        <v>64700</v>
      </c>
      <c r="H1858" s="20">
        <v>-16200</v>
      </c>
      <c r="I1858" s="20">
        <v>23638</v>
      </c>
      <c r="J1858" s="8">
        <f t="shared" si="87"/>
        <v>41062</v>
      </c>
      <c r="K1858" s="10">
        <f t="shared" si="88"/>
        <v>0.63465224111282847</v>
      </c>
      <c r="L1858" s="17">
        <f t="shared" si="89"/>
        <v>0.25038639876352398</v>
      </c>
      <c r="M1858" t="str">
        <f>VLOOKUP(D1858,'Jer-Tip-Emp'!B:E,4,0)</f>
        <v>Combos para compartir</v>
      </c>
      <c r="N1858" t="str">
        <f>VLOOKUP(D1858,'Jer-Tip-Emp'!B:F,5,0)</f>
        <v>No Personal</v>
      </c>
      <c r="O1858" t="str">
        <f>VLOOKUP(D1858,'Jer-Tip-Emp'!B:G,6,0)</f>
        <v>Combo</v>
      </c>
    </row>
    <row r="1859" spans="1:15" ht="27.5" hidden="1" customHeight="1" x14ac:dyDescent="0.2">
      <c r="A1859">
        <v>2025</v>
      </c>
      <c r="B1859" t="s">
        <v>618</v>
      </c>
      <c r="C1859" t="s">
        <v>594</v>
      </c>
      <c r="D1859" s="19" t="s">
        <v>444</v>
      </c>
      <c r="E1859" s="18" t="s">
        <v>562</v>
      </c>
      <c r="F1859" s="18">
        <v>1</v>
      </c>
      <c r="G1859" s="20">
        <v>2000</v>
      </c>
      <c r="H1859" s="18">
        <v>0</v>
      </c>
      <c r="I1859" s="20">
        <v>1610</v>
      </c>
      <c r="J1859" s="8">
        <f t="shared" si="87"/>
        <v>390</v>
      </c>
      <c r="K1859" s="10">
        <f t="shared" si="88"/>
        <v>0.19500000000000001</v>
      </c>
      <c r="L1859" s="17">
        <f t="shared" si="89"/>
        <v>0</v>
      </c>
      <c r="M1859" t="str">
        <f>VLOOKUP(D1859,'Jer-Tip-Emp'!B:E,4,0)</f>
        <v>Bebidas</v>
      </c>
      <c r="N1859" t="str">
        <f>VLOOKUP(D1859,'Jer-Tip-Emp'!B:F,5,0)</f>
        <v>Bebidas Cambio de bebida</v>
      </c>
      <c r="O1859" t="str">
        <f>VLOOKUP(D1859,'Jer-Tip-Emp'!B:G,6,0)</f>
        <v>Bebidas</v>
      </c>
    </row>
    <row r="1860" spans="1:15" ht="27.5" customHeight="1" x14ac:dyDescent="0.2">
      <c r="A1860">
        <v>2025</v>
      </c>
      <c r="B1860" t="s">
        <v>618</v>
      </c>
      <c r="C1860" t="s">
        <v>595</v>
      </c>
      <c r="D1860" s="19" t="s">
        <v>207</v>
      </c>
      <c r="E1860" s="18" t="s">
        <v>92</v>
      </c>
      <c r="F1860" s="18">
        <v>59</v>
      </c>
      <c r="G1860" s="20">
        <v>1410100</v>
      </c>
      <c r="H1860" s="18">
        <v>0</v>
      </c>
      <c r="I1860" s="20">
        <v>567993</v>
      </c>
      <c r="J1860" s="8">
        <f t="shared" si="87"/>
        <v>842107</v>
      </c>
      <c r="K1860" s="10">
        <f t="shared" si="88"/>
        <v>0.59719665271966527</v>
      </c>
      <c r="L1860" s="17">
        <f t="shared" si="89"/>
        <v>0</v>
      </c>
      <c r="M1860" t="str">
        <f>VLOOKUP(D1860,'Jer-Tip-Emp'!B:E,4,0)</f>
        <v>Combos personales</v>
      </c>
      <c r="N1860" t="str">
        <f>VLOOKUP(D1860,'Jer-Tip-Emp'!B:F,5,0)</f>
        <v>Personal</v>
      </c>
      <c r="O1860" t="str">
        <f>VLOOKUP(D1860,'Jer-Tip-Emp'!B:G,6,0)</f>
        <v>Combo</v>
      </c>
    </row>
    <row r="1861" spans="1:15" ht="27.5" customHeight="1" x14ac:dyDescent="0.2">
      <c r="A1861">
        <v>2025</v>
      </c>
      <c r="B1861" t="s">
        <v>618</v>
      </c>
      <c r="C1861" t="s">
        <v>595</v>
      </c>
      <c r="D1861" s="19" t="s">
        <v>273</v>
      </c>
      <c r="E1861" s="18" t="s">
        <v>23</v>
      </c>
      <c r="F1861" s="18">
        <v>48</v>
      </c>
      <c r="G1861" s="20">
        <v>1195200</v>
      </c>
      <c r="H1861" s="18">
        <v>0</v>
      </c>
      <c r="I1861" s="18">
        <v>0</v>
      </c>
      <c r="J1861" s="8">
        <f t="shared" si="87"/>
        <v>1195200</v>
      </c>
      <c r="K1861" s="10">
        <f t="shared" si="88"/>
        <v>1</v>
      </c>
      <c r="L1861" s="17">
        <f t="shared" si="89"/>
        <v>0</v>
      </c>
      <c r="M1861" t="str">
        <f>VLOOKUP(D1861,'Jer-Tip-Emp'!B:E,4,0)</f>
        <v>Arma tu plato</v>
      </c>
      <c r="N1861" t="str">
        <f>VLOOKUP(D1861,'Jer-Tip-Emp'!B:F,5,0)</f>
        <v>Personal</v>
      </c>
      <c r="O1861" t="str">
        <f>VLOOKUP(D1861,'Jer-Tip-Emp'!B:G,6,0)</f>
        <v>Caja</v>
      </c>
    </row>
    <row r="1862" spans="1:15" ht="27.5" hidden="1" customHeight="1" x14ac:dyDescent="0.2">
      <c r="A1862">
        <v>2025</v>
      </c>
      <c r="B1862" t="s">
        <v>618</v>
      </c>
      <c r="C1862" t="s">
        <v>595</v>
      </c>
      <c r="D1862" s="19" t="s">
        <v>284</v>
      </c>
      <c r="E1862" s="18" t="s">
        <v>106</v>
      </c>
      <c r="F1862" s="18">
        <v>47</v>
      </c>
      <c r="G1862" s="20">
        <v>417009</v>
      </c>
      <c r="H1862" s="20">
        <v>-1291</v>
      </c>
      <c r="I1862" s="20">
        <v>147533</v>
      </c>
      <c r="J1862" s="8">
        <f t="shared" si="87"/>
        <v>269476</v>
      </c>
      <c r="K1862" s="10">
        <f t="shared" si="88"/>
        <v>0.64621147265406742</v>
      </c>
      <c r="L1862" s="17">
        <f t="shared" si="89"/>
        <v>3.0958564443453259E-3</v>
      </c>
      <c r="M1862" t="str">
        <f>VLOOKUP(D1862,'Jer-Tip-Emp'!B:E,4,0)</f>
        <v>Entradas</v>
      </c>
      <c r="N1862" t="str">
        <f>VLOOKUP(D1862,'Jer-Tip-Emp'!B:F,5,0)</f>
        <v>Otro</v>
      </c>
      <c r="O1862" t="str">
        <f>VLOOKUP(D1862,'Jer-Tip-Emp'!B:G,6,0)</f>
        <v>Otro</v>
      </c>
    </row>
    <row r="1863" spans="1:15" ht="27.5" customHeight="1" x14ac:dyDescent="0.2">
      <c r="A1863">
        <v>2025</v>
      </c>
      <c r="B1863" t="s">
        <v>618</v>
      </c>
      <c r="C1863" t="s">
        <v>595</v>
      </c>
      <c r="D1863" s="19" t="s">
        <v>299</v>
      </c>
      <c r="E1863" s="18" t="s">
        <v>129</v>
      </c>
      <c r="F1863" s="18">
        <v>28</v>
      </c>
      <c r="G1863" s="20">
        <v>1200574</v>
      </c>
      <c r="H1863" s="18">
        <v>-626</v>
      </c>
      <c r="I1863" s="20">
        <v>317296</v>
      </c>
      <c r="J1863" s="8">
        <f t="shared" si="87"/>
        <v>883278</v>
      </c>
      <c r="K1863" s="10">
        <f t="shared" si="88"/>
        <v>0.73571308390819723</v>
      </c>
      <c r="L1863" s="17">
        <f t="shared" si="89"/>
        <v>5.2141725541282754E-4</v>
      </c>
      <c r="M1863" t="str">
        <f>VLOOKUP(D1863,'Jer-Tip-Emp'!B:E,4,0)</f>
        <v>Platos mong</v>
      </c>
      <c r="N1863" t="str">
        <f>VLOOKUP(D1863,'Jer-Tip-Emp'!B:F,5,0)</f>
        <v>No Personal</v>
      </c>
      <c r="O1863" t="str">
        <f>VLOOKUP(D1863,'Jer-Tip-Emp'!B:G,6,0)</f>
        <v>Caja</v>
      </c>
    </row>
    <row r="1864" spans="1:15" ht="27.5" customHeight="1" x14ac:dyDescent="0.2">
      <c r="A1864">
        <v>2025</v>
      </c>
      <c r="B1864" t="s">
        <v>618</v>
      </c>
      <c r="C1864" t="s">
        <v>595</v>
      </c>
      <c r="D1864" s="19" t="s">
        <v>313</v>
      </c>
      <c r="E1864" s="18" t="s">
        <v>540</v>
      </c>
      <c r="F1864" s="18">
        <v>27</v>
      </c>
      <c r="G1864" s="18">
        <v>0</v>
      </c>
      <c r="H1864" s="18">
        <v>0</v>
      </c>
      <c r="I1864" s="20">
        <v>148257</v>
      </c>
      <c r="J1864" s="8">
        <f t="shared" si="87"/>
        <v>-148257</v>
      </c>
      <c r="K1864" s="10">
        <f t="shared" si="88"/>
        <v>0</v>
      </c>
      <c r="L1864" s="17">
        <f t="shared" si="89"/>
        <v>0</v>
      </c>
      <c r="M1864" t="str">
        <f>VLOOKUP(D1864,'Jer-Tip-Emp'!B:E,4,0)</f>
        <v>Arma tu plato</v>
      </c>
      <c r="N1864" t="str">
        <f>VLOOKUP(D1864,'Jer-Tip-Emp'!B:F,5,0)</f>
        <v>Personal</v>
      </c>
      <c r="O1864" t="str">
        <f>VLOOKUP(D1864,'Jer-Tip-Emp'!B:G,6,0)</f>
        <v>Caja</v>
      </c>
    </row>
    <row r="1865" spans="1:15" ht="27.5" customHeight="1" x14ac:dyDescent="0.2">
      <c r="A1865">
        <v>2025</v>
      </c>
      <c r="B1865" t="s">
        <v>618</v>
      </c>
      <c r="C1865" t="s">
        <v>595</v>
      </c>
      <c r="D1865" s="19" t="s">
        <v>212</v>
      </c>
      <c r="E1865" s="18" t="s">
        <v>160</v>
      </c>
      <c r="F1865" s="18">
        <v>24</v>
      </c>
      <c r="G1865" s="20">
        <v>693600</v>
      </c>
      <c r="H1865" s="18">
        <v>0</v>
      </c>
      <c r="I1865" s="20">
        <v>270072</v>
      </c>
      <c r="J1865" s="8">
        <f t="shared" si="87"/>
        <v>423528</v>
      </c>
      <c r="K1865" s="10">
        <f t="shared" si="88"/>
        <v>0.61062283737024226</v>
      </c>
      <c r="L1865" s="17">
        <f t="shared" si="89"/>
        <v>0</v>
      </c>
      <c r="M1865" t="str">
        <f>VLOOKUP(D1865,'Jer-Tip-Emp'!B:E,4,0)</f>
        <v>Combos personales</v>
      </c>
      <c r="N1865" t="str">
        <f>VLOOKUP(D1865,'Jer-Tip-Emp'!B:F,5,0)</f>
        <v>Personal</v>
      </c>
      <c r="O1865" t="str">
        <f>VLOOKUP(D1865,'Jer-Tip-Emp'!B:G,6,0)</f>
        <v>Combo</v>
      </c>
    </row>
    <row r="1866" spans="1:15" ht="27.5" customHeight="1" x14ac:dyDescent="0.2">
      <c r="A1866">
        <v>2025</v>
      </c>
      <c r="B1866" t="s">
        <v>618</v>
      </c>
      <c r="C1866" t="s">
        <v>595</v>
      </c>
      <c r="D1866" s="19" t="s">
        <v>185</v>
      </c>
      <c r="E1866" s="18" t="s">
        <v>137</v>
      </c>
      <c r="F1866" s="18">
        <v>24</v>
      </c>
      <c r="G1866" s="20">
        <v>947814</v>
      </c>
      <c r="H1866" s="20">
        <v>-9786</v>
      </c>
      <c r="I1866" s="20">
        <v>481272</v>
      </c>
      <c r="J1866" s="8">
        <f t="shared" si="87"/>
        <v>466542</v>
      </c>
      <c r="K1866" s="10">
        <f t="shared" si="88"/>
        <v>0.49222948806411382</v>
      </c>
      <c r="L1866" s="17">
        <f t="shared" si="89"/>
        <v>1.0324810564098019E-2</v>
      </c>
      <c r="M1866" t="str">
        <f>VLOOKUP(D1866,'Jer-Tip-Emp'!B:E,4,0)</f>
        <v>Platos mong</v>
      </c>
      <c r="N1866" t="str">
        <f>VLOOKUP(D1866,'Jer-Tip-Emp'!B:F,5,0)</f>
        <v>No Personal</v>
      </c>
      <c r="O1866" t="str">
        <f>VLOOKUP(D1866,'Jer-Tip-Emp'!B:G,6,0)</f>
        <v>Platos Especiales</v>
      </c>
    </row>
    <row r="1867" spans="1:15" ht="27.5" customHeight="1" x14ac:dyDescent="0.2">
      <c r="A1867">
        <v>2025</v>
      </c>
      <c r="B1867" t="s">
        <v>618</v>
      </c>
      <c r="C1867" t="s">
        <v>595</v>
      </c>
      <c r="D1867" s="19" t="s">
        <v>333</v>
      </c>
      <c r="E1867" s="18" t="s">
        <v>547</v>
      </c>
      <c r="F1867" s="18">
        <v>21</v>
      </c>
      <c r="G1867" s="18">
        <v>0</v>
      </c>
      <c r="H1867" s="18">
        <v>0</v>
      </c>
      <c r="I1867" s="20">
        <v>69762</v>
      </c>
      <c r="J1867" s="8">
        <f t="shared" si="87"/>
        <v>-69762</v>
      </c>
      <c r="K1867" s="10">
        <f t="shared" si="88"/>
        <v>0</v>
      </c>
      <c r="L1867" s="17">
        <f t="shared" si="89"/>
        <v>0</v>
      </c>
      <c r="M1867" t="str">
        <f>VLOOKUP(D1867,'Jer-Tip-Emp'!B:E,4,0)</f>
        <v>Arma tu plato</v>
      </c>
      <c r="N1867" t="str">
        <f>VLOOKUP(D1867,'Jer-Tip-Emp'!B:F,5,0)</f>
        <v>Personal</v>
      </c>
      <c r="O1867" t="str">
        <f>VLOOKUP(D1867,'Jer-Tip-Emp'!B:G,6,0)</f>
        <v>Caja</v>
      </c>
    </row>
    <row r="1868" spans="1:15" ht="27.5" customHeight="1" x14ac:dyDescent="0.2">
      <c r="A1868">
        <v>2025</v>
      </c>
      <c r="B1868" t="s">
        <v>618</v>
      </c>
      <c r="C1868" t="s">
        <v>595</v>
      </c>
      <c r="D1868" s="19" t="s">
        <v>389</v>
      </c>
      <c r="E1868" s="18" t="s">
        <v>541</v>
      </c>
      <c r="F1868" s="18">
        <v>19</v>
      </c>
      <c r="G1868" s="18">
        <v>0</v>
      </c>
      <c r="H1868" s="18">
        <v>0</v>
      </c>
      <c r="I1868" s="20">
        <v>103873</v>
      </c>
      <c r="J1868" s="8">
        <f t="shared" si="87"/>
        <v>-103873</v>
      </c>
      <c r="K1868" s="10">
        <f t="shared" si="88"/>
        <v>0</v>
      </c>
      <c r="L1868" s="17">
        <f t="shared" si="89"/>
        <v>0</v>
      </c>
      <c r="M1868" t="str">
        <f>VLOOKUP(D1868,'Jer-Tip-Emp'!B:E,4,0)</f>
        <v>Arma tu plato</v>
      </c>
      <c r="N1868" t="str">
        <f>VLOOKUP(D1868,'Jer-Tip-Emp'!B:F,5,0)</f>
        <v>Personal</v>
      </c>
      <c r="O1868" t="str">
        <f>VLOOKUP(D1868,'Jer-Tip-Emp'!B:G,6,0)</f>
        <v>Caja</v>
      </c>
    </row>
    <row r="1869" spans="1:15" ht="27.5" customHeight="1" x14ac:dyDescent="0.2">
      <c r="A1869">
        <v>2025</v>
      </c>
      <c r="B1869" t="s">
        <v>618</v>
      </c>
      <c r="C1869" t="s">
        <v>595</v>
      </c>
      <c r="D1869" s="19" t="s">
        <v>295</v>
      </c>
      <c r="E1869" s="18" t="s">
        <v>110</v>
      </c>
      <c r="F1869" s="18">
        <v>18</v>
      </c>
      <c r="G1869" s="20">
        <v>343910</v>
      </c>
      <c r="H1869" s="20">
        <v>-14290</v>
      </c>
      <c r="I1869" s="20">
        <v>121824</v>
      </c>
      <c r="J1869" s="8">
        <f t="shared" si="87"/>
        <v>222086</v>
      </c>
      <c r="K1869" s="10">
        <f t="shared" si="88"/>
        <v>0.64576778808409174</v>
      </c>
      <c r="L1869" s="17">
        <f t="shared" si="89"/>
        <v>4.1551568724375564E-2</v>
      </c>
      <c r="M1869" t="str">
        <f>VLOOKUP(D1869,'Jer-Tip-Emp'!B:E,4,0)</f>
        <v>Platos mong</v>
      </c>
      <c r="N1869" t="str">
        <f>VLOOKUP(D1869,'Jer-Tip-Emp'!B:F,5,0)</f>
        <v>Personal</v>
      </c>
      <c r="O1869" t="str">
        <f>VLOOKUP(D1869,'Jer-Tip-Emp'!B:G,6,0)</f>
        <v>Caja</v>
      </c>
    </row>
    <row r="1870" spans="1:15" ht="27.5" customHeight="1" x14ac:dyDescent="0.2">
      <c r="A1870">
        <v>2025</v>
      </c>
      <c r="B1870" t="s">
        <v>618</v>
      </c>
      <c r="C1870" t="s">
        <v>595</v>
      </c>
      <c r="D1870" s="19" t="s">
        <v>180</v>
      </c>
      <c r="E1870" s="18" t="s">
        <v>128</v>
      </c>
      <c r="F1870" s="18">
        <v>17</v>
      </c>
      <c r="G1870" s="20">
        <v>334500</v>
      </c>
      <c r="H1870" s="20">
        <v>-20800</v>
      </c>
      <c r="I1870" s="20">
        <v>116246</v>
      </c>
      <c r="J1870" s="8">
        <f t="shared" si="87"/>
        <v>218254</v>
      </c>
      <c r="K1870" s="10">
        <f t="shared" si="88"/>
        <v>0.65247832585949173</v>
      </c>
      <c r="L1870" s="17">
        <f t="shared" si="89"/>
        <v>6.2182361733931241E-2</v>
      </c>
      <c r="M1870" t="str">
        <f>VLOOKUP(D1870,'Jer-Tip-Emp'!B:E,4,0)</f>
        <v>Platos mong</v>
      </c>
      <c r="N1870" t="str">
        <f>VLOOKUP(D1870,'Jer-Tip-Emp'!B:F,5,0)</f>
        <v>Personal</v>
      </c>
      <c r="O1870" t="str">
        <f>VLOOKUP(D1870,'Jer-Tip-Emp'!B:G,6,0)</f>
        <v>Caja</v>
      </c>
    </row>
    <row r="1871" spans="1:15" ht="27.5" customHeight="1" x14ac:dyDescent="0.2">
      <c r="A1871">
        <v>2025</v>
      </c>
      <c r="B1871" t="s">
        <v>618</v>
      </c>
      <c r="C1871" t="s">
        <v>595</v>
      </c>
      <c r="D1871" s="19" t="s">
        <v>470</v>
      </c>
      <c r="E1871" s="18" t="s">
        <v>550</v>
      </c>
      <c r="F1871" s="18">
        <v>15</v>
      </c>
      <c r="G1871" s="18">
        <v>0</v>
      </c>
      <c r="H1871" s="18">
        <v>0</v>
      </c>
      <c r="I1871" s="20">
        <v>46455</v>
      </c>
      <c r="J1871" s="8">
        <f t="shared" si="87"/>
        <v>-46455</v>
      </c>
      <c r="K1871" s="10">
        <f t="shared" si="88"/>
        <v>0</v>
      </c>
      <c r="L1871" s="17">
        <f t="shared" si="89"/>
        <v>0</v>
      </c>
      <c r="M1871" t="str">
        <f>VLOOKUP(D1871,'Jer-Tip-Emp'!B:E,4,0)</f>
        <v>Arma tu plato</v>
      </c>
      <c r="N1871" t="str">
        <f>VLOOKUP(D1871,'Jer-Tip-Emp'!B:F,5,0)</f>
        <v>Personal</v>
      </c>
      <c r="O1871" t="str">
        <f>VLOOKUP(D1871,'Jer-Tip-Emp'!B:G,6,0)</f>
        <v>Caja</v>
      </c>
    </row>
    <row r="1872" spans="1:15" ht="27.5" hidden="1" customHeight="1" x14ac:dyDescent="0.2">
      <c r="A1872">
        <v>2025</v>
      </c>
      <c r="B1872" t="s">
        <v>618</v>
      </c>
      <c r="C1872" t="s">
        <v>595</v>
      </c>
      <c r="D1872" s="19" t="s">
        <v>189</v>
      </c>
      <c r="E1872" s="18" t="s">
        <v>21</v>
      </c>
      <c r="F1872" s="18">
        <v>14</v>
      </c>
      <c r="G1872" s="20">
        <v>96600</v>
      </c>
      <c r="H1872" s="18">
        <v>0</v>
      </c>
      <c r="I1872" s="20">
        <v>34496</v>
      </c>
      <c r="J1872" s="8">
        <f t="shared" si="87"/>
        <v>62104</v>
      </c>
      <c r="K1872" s="10">
        <f t="shared" si="88"/>
        <v>0.64289855072463764</v>
      </c>
      <c r="L1872" s="17">
        <f t="shared" si="89"/>
        <v>0</v>
      </c>
      <c r="M1872" t="str">
        <f>VLOOKUP(D1872,'Jer-Tip-Emp'!B:E,4,0)</f>
        <v>Adición</v>
      </c>
      <c r="N1872" t="str">
        <f>VLOOKUP(D1872,'Jer-Tip-Emp'!B:F,5,0)</f>
        <v>Adición</v>
      </c>
      <c r="O1872" t="str">
        <f>VLOOKUP(D1872,'Jer-Tip-Emp'!B:G,6,0)</f>
        <v>Adición</v>
      </c>
    </row>
    <row r="1873" spans="1:15" ht="27.5" customHeight="1" x14ac:dyDescent="0.2">
      <c r="A1873">
        <v>2025</v>
      </c>
      <c r="B1873" t="s">
        <v>618</v>
      </c>
      <c r="C1873" t="s">
        <v>595</v>
      </c>
      <c r="D1873" s="19" t="s">
        <v>286</v>
      </c>
      <c r="E1873" s="18" t="s">
        <v>144</v>
      </c>
      <c r="F1873" s="18">
        <v>14</v>
      </c>
      <c r="G1873" s="20">
        <v>936600</v>
      </c>
      <c r="H1873" s="18">
        <v>0</v>
      </c>
      <c r="I1873" s="20">
        <v>485170</v>
      </c>
      <c r="J1873" s="8">
        <f t="shared" si="87"/>
        <v>451430</v>
      </c>
      <c r="K1873" s="10">
        <f t="shared" si="88"/>
        <v>0.48198804185351268</v>
      </c>
      <c r="L1873" s="17">
        <f t="shared" si="89"/>
        <v>0</v>
      </c>
      <c r="M1873" t="str">
        <f>VLOOKUP(D1873,'Jer-Tip-Emp'!B:E,4,0)</f>
        <v>Platos mong</v>
      </c>
      <c r="N1873" t="str">
        <f>VLOOKUP(D1873,'Jer-Tip-Emp'!B:F,5,0)</f>
        <v>No Personal</v>
      </c>
      <c r="O1873" t="str">
        <f>VLOOKUP(D1873,'Jer-Tip-Emp'!B:G,6,0)</f>
        <v>Caja</v>
      </c>
    </row>
    <row r="1874" spans="1:15" ht="27.5" customHeight="1" x14ac:dyDescent="0.2">
      <c r="A1874">
        <v>2025</v>
      </c>
      <c r="B1874" t="s">
        <v>618</v>
      </c>
      <c r="C1874" t="s">
        <v>595</v>
      </c>
      <c r="D1874" s="19" t="s">
        <v>322</v>
      </c>
      <c r="E1874" s="18" t="s">
        <v>545</v>
      </c>
      <c r="F1874" s="18">
        <v>14</v>
      </c>
      <c r="G1874" s="20">
        <v>28000</v>
      </c>
      <c r="H1874" s="18">
        <v>0</v>
      </c>
      <c r="I1874" s="20">
        <v>43512</v>
      </c>
      <c r="J1874" s="8">
        <f t="shared" si="87"/>
        <v>-15512</v>
      </c>
      <c r="K1874" s="10">
        <f t="shared" si="88"/>
        <v>-0.55400000000000005</v>
      </c>
      <c r="L1874" s="17">
        <f t="shared" si="89"/>
        <v>0</v>
      </c>
      <c r="M1874" t="str">
        <f>VLOOKUP(D1874,'Jer-Tip-Emp'!B:E,4,0)</f>
        <v>Arma tu plato</v>
      </c>
      <c r="N1874" t="str">
        <f>VLOOKUP(D1874,'Jer-Tip-Emp'!B:F,5,0)</f>
        <v>Personal</v>
      </c>
      <c r="O1874" t="str">
        <f>VLOOKUP(D1874,'Jer-Tip-Emp'!B:G,6,0)</f>
        <v>Caja</v>
      </c>
    </row>
    <row r="1875" spans="1:15" ht="27.5" customHeight="1" x14ac:dyDescent="0.2">
      <c r="A1875">
        <v>2025</v>
      </c>
      <c r="B1875" t="s">
        <v>618</v>
      </c>
      <c r="C1875" t="s">
        <v>595</v>
      </c>
      <c r="D1875" s="19" t="s">
        <v>393</v>
      </c>
      <c r="E1875" s="18" t="s">
        <v>549</v>
      </c>
      <c r="F1875" s="18">
        <v>14</v>
      </c>
      <c r="G1875" s="20">
        <v>28000</v>
      </c>
      <c r="H1875" s="18">
        <v>0</v>
      </c>
      <c r="I1875" s="20">
        <v>28490</v>
      </c>
      <c r="J1875" s="8">
        <f t="shared" si="87"/>
        <v>-490</v>
      </c>
      <c r="K1875" s="10">
        <f t="shared" si="88"/>
        <v>-1.7500000000000002E-2</v>
      </c>
      <c r="L1875" s="17">
        <f t="shared" si="89"/>
        <v>0</v>
      </c>
      <c r="M1875" t="str">
        <f>VLOOKUP(D1875,'Jer-Tip-Emp'!B:E,4,0)</f>
        <v>Arma tu plato</v>
      </c>
      <c r="N1875" t="str">
        <f>VLOOKUP(D1875,'Jer-Tip-Emp'!B:F,5,0)</f>
        <v>Personal</v>
      </c>
      <c r="O1875" t="str">
        <f>VLOOKUP(D1875,'Jer-Tip-Emp'!B:G,6,0)</f>
        <v>Caja</v>
      </c>
    </row>
    <row r="1876" spans="1:15" ht="27.5" customHeight="1" x14ac:dyDescent="0.2">
      <c r="A1876">
        <v>2025</v>
      </c>
      <c r="B1876" t="s">
        <v>618</v>
      </c>
      <c r="C1876" t="s">
        <v>595</v>
      </c>
      <c r="D1876" s="19" t="s">
        <v>196</v>
      </c>
      <c r="E1876" s="18" t="s">
        <v>159</v>
      </c>
      <c r="F1876" s="18">
        <v>13</v>
      </c>
      <c r="G1876" s="20">
        <v>336700</v>
      </c>
      <c r="H1876" s="18">
        <v>0</v>
      </c>
      <c r="I1876" s="20">
        <v>123513</v>
      </c>
      <c r="J1876" s="8">
        <f t="shared" si="87"/>
        <v>213187</v>
      </c>
      <c r="K1876" s="10">
        <f t="shared" si="88"/>
        <v>0.63316602316602322</v>
      </c>
      <c r="L1876" s="17">
        <f t="shared" si="89"/>
        <v>0</v>
      </c>
      <c r="M1876" t="str">
        <f>VLOOKUP(D1876,'Jer-Tip-Emp'!B:E,4,0)</f>
        <v>Combos personales</v>
      </c>
      <c r="N1876" t="str">
        <f>VLOOKUP(D1876,'Jer-Tip-Emp'!B:F,5,0)</f>
        <v>Personal</v>
      </c>
      <c r="O1876" t="str">
        <f>VLOOKUP(D1876,'Jer-Tip-Emp'!B:G,6,0)</f>
        <v>Combo</v>
      </c>
    </row>
    <row r="1877" spans="1:15" ht="27.5" customHeight="1" x14ac:dyDescent="0.2">
      <c r="A1877">
        <v>2025</v>
      </c>
      <c r="B1877" t="s">
        <v>618</v>
      </c>
      <c r="C1877" t="s">
        <v>595</v>
      </c>
      <c r="D1877" s="19" t="s">
        <v>376</v>
      </c>
      <c r="E1877" s="18" t="s">
        <v>543</v>
      </c>
      <c r="F1877" s="18">
        <v>13</v>
      </c>
      <c r="G1877" s="18">
        <v>0</v>
      </c>
      <c r="H1877" s="18">
        <v>0</v>
      </c>
      <c r="I1877" s="20">
        <v>16666</v>
      </c>
      <c r="J1877" s="8">
        <f t="shared" si="87"/>
        <v>-16666</v>
      </c>
      <c r="K1877" s="10">
        <f t="shared" si="88"/>
        <v>0</v>
      </c>
      <c r="L1877" s="17">
        <f t="shared" si="89"/>
        <v>0</v>
      </c>
      <c r="M1877" t="str">
        <f>VLOOKUP(D1877,'Jer-Tip-Emp'!B:E,4,0)</f>
        <v>Arma tu plato</v>
      </c>
      <c r="N1877" t="str">
        <f>VLOOKUP(D1877,'Jer-Tip-Emp'!B:F,5,0)</f>
        <v>Personal</v>
      </c>
      <c r="O1877" t="str">
        <f>VLOOKUP(D1877,'Jer-Tip-Emp'!B:G,6,0)</f>
        <v>Caja</v>
      </c>
    </row>
    <row r="1878" spans="1:15" ht="27.5" customHeight="1" x14ac:dyDescent="0.2">
      <c r="A1878">
        <v>2025</v>
      </c>
      <c r="B1878" t="s">
        <v>618</v>
      </c>
      <c r="C1878" t="s">
        <v>595</v>
      </c>
      <c r="D1878" s="19" t="s">
        <v>285</v>
      </c>
      <c r="E1878" s="18" t="s">
        <v>146</v>
      </c>
      <c r="F1878" s="18">
        <v>12</v>
      </c>
      <c r="G1878" s="20">
        <v>262800</v>
      </c>
      <c r="H1878" s="18">
        <v>0</v>
      </c>
      <c r="I1878" s="20">
        <v>101568</v>
      </c>
      <c r="J1878" s="8">
        <f t="shared" si="87"/>
        <v>161232</v>
      </c>
      <c r="K1878" s="10">
        <f t="shared" si="88"/>
        <v>0.61351598173515987</v>
      </c>
      <c r="L1878" s="17">
        <f t="shared" si="89"/>
        <v>0</v>
      </c>
      <c r="M1878" t="str">
        <f>VLOOKUP(D1878,'Jer-Tip-Emp'!B:E,4,0)</f>
        <v>Platos mong</v>
      </c>
      <c r="N1878" t="str">
        <f>VLOOKUP(D1878,'Jer-Tip-Emp'!B:F,5,0)</f>
        <v>Personal</v>
      </c>
      <c r="O1878" t="str">
        <f>VLOOKUP(D1878,'Jer-Tip-Emp'!B:G,6,0)</f>
        <v>Caja</v>
      </c>
    </row>
    <row r="1879" spans="1:15" ht="27.5" customHeight="1" x14ac:dyDescent="0.2">
      <c r="A1879">
        <v>2025</v>
      </c>
      <c r="B1879" t="s">
        <v>618</v>
      </c>
      <c r="C1879" t="s">
        <v>595</v>
      </c>
      <c r="D1879" s="19" t="s">
        <v>252</v>
      </c>
      <c r="E1879" s="18" t="s">
        <v>100</v>
      </c>
      <c r="F1879" s="18">
        <v>12</v>
      </c>
      <c r="G1879" s="20">
        <v>598800</v>
      </c>
      <c r="H1879" s="18">
        <v>0</v>
      </c>
      <c r="I1879" s="20">
        <v>388212</v>
      </c>
      <c r="J1879" s="8">
        <f t="shared" si="87"/>
        <v>210588</v>
      </c>
      <c r="K1879" s="10">
        <f t="shared" si="88"/>
        <v>0.35168336673346695</v>
      </c>
      <c r="L1879" s="17">
        <f t="shared" si="89"/>
        <v>0</v>
      </c>
      <c r="M1879" t="str">
        <f>VLOOKUP(D1879,'Jer-Tip-Emp'!B:E,4,0)</f>
        <v>Platos mong</v>
      </c>
      <c r="N1879" t="str">
        <f>VLOOKUP(D1879,'Jer-Tip-Emp'!B:F,5,0)</f>
        <v>No Personal</v>
      </c>
      <c r="O1879" t="str">
        <f>VLOOKUP(D1879,'Jer-Tip-Emp'!B:G,6,0)</f>
        <v>Caja</v>
      </c>
    </row>
    <row r="1880" spans="1:15" ht="27.5" hidden="1" customHeight="1" x14ac:dyDescent="0.2">
      <c r="A1880">
        <v>2025</v>
      </c>
      <c r="B1880" t="s">
        <v>618</v>
      </c>
      <c r="C1880" t="s">
        <v>595</v>
      </c>
      <c r="D1880" s="19" t="s">
        <v>253</v>
      </c>
      <c r="E1880" s="18" t="s">
        <v>105</v>
      </c>
      <c r="F1880" s="18">
        <v>12</v>
      </c>
      <c r="G1880" s="20">
        <v>57229</v>
      </c>
      <c r="H1880" s="20">
        <v>-2771</v>
      </c>
      <c r="I1880" s="20">
        <v>18828</v>
      </c>
      <c r="J1880" s="8">
        <f t="shared" si="87"/>
        <v>38401</v>
      </c>
      <c r="K1880" s="10">
        <f t="shared" si="88"/>
        <v>0.67100595851753486</v>
      </c>
      <c r="L1880" s="17">
        <f t="shared" si="89"/>
        <v>4.8419507592304602E-2</v>
      </c>
      <c r="M1880" t="str">
        <f>VLOOKUP(D1880,'Jer-Tip-Emp'!B:E,4,0)</f>
        <v>Entradas</v>
      </c>
      <c r="N1880" t="str">
        <f>VLOOKUP(D1880,'Jer-Tip-Emp'!B:F,5,0)</f>
        <v>Otro</v>
      </c>
      <c r="O1880" t="str">
        <f>VLOOKUP(D1880,'Jer-Tip-Emp'!B:G,6,0)</f>
        <v>Otro</v>
      </c>
    </row>
    <row r="1881" spans="1:15" ht="27.5" customHeight="1" x14ac:dyDescent="0.2">
      <c r="A1881">
        <v>2025</v>
      </c>
      <c r="B1881" t="s">
        <v>618</v>
      </c>
      <c r="C1881" t="s">
        <v>595</v>
      </c>
      <c r="D1881" s="19" t="s">
        <v>241</v>
      </c>
      <c r="E1881" s="18" t="s">
        <v>107</v>
      </c>
      <c r="F1881" s="18">
        <v>11</v>
      </c>
      <c r="G1881" s="20">
        <v>900900</v>
      </c>
      <c r="H1881" s="18">
        <v>0</v>
      </c>
      <c r="I1881" s="20">
        <v>469744</v>
      </c>
      <c r="J1881" s="8">
        <f t="shared" si="87"/>
        <v>431156</v>
      </c>
      <c r="K1881" s="10">
        <f t="shared" si="88"/>
        <v>0.47858363858363856</v>
      </c>
      <c r="L1881" s="17">
        <f t="shared" si="89"/>
        <v>0</v>
      </c>
      <c r="M1881" t="str">
        <f>VLOOKUP(D1881,'Jer-Tip-Emp'!B:E,4,0)</f>
        <v>Platos mong</v>
      </c>
      <c r="N1881" t="str">
        <f>VLOOKUP(D1881,'Jer-Tip-Emp'!B:F,5,0)</f>
        <v>No Personal</v>
      </c>
      <c r="O1881" t="str">
        <f>VLOOKUP(D1881,'Jer-Tip-Emp'!B:G,6,0)</f>
        <v>Caja</v>
      </c>
    </row>
    <row r="1882" spans="1:15" ht="27.5" hidden="1" customHeight="1" x14ac:dyDescent="0.2">
      <c r="A1882">
        <v>2025</v>
      </c>
      <c r="B1882" t="s">
        <v>618</v>
      </c>
      <c r="C1882" t="s">
        <v>595</v>
      </c>
      <c r="D1882" s="19" t="s">
        <v>403</v>
      </c>
      <c r="E1882" s="18" t="s">
        <v>45</v>
      </c>
      <c r="F1882" s="18">
        <v>10</v>
      </c>
      <c r="G1882" s="20">
        <v>98856</v>
      </c>
      <c r="H1882" s="18">
        <v>-144</v>
      </c>
      <c r="I1882" s="20">
        <v>45010</v>
      </c>
      <c r="J1882" s="8">
        <f t="shared" si="87"/>
        <v>53846</v>
      </c>
      <c r="K1882" s="10">
        <f t="shared" si="88"/>
        <v>0.54469126810714574</v>
      </c>
      <c r="L1882" s="17">
        <f t="shared" si="89"/>
        <v>1.4566642388929353E-3</v>
      </c>
      <c r="M1882" t="str">
        <f>VLOOKUP(D1882,'Jer-Tip-Emp'!B:E,4,0)</f>
        <v>Bebidas</v>
      </c>
      <c r="N1882" t="str">
        <f>VLOOKUP(D1882,'Jer-Tip-Emp'!B:F,5,0)</f>
        <v>Bebidas</v>
      </c>
      <c r="O1882" t="str">
        <f>VLOOKUP(D1882,'Jer-Tip-Emp'!B:G,6,0)</f>
        <v>Bebidas</v>
      </c>
    </row>
    <row r="1883" spans="1:15" ht="27.5" customHeight="1" x14ac:dyDescent="0.2">
      <c r="A1883">
        <v>2025</v>
      </c>
      <c r="B1883" t="s">
        <v>618</v>
      </c>
      <c r="C1883" t="s">
        <v>595</v>
      </c>
      <c r="D1883" s="19" t="s">
        <v>186</v>
      </c>
      <c r="E1883" s="18" t="s">
        <v>95</v>
      </c>
      <c r="F1883" s="18">
        <v>10</v>
      </c>
      <c r="G1883" s="20">
        <v>289000</v>
      </c>
      <c r="H1883" s="18">
        <v>0</v>
      </c>
      <c r="I1883" s="20">
        <v>95700</v>
      </c>
      <c r="J1883" s="8">
        <f t="shared" si="87"/>
        <v>193300</v>
      </c>
      <c r="K1883" s="10">
        <f t="shared" si="88"/>
        <v>0.66885813148788931</v>
      </c>
      <c r="L1883" s="17">
        <f t="shared" si="89"/>
        <v>0</v>
      </c>
      <c r="M1883" t="str">
        <f>VLOOKUP(D1883,'Jer-Tip-Emp'!B:E,4,0)</f>
        <v>Combos personales</v>
      </c>
      <c r="N1883" t="str">
        <f>VLOOKUP(D1883,'Jer-Tip-Emp'!B:F,5,0)</f>
        <v>Personal</v>
      </c>
      <c r="O1883" t="str">
        <f>VLOOKUP(D1883,'Jer-Tip-Emp'!B:G,6,0)</f>
        <v>Combo</v>
      </c>
    </row>
    <row r="1884" spans="1:15" ht="27.5" hidden="1" customHeight="1" x14ac:dyDescent="0.2">
      <c r="A1884">
        <v>2025</v>
      </c>
      <c r="B1884" t="s">
        <v>618</v>
      </c>
      <c r="C1884" t="s">
        <v>595</v>
      </c>
      <c r="D1884" s="19" t="s">
        <v>310</v>
      </c>
      <c r="E1884" s="18" t="s">
        <v>53</v>
      </c>
      <c r="F1884" s="18">
        <v>10</v>
      </c>
      <c r="G1884" s="20">
        <v>59000</v>
      </c>
      <c r="H1884" s="18">
        <v>0</v>
      </c>
      <c r="I1884" s="20">
        <v>16950</v>
      </c>
      <c r="J1884" s="8">
        <f t="shared" si="87"/>
        <v>42050</v>
      </c>
      <c r="K1884" s="10">
        <f t="shared" si="88"/>
        <v>0.71271186440677969</v>
      </c>
      <c r="L1884" s="17">
        <f t="shared" si="89"/>
        <v>0</v>
      </c>
      <c r="M1884" t="str">
        <f>VLOOKUP(D1884,'Jer-Tip-Emp'!B:E,4,0)</f>
        <v>Bebidas</v>
      </c>
      <c r="N1884" t="str">
        <f>VLOOKUP(D1884,'Jer-Tip-Emp'!B:F,5,0)</f>
        <v>Bebidas</v>
      </c>
      <c r="O1884" t="str">
        <f>VLOOKUP(D1884,'Jer-Tip-Emp'!B:G,6,0)</f>
        <v>Bebidas</v>
      </c>
    </row>
    <row r="1885" spans="1:15" ht="27.5" customHeight="1" x14ac:dyDescent="0.2">
      <c r="A1885">
        <v>2025</v>
      </c>
      <c r="B1885" t="s">
        <v>618</v>
      </c>
      <c r="C1885" t="s">
        <v>595</v>
      </c>
      <c r="D1885" s="19" t="s">
        <v>448</v>
      </c>
      <c r="E1885" s="18" t="s">
        <v>552</v>
      </c>
      <c r="F1885" s="18">
        <v>10</v>
      </c>
      <c r="G1885" s="18">
        <v>0</v>
      </c>
      <c r="H1885" s="18">
        <v>0</v>
      </c>
      <c r="I1885" s="20">
        <v>52630</v>
      </c>
      <c r="J1885" s="8">
        <f t="shared" si="87"/>
        <v>-52630</v>
      </c>
      <c r="K1885" s="10">
        <f t="shared" si="88"/>
        <v>0</v>
      </c>
      <c r="L1885" s="17">
        <f t="shared" si="89"/>
        <v>0</v>
      </c>
      <c r="M1885" t="str">
        <f>VLOOKUP(D1885,'Jer-Tip-Emp'!B:E,4,0)</f>
        <v>Arma tu plato</v>
      </c>
      <c r="N1885" t="str">
        <f>VLOOKUP(D1885,'Jer-Tip-Emp'!B:F,5,0)</f>
        <v>Personal</v>
      </c>
      <c r="O1885" t="str">
        <f>VLOOKUP(D1885,'Jer-Tip-Emp'!B:G,6,0)</f>
        <v>Caja</v>
      </c>
    </row>
    <row r="1886" spans="1:15" ht="27.5" hidden="1" customHeight="1" x14ac:dyDescent="0.2">
      <c r="A1886">
        <v>2025</v>
      </c>
      <c r="B1886" t="s">
        <v>618</v>
      </c>
      <c r="C1886" t="s">
        <v>595</v>
      </c>
      <c r="D1886" s="19" t="s">
        <v>500</v>
      </c>
      <c r="E1886" s="18" t="s">
        <v>546</v>
      </c>
      <c r="F1886" s="18">
        <v>9</v>
      </c>
      <c r="G1886" s="18">
        <v>0</v>
      </c>
      <c r="H1886" s="18">
        <v>0</v>
      </c>
      <c r="I1886" s="20">
        <v>7812</v>
      </c>
      <c r="J1886" s="8">
        <f t="shared" si="87"/>
        <v>-7812</v>
      </c>
      <c r="K1886" s="10">
        <f t="shared" si="88"/>
        <v>0</v>
      </c>
      <c r="L1886" s="17">
        <f t="shared" si="89"/>
        <v>0</v>
      </c>
      <c r="M1886" t="str">
        <f>VLOOKUP(D1886,'Jer-Tip-Emp'!B:E,4,0)</f>
        <v>Bebidas</v>
      </c>
      <c r="N1886" t="str">
        <f>VLOOKUP(D1886,'Jer-Tip-Emp'!B:F,5,0)</f>
        <v>Bebidas Cambio de bebida</v>
      </c>
      <c r="O1886" t="str">
        <f>VLOOKUP(D1886,'Jer-Tip-Emp'!B:G,6,0)</f>
        <v>Bebidas</v>
      </c>
    </row>
    <row r="1887" spans="1:15" ht="27.5" customHeight="1" x14ac:dyDescent="0.2">
      <c r="A1887">
        <v>2025</v>
      </c>
      <c r="B1887" t="s">
        <v>618</v>
      </c>
      <c r="C1887" t="s">
        <v>595</v>
      </c>
      <c r="D1887" s="19" t="s">
        <v>223</v>
      </c>
      <c r="E1887" s="18" t="s">
        <v>116</v>
      </c>
      <c r="F1887" s="18">
        <v>9</v>
      </c>
      <c r="G1887" s="20">
        <v>242100</v>
      </c>
      <c r="H1887" s="18">
        <v>0</v>
      </c>
      <c r="I1887" s="20">
        <v>122742</v>
      </c>
      <c r="J1887" s="8">
        <f t="shared" si="87"/>
        <v>119358</v>
      </c>
      <c r="K1887" s="10">
        <f t="shared" si="88"/>
        <v>0.4930111524163569</v>
      </c>
      <c r="L1887" s="17">
        <f t="shared" si="89"/>
        <v>0</v>
      </c>
      <c r="M1887" t="str">
        <f>VLOOKUP(D1887,'Jer-Tip-Emp'!B:E,4,0)</f>
        <v>Platos especiales</v>
      </c>
      <c r="N1887" t="str">
        <f>VLOOKUP(D1887,'Jer-Tip-Emp'!B:F,5,0)</f>
        <v>Personal</v>
      </c>
      <c r="O1887" t="str">
        <f>VLOOKUP(D1887,'Jer-Tip-Emp'!B:G,6,0)</f>
        <v>Platos especiales</v>
      </c>
    </row>
    <row r="1888" spans="1:15" ht="27.5" hidden="1" customHeight="1" x14ac:dyDescent="0.2">
      <c r="A1888">
        <v>2025</v>
      </c>
      <c r="B1888" t="s">
        <v>618</v>
      </c>
      <c r="C1888" t="s">
        <v>595</v>
      </c>
      <c r="D1888" s="19" t="s">
        <v>336</v>
      </c>
      <c r="E1888" s="18" t="s">
        <v>60</v>
      </c>
      <c r="F1888" s="18">
        <v>8</v>
      </c>
      <c r="G1888" s="20">
        <v>38561</v>
      </c>
      <c r="H1888" s="18">
        <v>-639</v>
      </c>
      <c r="I1888" s="20">
        <v>12480</v>
      </c>
      <c r="J1888" s="8">
        <f t="shared" si="87"/>
        <v>26081</v>
      </c>
      <c r="K1888" s="10">
        <f t="shared" si="88"/>
        <v>0.67635694095070154</v>
      </c>
      <c r="L1888" s="17">
        <f t="shared" si="89"/>
        <v>1.6571147013822257E-2</v>
      </c>
      <c r="M1888" t="str">
        <f>VLOOKUP(D1888,'Jer-Tip-Emp'!B:E,4,0)</f>
        <v>Bebidas</v>
      </c>
      <c r="N1888" t="str">
        <f>VLOOKUP(D1888,'Jer-Tip-Emp'!B:F,5,0)</f>
        <v>Bebidas</v>
      </c>
      <c r="O1888" t="str">
        <f>VLOOKUP(D1888,'Jer-Tip-Emp'!B:G,6,0)</f>
        <v>Bebidas</v>
      </c>
    </row>
    <row r="1889" spans="1:15" ht="27.5" customHeight="1" x14ac:dyDescent="0.2">
      <c r="A1889">
        <v>2025</v>
      </c>
      <c r="B1889" t="s">
        <v>618</v>
      </c>
      <c r="C1889" t="s">
        <v>595</v>
      </c>
      <c r="D1889" s="19" t="s">
        <v>246</v>
      </c>
      <c r="E1889" s="18" t="s">
        <v>29</v>
      </c>
      <c r="F1889" s="18">
        <v>8</v>
      </c>
      <c r="G1889" s="20">
        <v>63200</v>
      </c>
      <c r="H1889" s="18">
        <v>0</v>
      </c>
      <c r="I1889" s="18">
        <v>0</v>
      </c>
      <c r="J1889" s="8">
        <f t="shared" si="87"/>
        <v>63200</v>
      </c>
      <c r="K1889" s="10">
        <f t="shared" si="88"/>
        <v>1</v>
      </c>
      <c r="L1889" s="17">
        <f t="shared" si="89"/>
        <v>0</v>
      </c>
      <c r="M1889" t="str">
        <f>VLOOKUP(D1889,'Jer-Tip-Emp'!B:E,4,0)</f>
        <v>Armalo en combo</v>
      </c>
      <c r="N1889" t="str">
        <f>VLOOKUP(D1889,'Jer-Tip-Emp'!B:F,5,0)</f>
        <v>Personal</v>
      </c>
      <c r="O1889" t="str">
        <f>VLOOKUP(D1889,'Jer-Tip-Emp'!B:G,6,0)</f>
        <v>Combo</v>
      </c>
    </row>
    <row r="1890" spans="1:15" ht="27.5" customHeight="1" x14ac:dyDescent="0.2">
      <c r="A1890">
        <v>2025</v>
      </c>
      <c r="B1890" t="s">
        <v>618</v>
      </c>
      <c r="C1890" t="s">
        <v>595</v>
      </c>
      <c r="D1890" s="19" t="s">
        <v>240</v>
      </c>
      <c r="E1890" s="18" t="s">
        <v>139</v>
      </c>
      <c r="F1890" s="18">
        <v>7</v>
      </c>
      <c r="G1890" s="20">
        <v>293300</v>
      </c>
      <c r="H1890" s="18">
        <v>0</v>
      </c>
      <c r="I1890" s="20">
        <v>169785</v>
      </c>
      <c r="J1890" s="8">
        <f t="shared" si="87"/>
        <v>123515</v>
      </c>
      <c r="K1890" s="10">
        <f t="shared" si="88"/>
        <v>0.42112171837708828</v>
      </c>
      <c r="L1890" s="17">
        <f t="shared" si="89"/>
        <v>0</v>
      </c>
      <c r="M1890" t="str">
        <f>VLOOKUP(D1890,'Jer-Tip-Emp'!B:E,4,0)</f>
        <v>Platos mong</v>
      </c>
      <c r="N1890" t="str">
        <f>VLOOKUP(D1890,'Jer-Tip-Emp'!B:F,5,0)</f>
        <v>No Personal</v>
      </c>
      <c r="O1890" t="str">
        <f>VLOOKUP(D1890,'Jer-Tip-Emp'!B:G,6,0)</f>
        <v>Caja</v>
      </c>
    </row>
    <row r="1891" spans="1:15" ht="27.5" customHeight="1" x14ac:dyDescent="0.2">
      <c r="A1891">
        <v>2025</v>
      </c>
      <c r="B1891" t="s">
        <v>618</v>
      </c>
      <c r="C1891" t="s">
        <v>595</v>
      </c>
      <c r="D1891" s="19" t="s">
        <v>303</v>
      </c>
      <c r="E1891" s="18" t="s">
        <v>120</v>
      </c>
      <c r="F1891" s="18">
        <v>7</v>
      </c>
      <c r="G1891" s="20">
        <v>160300</v>
      </c>
      <c r="H1891" s="18">
        <v>0</v>
      </c>
      <c r="I1891" s="20">
        <v>52598</v>
      </c>
      <c r="J1891" s="8">
        <f t="shared" si="87"/>
        <v>107702</v>
      </c>
      <c r="K1891" s="10">
        <f t="shared" si="88"/>
        <v>0.67187772925764189</v>
      </c>
      <c r="L1891" s="17">
        <f t="shared" si="89"/>
        <v>0</v>
      </c>
      <c r="M1891" t="str">
        <f>VLOOKUP(D1891,'Jer-Tip-Emp'!B:E,4,0)</f>
        <v>Platos mong</v>
      </c>
      <c r="N1891" t="str">
        <f>VLOOKUP(D1891,'Jer-Tip-Emp'!B:F,5,0)</f>
        <v>Personal</v>
      </c>
      <c r="O1891" t="str">
        <f>VLOOKUP(D1891,'Jer-Tip-Emp'!B:G,6,0)</f>
        <v>Caja</v>
      </c>
    </row>
    <row r="1892" spans="1:15" ht="27.5" hidden="1" customHeight="1" x14ac:dyDescent="0.2">
      <c r="A1892">
        <v>2025</v>
      </c>
      <c r="B1892" t="s">
        <v>618</v>
      </c>
      <c r="C1892" t="s">
        <v>595</v>
      </c>
      <c r="D1892" s="19" t="s">
        <v>282</v>
      </c>
      <c r="E1892" s="18" t="s">
        <v>19</v>
      </c>
      <c r="F1892" s="18">
        <v>6</v>
      </c>
      <c r="G1892" s="20">
        <v>33803</v>
      </c>
      <c r="H1892" s="20">
        <v>-1597</v>
      </c>
      <c r="I1892" s="20">
        <v>24588</v>
      </c>
      <c r="J1892" s="8">
        <f t="shared" si="87"/>
        <v>9215</v>
      </c>
      <c r="K1892" s="10">
        <f t="shared" si="88"/>
        <v>0.27260894003490815</v>
      </c>
      <c r="L1892" s="17">
        <f t="shared" si="89"/>
        <v>4.7244327426559776E-2</v>
      </c>
      <c r="M1892" t="str">
        <f>VLOOKUP(D1892,'Jer-Tip-Emp'!B:E,4,0)</f>
        <v>Adición</v>
      </c>
      <c r="N1892" t="str">
        <f>VLOOKUP(D1892,'Jer-Tip-Emp'!B:F,5,0)</f>
        <v>Adición</v>
      </c>
      <c r="O1892" t="str">
        <f>VLOOKUP(D1892,'Jer-Tip-Emp'!B:G,6,0)</f>
        <v>Adición</v>
      </c>
    </row>
    <row r="1893" spans="1:15" ht="27.5" customHeight="1" x14ac:dyDescent="0.2">
      <c r="A1893">
        <v>2025</v>
      </c>
      <c r="B1893" t="s">
        <v>618</v>
      </c>
      <c r="C1893" t="s">
        <v>595</v>
      </c>
      <c r="D1893" s="19" t="s">
        <v>354</v>
      </c>
      <c r="E1893" s="18" t="s">
        <v>548</v>
      </c>
      <c r="F1893" s="18">
        <v>6</v>
      </c>
      <c r="G1893" s="18">
        <v>0</v>
      </c>
      <c r="H1893" s="18">
        <v>0</v>
      </c>
      <c r="I1893" s="20">
        <v>15804</v>
      </c>
      <c r="J1893" s="8">
        <f t="shared" si="87"/>
        <v>-15804</v>
      </c>
      <c r="K1893" s="10">
        <f t="shared" si="88"/>
        <v>0</v>
      </c>
      <c r="L1893" s="17">
        <f t="shared" si="89"/>
        <v>0</v>
      </c>
      <c r="M1893" t="str">
        <f>VLOOKUP(D1893,'Jer-Tip-Emp'!B:E,4,0)</f>
        <v>Arma tu plato</v>
      </c>
      <c r="N1893" t="str">
        <f>VLOOKUP(D1893,'Jer-Tip-Emp'!B:F,5,0)</f>
        <v>Personal</v>
      </c>
      <c r="O1893" t="str">
        <f>VLOOKUP(D1893,'Jer-Tip-Emp'!B:G,6,0)</f>
        <v>Caja</v>
      </c>
    </row>
    <row r="1894" spans="1:15" ht="27.5" hidden="1" customHeight="1" x14ac:dyDescent="0.2">
      <c r="A1894">
        <v>2025</v>
      </c>
      <c r="B1894" t="s">
        <v>618</v>
      </c>
      <c r="C1894" t="s">
        <v>595</v>
      </c>
      <c r="D1894" s="19" t="s">
        <v>309</v>
      </c>
      <c r="E1894" s="18" t="s">
        <v>48</v>
      </c>
      <c r="F1894" s="18">
        <v>6</v>
      </c>
      <c r="G1894" s="20">
        <v>22809</v>
      </c>
      <c r="H1894" s="18">
        <v>-591</v>
      </c>
      <c r="I1894" s="20">
        <v>6978</v>
      </c>
      <c r="J1894" s="8">
        <f t="shared" si="87"/>
        <v>15831</v>
      </c>
      <c r="K1894" s="10">
        <f t="shared" si="88"/>
        <v>0.69406813100092069</v>
      </c>
      <c r="L1894" s="17">
        <f t="shared" si="89"/>
        <v>2.5910824674470603E-2</v>
      </c>
      <c r="M1894" t="str">
        <f>VLOOKUP(D1894,'Jer-Tip-Emp'!B:E,4,0)</f>
        <v>Bebidas</v>
      </c>
      <c r="N1894" t="str">
        <f>VLOOKUP(D1894,'Jer-Tip-Emp'!B:F,5,0)</f>
        <v>Bebidas</v>
      </c>
      <c r="O1894" t="str">
        <f>VLOOKUP(D1894,'Jer-Tip-Emp'!B:G,6,0)</f>
        <v>Bebidas</v>
      </c>
    </row>
    <row r="1895" spans="1:15" ht="27.5" hidden="1" customHeight="1" x14ac:dyDescent="0.2">
      <c r="A1895">
        <v>2025</v>
      </c>
      <c r="B1895" t="s">
        <v>618</v>
      </c>
      <c r="C1895" t="s">
        <v>595</v>
      </c>
      <c r="D1895" s="19" t="s">
        <v>364</v>
      </c>
      <c r="E1895" s="18" t="s">
        <v>51</v>
      </c>
      <c r="F1895" s="18">
        <v>6</v>
      </c>
      <c r="G1895" s="20">
        <v>22660</v>
      </c>
      <c r="H1895" s="18">
        <v>-740</v>
      </c>
      <c r="I1895" s="20">
        <v>7746</v>
      </c>
      <c r="J1895" s="8">
        <f t="shared" si="87"/>
        <v>14914</v>
      </c>
      <c r="K1895" s="10">
        <f t="shared" si="88"/>
        <v>0.65816416593115623</v>
      </c>
      <c r="L1895" s="17">
        <f t="shared" si="89"/>
        <v>3.265666372462489E-2</v>
      </c>
      <c r="M1895" t="str">
        <f>VLOOKUP(D1895,'Jer-Tip-Emp'!B:E,4,0)</f>
        <v>Bebidas</v>
      </c>
      <c r="N1895" t="str">
        <f>VLOOKUP(D1895,'Jer-Tip-Emp'!B:F,5,0)</f>
        <v>Bebidas</v>
      </c>
      <c r="O1895" t="str">
        <f>VLOOKUP(D1895,'Jer-Tip-Emp'!B:G,6,0)</f>
        <v>Bebidas</v>
      </c>
    </row>
    <row r="1896" spans="1:15" ht="27.5" customHeight="1" x14ac:dyDescent="0.2">
      <c r="A1896">
        <v>2025</v>
      </c>
      <c r="B1896" t="s">
        <v>618</v>
      </c>
      <c r="C1896" t="s">
        <v>595</v>
      </c>
      <c r="D1896" s="19" t="s">
        <v>245</v>
      </c>
      <c r="E1896" s="18" t="s">
        <v>167</v>
      </c>
      <c r="F1896" s="18">
        <v>6</v>
      </c>
      <c r="G1896" s="20">
        <v>119400</v>
      </c>
      <c r="H1896" s="18">
        <v>0</v>
      </c>
      <c r="I1896" s="18">
        <v>0</v>
      </c>
      <c r="J1896" s="8">
        <f t="shared" si="87"/>
        <v>119400</v>
      </c>
      <c r="K1896" s="10">
        <f t="shared" si="88"/>
        <v>1</v>
      </c>
      <c r="L1896" s="17">
        <f t="shared" si="89"/>
        <v>0</v>
      </c>
      <c r="M1896" t="str">
        <f>VLOOKUP(D1896,'Jer-Tip-Emp'!B:E,4,0)</f>
        <v>Mong Express</v>
      </c>
      <c r="N1896" t="str">
        <f>VLOOKUP(D1896,'Jer-Tip-Emp'!B:F,5,0)</f>
        <v>Personal</v>
      </c>
      <c r="O1896" t="str">
        <f>VLOOKUP(D1896,'Jer-Tip-Emp'!B:G,6,0)</f>
        <v>Caja</v>
      </c>
    </row>
    <row r="1897" spans="1:15" ht="27.5" customHeight="1" x14ac:dyDescent="0.2">
      <c r="A1897">
        <v>2025</v>
      </c>
      <c r="B1897" t="s">
        <v>618</v>
      </c>
      <c r="C1897" t="s">
        <v>595</v>
      </c>
      <c r="D1897" s="19" t="s">
        <v>205</v>
      </c>
      <c r="E1897" s="18" t="s">
        <v>141</v>
      </c>
      <c r="F1897" s="18">
        <v>5</v>
      </c>
      <c r="G1897" s="20">
        <v>75197</v>
      </c>
      <c r="H1897" s="20">
        <v>-4303</v>
      </c>
      <c r="I1897" s="20">
        <v>30320</v>
      </c>
      <c r="J1897" s="8">
        <f t="shared" si="87"/>
        <v>44877</v>
      </c>
      <c r="K1897" s="10">
        <f t="shared" si="88"/>
        <v>0.59679242522972986</v>
      </c>
      <c r="L1897" s="17">
        <f t="shared" si="89"/>
        <v>5.7223027514395522E-2</v>
      </c>
      <c r="M1897" t="str">
        <f>VLOOKUP(D1897,'Jer-Tip-Emp'!B:E,4,0)</f>
        <v>Platos mong</v>
      </c>
      <c r="N1897" t="str">
        <f>VLOOKUP(D1897,'Jer-Tip-Emp'!B:F,5,0)</f>
        <v>Personal</v>
      </c>
      <c r="O1897" t="str">
        <f>VLOOKUP(D1897,'Jer-Tip-Emp'!B:G,6,0)</f>
        <v>Caja</v>
      </c>
    </row>
    <row r="1898" spans="1:15" ht="27.5" customHeight="1" x14ac:dyDescent="0.2">
      <c r="A1898">
        <v>2025</v>
      </c>
      <c r="B1898" t="s">
        <v>618</v>
      </c>
      <c r="C1898" t="s">
        <v>595</v>
      </c>
      <c r="D1898" s="19" t="s">
        <v>235</v>
      </c>
      <c r="E1898" s="18" t="s">
        <v>147</v>
      </c>
      <c r="F1898" s="18">
        <v>5</v>
      </c>
      <c r="G1898" s="20">
        <v>249500</v>
      </c>
      <c r="H1898" s="18">
        <v>0</v>
      </c>
      <c r="I1898" s="20">
        <v>94090</v>
      </c>
      <c r="J1898" s="8">
        <f t="shared" si="87"/>
        <v>155410</v>
      </c>
      <c r="K1898" s="10">
        <f t="shared" si="88"/>
        <v>0.62288577154308622</v>
      </c>
      <c r="L1898" s="17">
        <f t="shared" si="89"/>
        <v>0</v>
      </c>
      <c r="M1898" t="str">
        <f>VLOOKUP(D1898,'Jer-Tip-Emp'!B:E,4,0)</f>
        <v>Platos mong</v>
      </c>
      <c r="N1898" t="str">
        <f>VLOOKUP(D1898,'Jer-Tip-Emp'!B:F,5,0)</f>
        <v>No Personal</v>
      </c>
      <c r="O1898" t="str">
        <f>VLOOKUP(D1898,'Jer-Tip-Emp'!B:G,6,0)</f>
        <v>Caja</v>
      </c>
    </row>
    <row r="1899" spans="1:15" ht="27.5" customHeight="1" x14ac:dyDescent="0.2">
      <c r="A1899">
        <v>2025</v>
      </c>
      <c r="B1899" t="s">
        <v>618</v>
      </c>
      <c r="C1899" t="s">
        <v>595</v>
      </c>
      <c r="D1899" s="19" t="s">
        <v>474</v>
      </c>
      <c r="E1899" s="18" t="s">
        <v>553</v>
      </c>
      <c r="F1899" s="18">
        <v>5</v>
      </c>
      <c r="G1899" s="18">
        <v>0</v>
      </c>
      <c r="H1899" s="18">
        <v>0</v>
      </c>
      <c r="I1899" s="20">
        <v>14245</v>
      </c>
      <c r="J1899" s="8">
        <f t="shared" si="87"/>
        <v>-14245</v>
      </c>
      <c r="K1899" s="10">
        <f t="shared" si="88"/>
        <v>0</v>
      </c>
      <c r="L1899" s="17">
        <f t="shared" si="89"/>
        <v>0</v>
      </c>
      <c r="M1899" t="str">
        <f>VLOOKUP(D1899,'Jer-Tip-Emp'!B:E,4,0)</f>
        <v>Arma tu plato</v>
      </c>
      <c r="N1899" t="str">
        <f>VLOOKUP(D1899,'Jer-Tip-Emp'!B:F,5,0)</f>
        <v>Personal</v>
      </c>
      <c r="O1899" t="str">
        <f>VLOOKUP(D1899,'Jer-Tip-Emp'!B:G,6,0)</f>
        <v>Caja</v>
      </c>
    </row>
    <row r="1900" spans="1:15" ht="27.5" customHeight="1" x14ac:dyDescent="0.2">
      <c r="A1900">
        <v>2025</v>
      </c>
      <c r="B1900" t="s">
        <v>618</v>
      </c>
      <c r="C1900" t="s">
        <v>595</v>
      </c>
      <c r="D1900" s="19" t="s">
        <v>266</v>
      </c>
      <c r="E1900" s="18" t="s">
        <v>85</v>
      </c>
      <c r="F1900" s="18">
        <v>5</v>
      </c>
      <c r="G1900" s="20">
        <v>395000</v>
      </c>
      <c r="H1900" s="20">
        <v>-6500</v>
      </c>
      <c r="I1900" s="20">
        <v>196105</v>
      </c>
      <c r="J1900" s="8">
        <f t="shared" si="87"/>
        <v>198895</v>
      </c>
      <c r="K1900" s="10">
        <f t="shared" si="88"/>
        <v>0.50353164556962027</v>
      </c>
      <c r="L1900" s="17">
        <f t="shared" si="89"/>
        <v>1.6455696202531647E-2</v>
      </c>
      <c r="M1900" t="str">
        <f>VLOOKUP(D1900,'Jer-Tip-Emp'!B:E,4,0)</f>
        <v>Combos para compartir</v>
      </c>
      <c r="N1900" t="str">
        <f>VLOOKUP(D1900,'Jer-Tip-Emp'!B:F,5,0)</f>
        <v>No Personal</v>
      </c>
      <c r="O1900" t="str">
        <f>VLOOKUP(D1900,'Jer-Tip-Emp'!B:G,6,0)</f>
        <v>Combo</v>
      </c>
    </row>
    <row r="1901" spans="1:15" ht="27.5" customHeight="1" x14ac:dyDescent="0.2">
      <c r="A1901">
        <v>2025</v>
      </c>
      <c r="B1901" t="s">
        <v>618</v>
      </c>
      <c r="C1901" t="s">
        <v>595</v>
      </c>
      <c r="D1901" s="19" t="s">
        <v>228</v>
      </c>
      <c r="E1901" s="18" t="s">
        <v>96</v>
      </c>
      <c r="F1901" s="18">
        <v>5</v>
      </c>
      <c r="G1901" s="20">
        <v>144500</v>
      </c>
      <c r="H1901" s="18">
        <v>0</v>
      </c>
      <c r="I1901" s="20">
        <v>51235</v>
      </c>
      <c r="J1901" s="8">
        <f t="shared" si="87"/>
        <v>93265</v>
      </c>
      <c r="K1901" s="10">
        <f t="shared" si="88"/>
        <v>0.64543252595155709</v>
      </c>
      <c r="L1901" s="17">
        <f t="shared" si="89"/>
        <v>0</v>
      </c>
      <c r="M1901" t="str">
        <f>VLOOKUP(D1901,'Jer-Tip-Emp'!B:E,4,0)</f>
        <v>Combos personales</v>
      </c>
      <c r="N1901" t="str">
        <f>VLOOKUP(D1901,'Jer-Tip-Emp'!B:F,5,0)</f>
        <v>Personal</v>
      </c>
      <c r="O1901" t="str">
        <f>VLOOKUP(D1901,'Jer-Tip-Emp'!B:G,6,0)</f>
        <v>Combo</v>
      </c>
    </row>
    <row r="1902" spans="1:15" ht="27.5" hidden="1" customHeight="1" x14ac:dyDescent="0.2">
      <c r="A1902">
        <v>2025</v>
      </c>
      <c r="B1902" t="s">
        <v>618</v>
      </c>
      <c r="C1902" t="s">
        <v>595</v>
      </c>
      <c r="D1902" s="19" t="s">
        <v>183</v>
      </c>
      <c r="E1902" s="18" t="s">
        <v>104</v>
      </c>
      <c r="F1902" s="18">
        <v>4</v>
      </c>
      <c r="G1902" s="20">
        <v>57078</v>
      </c>
      <c r="H1902" s="20">
        <v>-6522</v>
      </c>
      <c r="I1902" s="20">
        <v>40112</v>
      </c>
      <c r="J1902" s="8">
        <f t="shared" si="87"/>
        <v>16966</v>
      </c>
      <c r="K1902" s="10">
        <f t="shared" si="88"/>
        <v>0.29724237009005222</v>
      </c>
      <c r="L1902" s="17">
        <f t="shared" si="89"/>
        <v>0.11426469042363083</v>
      </c>
      <c r="M1902" t="str">
        <f>VLOOKUP(D1902,'Jer-Tip-Emp'!B:E,4,0)</f>
        <v>Entradas</v>
      </c>
      <c r="N1902" t="str">
        <f>VLOOKUP(D1902,'Jer-Tip-Emp'!B:F,5,0)</f>
        <v>Otro</v>
      </c>
      <c r="O1902" t="str">
        <f>VLOOKUP(D1902,'Jer-Tip-Emp'!B:G,6,0)</f>
        <v>Otro</v>
      </c>
    </row>
    <row r="1903" spans="1:15" ht="27.5" hidden="1" customHeight="1" x14ac:dyDescent="0.2">
      <c r="A1903">
        <v>2025</v>
      </c>
      <c r="B1903" t="s">
        <v>618</v>
      </c>
      <c r="C1903" t="s">
        <v>595</v>
      </c>
      <c r="D1903" s="19" t="s">
        <v>327</v>
      </c>
      <c r="E1903" s="18" t="s">
        <v>44</v>
      </c>
      <c r="F1903" s="18">
        <v>4</v>
      </c>
      <c r="G1903" s="20">
        <v>19600</v>
      </c>
      <c r="H1903" s="18">
        <v>0</v>
      </c>
      <c r="I1903" s="20">
        <v>4380</v>
      </c>
      <c r="J1903" s="8">
        <f t="shared" si="87"/>
        <v>15220</v>
      </c>
      <c r="K1903" s="10">
        <f t="shared" si="88"/>
        <v>0.77653061224489794</v>
      </c>
      <c r="L1903" s="17">
        <f t="shared" si="89"/>
        <v>0</v>
      </c>
      <c r="M1903" t="str">
        <f>VLOOKUP(D1903,'Jer-Tip-Emp'!B:E,4,0)</f>
        <v>Bebidas</v>
      </c>
      <c r="N1903" t="str">
        <f>VLOOKUP(D1903,'Jer-Tip-Emp'!B:F,5,0)</f>
        <v>Bebidas</v>
      </c>
      <c r="O1903" t="str">
        <f>VLOOKUP(D1903,'Jer-Tip-Emp'!B:G,6,0)</f>
        <v>Bebidas</v>
      </c>
    </row>
    <row r="1904" spans="1:15" ht="27.5" customHeight="1" x14ac:dyDescent="0.2">
      <c r="A1904">
        <v>2025</v>
      </c>
      <c r="B1904" t="s">
        <v>618</v>
      </c>
      <c r="C1904" t="s">
        <v>595</v>
      </c>
      <c r="D1904" s="19" t="s">
        <v>224</v>
      </c>
      <c r="E1904" s="18" t="s">
        <v>114</v>
      </c>
      <c r="F1904" s="18">
        <v>4</v>
      </c>
      <c r="G1904" s="20">
        <v>97600</v>
      </c>
      <c r="H1904" s="20">
        <v>-2000</v>
      </c>
      <c r="I1904" s="20">
        <v>50872</v>
      </c>
      <c r="J1904" s="8">
        <f t="shared" si="87"/>
        <v>46728</v>
      </c>
      <c r="K1904" s="10">
        <f t="shared" si="88"/>
        <v>0.47877049180327869</v>
      </c>
      <c r="L1904" s="17">
        <f t="shared" si="89"/>
        <v>2.0491803278688523E-2</v>
      </c>
      <c r="M1904" t="str">
        <f>VLOOKUP(D1904,'Jer-Tip-Emp'!B:E,4,0)</f>
        <v>Platos especiales</v>
      </c>
      <c r="N1904" t="str">
        <f>VLOOKUP(D1904,'Jer-Tip-Emp'!B:F,5,0)</f>
        <v>Personal</v>
      </c>
      <c r="O1904" t="str">
        <f>VLOOKUP(D1904,'Jer-Tip-Emp'!B:G,6,0)</f>
        <v>Platos especiales</v>
      </c>
    </row>
    <row r="1905" spans="1:15" ht="27.5" hidden="1" customHeight="1" x14ac:dyDescent="0.2">
      <c r="A1905">
        <v>2025</v>
      </c>
      <c r="B1905" t="s">
        <v>618</v>
      </c>
      <c r="C1905" t="s">
        <v>595</v>
      </c>
      <c r="D1905" s="19" t="s">
        <v>176</v>
      </c>
      <c r="E1905" s="18" t="s">
        <v>544</v>
      </c>
      <c r="F1905" s="18">
        <v>4</v>
      </c>
      <c r="G1905" s="20">
        <v>4000</v>
      </c>
      <c r="H1905" s="18">
        <v>0</v>
      </c>
      <c r="I1905" s="20">
        <v>7780</v>
      </c>
      <c r="J1905" s="8">
        <f t="shared" si="87"/>
        <v>-3780</v>
      </c>
      <c r="K1905" s="10">
        <f t="shared" si="88"/>
        <v>-0.94499999999999995</v>
      </c>
      <c r="L1905" s="17">
        <f t="shared" si="89"/>
        <v>0</v>
      </c>
      <c r="M1905" t="str">
        <f>VLOOKUP(D1905,'Jer-Tip-Emp'!B:E,4,0)</f>
        <v>Bebidas</v>
      </c>
      <c r="N1905" t="str">
        <f>VLOOKUP(D1905,'Jer-Tip-Emp'!B:F,5,0)</f>
        <v>Bebidas Cambio de bebida</v>
      </c>
      <c r="O1905" t="str">
        <f>VLOOKUP(D1905,'Jer-Tip-Emp'!B:G,6,0)</f>
        <v>Bebidas</v>
      </c>
    </row>
    <row r="1906" spans="1:15" ht="27.5" customHeight="1" x14ac:dyDescent="0.2">
      <c r="A1906">
        <v>2025</v>
      </c>
      <c r="B1906" t="s">
        <v>618</v>
      </c>
      <c r="C1906" t="s">
        <v>595</v>
      </c>
      <c r="D1906" s="19" t="s">
        <v>244</v>
      </c>
      <c r="E1906" s="18" t="s">
        <v>113</v>
      </c>
      <c r="F1906" s="18">
        <v>4</v>
      </c>
      <c r="G1906" s="20">
        <v>115600</v>
      </c>
      <c r="H1906" s="18">
        <v>0</v>
      </c>
      <c r="I1906" s="20">
        <v>30420</v>
      </c>
      <c r="J1906" s="8">
        <f t="shared" si="87"/>
        <v>85180</v>
      </c>
      <c r="K1906" s="10">
        <f t="shared" si="88"/>
        <v>0.73685121107266438</v>
      </c>
      <c r="L1906" s="17">
        <f t="shared" si="89"/>
        <v>0</v>
      </c>
      <c r="M1906" t="str">
        <f>VLOOKUP(D1906,'Jer-Tip-Emp'!B:E,4,0)</f>
        <v>Platos especiales</v>
      </c>
      <c r="N1906" t="str">
        <f>VLOOKUP(D1906,'Jer-Tip-Emp'!B:F,5,0)</f>
        <v>Personal</v>
      </c>
      <c r="O1906" t="str">
        <f>VLOOKUP(D1906,'Jer-Tip-Emp'!B:G,6,0)</f>
        <v>Platos especiales</v>
      </c>
    </row>
    <row r="1907" spans="1:15" ht="27.5" customHeight="1" x14ac:dyDescent="0.2">
      <c r="A1907">
        <v>2025</v>
      </c>
      <c r="B1907" t="s">
        <v>618</v>
      </c>
      <c r="C1907" t="s">
        <v>595</v>
      </c>
      <c r="D1907" s="19" t="s">
        <v>293</v>
      </c>
      <c r="E1907" s="18" t="s">
        <v>127</v>
      </c>
      <c r="F1907" s="18">
        <v>4</v>
      </c>
      <c r="G1907" s="20">
        <v>231600</v>
      </c>
      <c r="H1907" s="18">
        <v>0</v>
      </c>
      <c r="I1907" s="20">
        <v>112228</v>
      </c>
      <c r="J1907" s="8">
        <f t="shared" si="87"/>
        <v>119372</v>
      </c>
      <c r="K1907" s="10">
        <f t="shared" si="88"/>
        <v>0.51542314335060446</v>
      </c>
      <c r="L1907" s="17">
        <f t="shared" si="89"/>
        <v>0</v>
      </c>
      <c r="M1907" t="str">
        <f>VLOOKUP(D1907,'Jer-Tip-Emp'!B:E,4,0)</f>
        <v>Platos mong</v>
      </c>
      <c r="N1907" t="str">
        <f>VLOOKUP(D1907,'Jer-Tip-Emp'!B:F,5,0)</f>
        <v>No Personal</v>
      </c>
      <c r="O1907" t="str">
        <f>VLOOKUP(D1907,'Jer-Tip-Emp'!B:G,6,0)</f>
        <v>Caja</v>
      </c>
    </row>
    <row r="1908" spans="1:15" ht="27.5" customHeight="1" x14ac:dyDescent="0.2">
      <c r="A1908">
        <v>2025</v>
      </c>
      <c r="B1908" t="s">
        <v>618</v>
      </c>
      <c r="C1908" t="s">
        <v>595</v>
      </c>
      <c r="D1908" s="19" t="s">
        <v>232</v>
      </c>
      <c r="E1908" s="18" t="s">
        <v>94</v>
      </c>
      <c r="F1908" s="18">
        <v>4</v>
      </c>
      <c r="G1908" s="20">
        <v>91600</v>
      </c>
      <c r="H1908" s="18">
        <v>0</v>
      </c>
      <c r="I1908" s="20">
        <v>37616</v>
      </c>
      <c r="J1908" s="8">
        <f t="shared" si="87"/>
        <v>53984</v>
      </c>
      <c r="K1908" s="10">
        <f t="shared" si="88"/>
        <v>0.58934497816593889</v>
      </c>
      <c r="L1908" s="17">
        <f t="shared" si="89"/>
        <v>0</v>
      </c>
      <c r="M1908" t="str">
        <f>VLOOKUP(D1908,'Jer-Tip-Emp'!B:E,4,0)</f>
        <v>Platos mong</v>
      </c>
      <c r="N1908" t="str">
        <f>VLOOKUP(D1908,'Jer-Tip-Emp'!B:F,5,0)</f>
        <v>Personal</v>
      </c>
      <c r="O1908" t="str">
        <f>VLOOKUP(D1908,'Jer-Tip-Emp'!B:G,6,0)</f>
        <v>Caja</v>
      </c>
    </row>
    <row r="1909" spans="1:15" ht="27.5" customHeight="1" x14ac:dyDescent="0.2">
      <c r="A1909">
        <v>2025</v>
      </c>
      <c r="B1909" t="s">
        <v>618</v>
      </c>
      <c r="C1909" t="s">
        <v>595</v>
      </c>
      <c r="D1909" s="19" t="s">
        <v>298</v>
      </c>
      <c r="E1909" s="18" t="s">
        <v>153</v>
      </c>
      <c r="F1909" s="18">
        <v>4</v>
      </c>
      <c r="G1909" s="20">
        <v>83600</v>
      </c>
      <c r="H1909" s="18">
        <v>0</v>
      </c>
      <c r="I1909" s="20">
        <v>34084</v>
      </c>
      <c r="J1909" s="8">
        <f t="shared" si="87"/>
        <v>49516</v>
      </c>
      <c r="K1909" s="10">
        <f t="shared" si="88"/>
        <v>0.59229665071770332</v>
      </c>
      <c r="L1909" s="17">
        <f t="shared" si="89"/>
        <v>0</v>
      </c>
      <c r="M1909" t="str">
        <f>VLOOKUP(D1909,'Jer-Tip-Emp'!B:E,4,0)</f>
        <v>Platos mong</v>
      </c>
      <c r="N1909" t="str">
        <f>VLOOKUP(D1909,'Jer-Tip-Emp'!B:F,5,0)</f>
        <v>Personal</v>
      </c>
      <c r="O1909" t="str">
        <f>VLOOKUP(D1909,'Jer-Tip-Emp'!B:G,6,0)</f>
        <v>Caja</v>
      </c>
    </row>
    <row r="1910" spans="1:15" ht="27.5" customHeight="1" x14ac:dyDescent="0.2">
      <c r="A1910">
        <v>2025</v>
      </c>
      <c r="B1910" t="s">
        <v>618</v>
      </c>
      <c r="C1910" t="s">
        <v>595</v>
      </c>
      <c r="D1910" s="19" t="s">
        <v>219</v>
      </c>
      <c r="E1910" s="18" t="s">
        <v>111</v>
      </c>
      <c r="F1910" s="18">
        <v>4</v>
      </c>
      <c r="G1910" s="20">
        <v>107600</v>
      </c>
      <c r="H1910" s="18">
        <v>0</v>
      </c>
      <c r="I1910" s="20">
        <v>54268</v>
      </c>
      <c r="J1910" s="8">
        <f t="shared" si="87"/>
        <v>53332</v>
      </c>
      <c r="K1910" s="10">
        <f t="shared" si="88"/>
        <v>0.49565055762081783</v>
      </c>
      <c r="L1910" s="17">
        <f t="shared" si="89"/>
        <v>0</v>
      </c>
      <c r="M1910" t="str">
        <f>VLOOKUP(D1910,'Jer-Tip-Emp'!B:E,4,0)</f>
        <v>Platos especiales</v>
      </c>
      <c r="N1910" t="str">
        <f>VLOOKUP(D1910,'Jer-Tip-Emp'!B:F,5,0)</f>
        <v>Personal</v>
      </c>
      <c r="O1910" t="str">
        <f>VLOOKUP(D1910,'Jer-Tip-Emp'!B:G,6,0)</f>
        <v>Platos especiales</v>
      </c>
    </row>
    <row r="1911" spans="1:15" ht="27.5" customHeight="1" x14ac:dyDescent="0.2">
      <c r="A1911">
        <v>2025</v>
      </c>
      <c r="B1911" t="s">
        <v>618</v>
      </c>
      <c r="C1911" t="s">
        <v>595</v>
      </c>
      <c r="D1911" s="19" t="s">
        <v>206</v>
      </c>
      <c r="E1911" s="18" t="s">
        <v>117</v>
      </c>
      <c r="F1911" s="18">
        <v>4</v>
      </c>
      <c r="G1911" s="20">
        <v>67600</v>
      </c>
      <c r="H1911" s="18">
        <v>0</v>
      </c>
      <c r="I1911" s="20">
        <v>28500</v>
      </c>
      <c r="J1911" s="8">
        <f t="shared" si="87"/>
        <v>39100</v>
      </c>
      <c r="K1911" s="10">
        <f t="shared" si="88"/>
        <v>0.57840236686390534</v>
      </c>
      <c r="L1911" s="17">
        <f t="shared" si="89"/>
        <v>0</v>
      </c>
      <c r="M1911" t="str">
        <f>VLOOKUP(D1911,'Jer-Tip-Emp'!B:E,4,0)</f>
        <v>Platos especiales</v>
      </c>
      <c r="N1911" t="str">
        <f>VLOOKUP(D1911,'Jer-Tip-Emp'!B:F,5,0)</f>
        <v>Personal</v>
      </c>
      <c r="O1911" t="str">
        <f>VLOOKUP(D1911,'Jer-Tip-Emp'!B:G,6,0)</f>
        <v>Platos especiales</v>
      </c>
    </row>
    <row r="1912" spans="1:15" ht="27.5" hidden="1" customHeight="1" x14ac:dyDescent="0.2">
      <c r="A1912">
        <v>2025</v>
      </c>
      <c r="B1912" t="s">
        <v>618</v>
      </c>
      <c r="C1912" t="s">
        <v>595</v>
      </c>
      <c r="D1912" s="19" t="s">
        <v>218</v>
      </c>
      <c r="E1912" s="18" t="s">
        <v>33</v>
      </c>
      <c r="F1912" s="18">
        <v>3</v>
      </c>
      <c r="G1912" s="20">
        <v>23700</v>
      </c>
      <c r="H1912" s="18">
        <v>0</v>
      </c>
      <c r="I1912" s="18">
        <v>0</v>
      </c>
      <c r="J1912" s="8">
        <f t="shared" si="87"/>
        <v>23700</v>
      </c>
      <c r="K1912" s="10">
        <f t="shared" si="88"/>
        <v>1</v>
      </c>
      <c r="L1912" s="17">
        <f t="shared" si="89"/>
        <v>0</v>
      </c>
      <c r="M1912" t="str">
        <f>VLOOKUP(D1912,'Jer-Tip-Emp'!B:E,4,0)</f>
        <v>Adición</v>
      </c>
      <c r="N1912" t="str">
        <f>VLOOKUP(D1912,'Jer-Tip-Emp'!B:F,5,0)</f>
        <v>Adición</v>
      </c>
      <c r="O1912" t="str">
        <f>VLOOKUP(D1912,'Jer-Tip-Emp'!B:G,6,0)</f>
        <v>Adición</v>
      </c>
    </row>
    <row r="1913" spans="1:15" ht="27.5" customHeight="1" x14ac:dyDescent="0.2">
      <c r="A1913">
        <v>2025</v>
      </c>
      <c r="B1913" t="s">
        <v>618</v>
      </c>
      <c r="C1913" t="s">
        <v>595</v>
      </c>
      <c r="D1913" s="19" t="s">
        <v>294</v>
      </c>
      <c r="E1913" s="18" t="s">
        <v>108</v>
      </c>
      <c r="F1913" s="18">
        <v>3</v>
      </c>
      <c r="G1913" s="20">
        <v>59700</v>
      </c>
      <c r="H1913" s="18">
        <v>0</v>
      </c>
      <c r="I1913" s="20">
        <v>24549</v>
      </c>
      <c r="J1913" s="8">
        <f t="shared" si="87"/>
        <v>35151</v>
      </c>
      <c r="K1913" s="10">
        <f t="shared" si="88"/>
        <v>0.58879396984924626</v>
      </c>
      <c r="L1913" s="17">
        <f t="shared" si="89"/>
        <v>0</v>
      </c>
      <c r="M1913" t="str">
        <f>VLOOKUP(D1913,'Jer-Tip-Emp'!B:E,4,0)</f>
        <v>Mong Express</v>
      </c>
      <c r="N1913" t="str">
        <f>VLOOKUP(D1913,'Jer-Tip-Emp'!B:F,5,0)</f>
        <v>Personal</v>
      </c>
      <c r="O1913" t="str">
        <f>VLOOKUP(D1913,'Jer-Tip-Emp'!B:G,6,0)</f>
        <v>Caja</v>
      </c>
    </row>
    <row r="1914" spans="1:15" ht="27.5" hidden="1" customHeight="1" x14ac:dyDescent="0.2">
      <c r="A1914">
        <v>2025</v>
      </c>
      <c r="B1914" t="s">
        <v>618</v>
      </c>
      <c r="C1914" t="s">
        <v>595</v>
      </c>
      <c r="D1914" s="19" t="s">
        <v>408</v>
      </c>
      <c r="E1914" s="18" t="s">
        <v>35</v>
      </c>
      <c r="F1914" s="18">
        <v>3</v>
      </c>
      <c r="G1914" s="20">
        <v>10500</v>
      </c>
      <c r="H1914" s="18">
        <v>0</v>
      </c>
      <c r="I1914" s="20">
        <v>2604</v>
      </c>
      <c r="J1914" s="8">
        <f t="shared" si="87"/>
        <v>7896</v>
      </c>
      <c r="K1914" s="10">
        <f t="shared" si="88"/>
        <v>0.752</v>
      </c>
      <c r="L1914" s="17">
        <f t="shared" si="89"/>
        <v>0</v>
      </c>
      <c r="M1914" t="str">
        <f>VLOOKUP(D1914,'Jer-Tip-Emp'!B:E,4,0)</f>
        <v>Bebidas</v>
      </c>
      <c r="N1914" t="str">
        <f>VLOOKUP(D1914,'Jer-Tip-Emp'!B:F,5,0)</f>
        <v>Bebidas</v>
      </c>
      <c r="O1914" t="str">
        <f>VLOOKUP(D1914,'Jer-Tip-Emp'!B:G,6,0)</f>
        <v>Bebidas</v>
      </c>
    </row>
    <row r="1915" spans="1:15" ht="27.5" customHeight="1" x14ac:dyDescent="0.2">
      <c r="A1915">
        <v>2025</v>
      </c>
      <c r="B1915" t="s">
        <v>618</v>
      </c>
      <c r="C1915" t="s">
        <v>595</v>
      </c>
      <c r="D1915" s="19" t="s">
        <v>261</v>
      </c>
      <c r="E1915" s="18" t="s">
        <v>135</v>
      </c>
      <c r="F1915" s="18">
        <v>3</v>
      </c>
      <c r="G1915" s="20">
        <v>53700</v>
      </c>
      <c r="H1915" s="18">
        <v>0</v>
      </c>
      <c r="I1915" s="20">
        <v>16398</v>
      </c>
      <c r="J1915" s="8">
        <f t="shared" si="87"/>
        <v>37302</v>
      </c>
      <c r="K1915" s="10">
        <f t="shared" si="88"/>
        <v>0.69463687150837994</v>
      </c>
      <c r="L1915" s="17">
        <f t="shared" si="89"/>
        <v>0</v>
      </c>
      <c r="M1915" t="str">
        <f>VLOOKUP(D1915,'Jer-Tip-Emp'!B:E,4,0)</f>
        <v>Platos mong</v>
      </c>
      <c r="N1915" t="str">
        <f>VLOOKUP(D1915,'Jer-Tip-Emp'!B:F,5,0)</f>
        <v>Personal</v>
      </c>
      <c r="O1915" t="str">
        <f>VLOOKUP(D1915,'Jer-Tip-Emp'!B:G,6,0)</f>
        <v>Caja</v>
      </c>
    </row>
    <row r="1916" spans="1:15" ht="27.5" hidden="1" customHeight="1" x14ac:dyDescent="0.2">
      <c r="A1916">
        <v>2025</v>
      </c>
      <c r="B1916" t="s">
        <v>618</v>
      </c>
      <c r="C1916" t="s">
        <v>595</v>
      </c>
      <c r="D1916" s="19" t="s">
        <v>335</v>
      </c>
      <c r="E1916" s="18" t="s">
        <v>40</v>
      </c>
      <c r="F1916" s="18">
        <v>3</v>
      </c>
      <c r="G1916" s="20">
        <v>14700</v>
      </c>
      <c r="H1916" s="18">
        <v>0</v>
      </c>
      <c r="I1916" s="20">
        <v>4119</v>
      </c>
      <c r="J1916" s="8">
        <f t="shared" si="87"/>
        <v>10581</v>
      </c>
      <c r="K1916" s="10">
        <f t="shared" si="88"/>
        <v>0.71979591836734691</v>
      </c>
      <c r="L1916" s="17">
        <f t="shared" si="89"/>
        <v>0</v>
      </c>
      <c r="M1916" t="str">
        <f>VLOOKUP(D1916,'Jer-Tip-Emp'!B:E,4,0)</f>
        <v>Bebidas</v>
      </c>
      <c r="N1916" t="str">
        <f>VLOOKUP(D1916,'Jer-Tip-Emp'!B:F,5,0)</f>
        <v>Bebidas</v>
      </c>
      <c r="O1916" t="str">
        <f>VLOOKUP(D1916,'Jer-Tip-Emp'!B:G,6,0)</f>
        <v>Bebidas</v>
      </c>
    </row>
    <row r="1917" spans="1:15" ht="27.5" customHeight="1" x14ac:dyDescent="0.2">
      <c r="A1917">
        <v>2025</v>
      </c>
      <c r="B1917" t="s">
        <v>618</v>
      </c>
      <c r="C1917" t="s">
        <v>595</v>
      </c>
      <c r="D1917" s="19" t="s">
        <v>297</v>
      </c>
      <c r="E1917" s="18" t="s">
        <v>131</v>
      </c>
      <c r="F1917" s="18">
        <v>3</v>
      </c>
      <c r="G1917" s="20">
        <v>56700</v>
      </c>
      <c r="H1917" s="18">
        <v>0</v>
      </c>
      <c r="I1917" s="20">
        <v>16383</v>
      </c>
      <c r="J1917" s="8">
        <f t="shared" si="87"/>
        <v>40317</v>
      </c>
      <c r="K1917" s="10">
        <f t="shared" si="88"/>
        <v>0.71105820105820106</v>
      </c>
      <c r="L1917" s="17">
        <f t="shared" si="89"/>
        <v>0</v>
      </c>
      <c r="M1917" t="str">
        <f>VLOOKUP(D1917,'Jer-Tip-Emp'!B:E,4,0)</f>
        <v>Platos mong</v>
      </c>
      <c r="N1917" t="str">
        <f>VLOOKUP(D1917,'Jer-Tip-Emp'!B:F,5,0)</f>
        <v>Personal</v>
      </c>
      <c r="O1917" t="str">
        <f>VLOOKUP(D1917,'Jer-Tip-Emp'!B:G,6,0)</f>
        <v>Caja</v>
      </c>
    </row>
    <row r="1918" spans="1:15" ht="27.5" hidden="1" customHeight="1" x14ac:dyDescent="0.2">
      <c r="A1918">
        <v>2025</v>
      </c>
      <c r="B1918" t="s">
        <v>618</v>
      </c>
      <c r="C1918" t="s">
        <v>595</v>
      </c>
      <c r="D1918" s="19" t="s">
        <v>382</v>
      </c>
      <c r="E1918" s="18" t="s">
        <v>42</v>
      </c>
      <c r="F1918" s="18">
        <v>3</v>
      </c>
      <c r="G1918" s="20">
        <v>14700</v>
      </c>
      <c r="H1918" s="18">
        <v>0</v>
      </c>
      <c r="I1918" s="20">
        <v>4119</v>
      </c>
      <c r="J1918" s="8">
        <f t="shared" si="87"/>
        <v>10581</v>
      </c>
      <c r="K1918" s="10">
        <f t="shared" si="88"/>
        <v>0.71979591836734691</v>
      </c>
      <c r="L1918" s="17">
        <f t="shared" si="89"/>
        <v>0</v>
      </c>
      <c r="M1918" t="str">
        <f>VLOOKUP(D1918,'Jer-Tip-Emp'!B:E,4,0)</f>
        <v>Bebidas</v>
      </c>
      <c r="N1918" t="str">
        <f>VLOOKUP(D1918,'Jer-Tip-Emp'!B:F,5,0)</f>
        <v>Bebidas</v>
      </c>
      <c r="O1918" t="str">
        <f>VLOOKUP(D1918,'Jer-Tip-Emp'!B:G,6,0)</f>
        <v>Bebidas</v>
      </c>
    </row>
    <row r="1919" spans="1:15" ht="27.5" customHeight="1" x14ac:dyDescent="0.2">
      <c r="A1919">
        <v>2025</v>
      </c>
      <c r="B1919" t="s">
        <v>618</v>
      </c>
      <c r="C1919" t="s">
        <v>595</v>
      </c>
      <c r="D1919" s="19" t="s">
        <v>214</v>
      </c>
      <c r="E1919" s="18" t="s">
        <v>81</v>
      </c>
      <c r="F1919" s="18">
        <v>2</v>
      </c>
      <c r="G1919" s="20">
        <v>119800</v>
      </c>
      <c r="H1919" s="18">
        <v>0</v>
      </c>
      <c r="I1919" s="20">
        <v>47276</v>
      </c>
      <c r="J1919" s="8">
        <f t="shared" si="87"/>
        <v>72524</v>
      </c>
      <c r="K1919" s="10">
        <f t="shared" si="88"/>
        <v>0.60537562604340567</v>
      </c>
      <c r="L1919" s="17">
        <f t="shared" si="89"/>
        <v>0</v>
      </c>
      <c r="M1919" t="str">
        <f>VLOOKUP(D1919,'Jer-Tip-Emp'!B:E,4,0)</f>
        <v>Combos para compartir</v>
      </c>
      <c r="N1919" t="str">
        <f>VLOOKUP(D1919,'Jer-Tip-Emp'!B:F,5,0)</f>
        <v>No Personal</v>
      </c>
      <c r="O1919" t="str">
        <f>VLOOKUP(D1919,'Jer-Tip-Emp'!B:G,6,0)</f>
        <v>Combo</v>
      </c>
    </row>
    <row r="1920" spans="1:15" ht="27.5" hidden="1" customHeight="1" x14ac:dyDescent="0.2">
      <c r="A1920">
        <v>2025</v>
      </c>
      <c r="B1920" t="s">
        <v>618</v>
      </c>
      <c r="C1920" t="s">
        <v>595</v>
      </c>
      <c r="D1920" s="19" t="s">
        <v>351</v>
      </c>
      <c r="E1920" s="18" t="s">
        <v>55</v>
      </c>
      <c r="F1920" s="18">
        <v>2</v>
      </c>
      <c r="G1920" s="20">
        <v>11800</v>
      </c>
      <c r="H1920" s="18">
        <v>0</v>
      </c>
      <c r="I1920" s="20">
        <v>2896</v>
      </c>
      <c r="J1920" s="8">
        <f t="shared" si="87"/>
        <v>8904</v>
      </c>
      <c r="K1920" s="10">
        <f t="shared" si="88"/>
        <v>0.75457627118644066</v>
      </c>
      <c r="L1920" s="17">
        <f t="shared" si="89"/>
        <v>0</v>
      </c>
      <c r="M1920" t="str">
        <f>VLOOKUP(D1920,'Jer-Tip-Emp'!B:E,4,0)</f>
        <v>Bebidas</v>
      </c>
      <c r="N1920" t="str">
        <f>VLOOKUP(D1920,'Jer-Tip-Emp'!B:F,5,0)</f>
        <v>Bebidas</v>
      </c>
      <c r="O1920" t="str">
        <f>VLOOKUP(D1920,'Jer-Tip-Emp'!B:G,6,0)</f>
        <v>Bebidas</v>
      </c>
    </row>
    <row r="1921" spans="1:15" ht="27.5" hidden="1" customHeight="1" x14ac:dyDescent="0.2">
      <c r="A1921">
        <v>2025</v>
      </c>
      <c r="B1921" t="s">
        <v>618</v>
      </c>
      <c r="C1921" t="s">
        <v>595</v>
      </c>
      <c r="D1921" s="19" t="s">
        <v>262</v>
      </c>
      <c r="E1921" s="18" t="s">
        <v>102</v>
      </c>
      <c r="F1921" s="18">
        <v>2</v>
      </c>
      <c r="G1921" s="20">
        <v>33800</v>
      </c>
      <c r="H1921" s="18">
        <v>0</v>
      </c>
      <c r="I1921" s="20">
        <v>12430</v>
      </c>
      <c r="J1921" s="8">
        <f t="shared" ref="J1921:J1984" si="90">G1921-I1921</f>
        <v>21370</v>
      </c>
      <c r="K1921" s="10">
        <f t="shared" ref="K1921:K1984" si="91">IFERROR(J1921/G1921,0)</f>
        <v>0.63224852071005921</v>
      </c>
      <c r="L1921" s="17">
        <f t="shared" ref="L1921:L1984" si="92">IFERROR((H1921/G1921)*-1,0)</f>
        <v>0</v>
      </c>
      <c r="M1921" t="str">
        <f>VLOOKUP(D1921,'Jer-Tip-Emp'!B:E,4,0)</f>
        <v>Entradas</v>
      </c>
      <c r="N1921" t="str">
        <f>VLOOKUP(D1921,'Jer-Tip-Emp'!B:F,5,0)</f>
        <v>Otro</v>
      </c>
      <c r="O1921" t="str">
        <f>VLOOKUP(D1921,'Jer-Tip-Emp'!B:G,6,0)</f>
        <v>Otro</v>
      </c>
    </row>
    <row r="1922" spans="1:15" ht="27.5" hidden="1" customHeight="1" x14ac:dyDescent="0.2">
      <c r="A1922">
        <v>2025</v>
      </c>
      <c r="B1922" t="s">
        <v>618</v>
      </c>
      <c r="C1922" t="s">
        <v>595</v>
      </c>
      <c r="D1922" s="19" t="s">
        <v>326</v>
      </c>
      <c r="E1922" s="18" t="s">
        <v>69</v>
      </c>
      <c r="F1922" s="18">
        <v>2</v>
      </c>
      <c r="G1922" s="20">
        <v>9800</v>
      </c>
      <c r="H1922" s="18">
        <v>0</v>
      </c>
      <c r="I1922" s="20">
        <v>2660</v>
      </c>
      <c r="J1922" s="8">
        <f t="shared" si="90"/>
        <v>7140</v>
      </c>
      <c r="K1922" s="10">
        <f t="shared" si="91"/>
        <v>0.72857142857142854</v>
      </c>
      <c r="L1922" s="17">
        <f t="shared" si="92"/>
        <v>0</v>
      </c>
      <c r="M1922" t="str">
        <f>VLOOKUP(D1922,'Jer-Tip-Emp'!B:E,4,0)</f>
        <v>Bebidas</v>
      </c>
      <c r="N1922" t="str">
        <f>VLOOKUP(D1922,'Jer-Tip-Emp'!B:F,5,0)</f>
        <v>Bebidas</v>
      </c>
      <c r="O1922" t="str">
        <f>VLOOKUP(D1922,'Jer-Tip-Emp'!B:G,6,0)</f>
        <v>Bebidas</v>
      </c>
    </row>
    <row r="1923" spans="1:15" ht="27.5" customHeight="1" x14ac:dyDescent="0.2">
      <c r="A1923">
        <v>2025</v>
      </c>
      <c r="B1923" t="s">
        <v>618</v>
      </c>
      <c r="C1923" t="s">
        <v>595</v>
      </c>
      <c r="D1923" s="19" t="s">
        <v>202</v>
      </c>
      <c r="E1923" s="18" t="s">
        <v>142</v>
      </c>
      <c r="F1923" s="18">
        <v>2</v>
      </c>
      <c r="G1923" s="20">
        <v>67800</v>
      </c>
      <c r="H1923" s="18">
        <v>0</v>
      </c>
      <c r="I1923" s="20">
        <v>28462</v>
      </c>
      <c r="J1923" s="8">
        <f t="shared" si="90"/>
        <v>39338</v>
      </c>
      <c r="K1923" s="10">
        <f t="shared" si="91"/>
        <v>0.58020648967551625</v>
      </c>
      <c r="L1923" s="17">
        <f t="shared" si="92"/>
        <v>0</v>
      </c>
      <c r="M1923" t="str">
        <f>VLOOKUP(D1923,'Jer-Tip-Emp'!B:E,4,0)</f>
        <v>Platos mong</v>
      </c>
      <c r="N1923" t="str">
        <f>VLOOKUP(D1923,'Jer-Tip-Emp'!B:F,5,0)</f>
        <v>No Personal</v>
      </c>
      <c r="O1923" t="str">
        <f>VLOOKUP(D1923,'Jer-Tip-Emp'!B:G,6,0)</f>
        <v>Caja</v>
      </c>
    </row>
    <row r="1924" spans="1:15" ht="27.5" hidden="1" customHeight="1" x14ac:dyDescent="0.2">
      <c r="A1924">
        <v>2025</v>
      </c>
      <c r="B1924" t="s">
        <v>618</v>
      </c>
      <c r="C1924" t="s">
        <v>595</v>
      </c>
      <c r="D1924" s="19" t="s">
        <v>268</v>
      </c>
      <c r="E1924" s="18" t="s">
        <v>17</v>
      </c>
      <c r="F1924" s="18">
        <v>2</v>
      </c>
      <c r="G1924" s="20">
        <v>10900</v>
      </c>
      <c r="H1924" s="18">
        <v>-900</v>
      </c>
      <c r="I1924" s="20">
        <v>2564</v>
      </c>
      <c r="J1924" s="8">
        <f t="shared" si="90"/>
        <v>8336</v>
      </c>
      <c r="K1924" s="10">
        <f t="shared" si="91"/>
        <v>0.76477064220183488</v>
      </c>
      <c r="L1924" s="17">
        <f t="shared" si="92"/>
        <v>8.2568807339449546E-2</v>
      </c>
      <c r="M1924" t="str">
        <f>VLOOKUP(D1924,'Jer-Tip-Emp'!B:E,4,0)</f>
        <v>Adición</v>
      </c>
      <c r="N1924" t="str">
        <f>VLOOKUP(D1924,'Jer-Tip-Emp'!B:F,5,0)</f>
        <v>Adición</v>
      </c>
      <c r="O1924" t="str">
        <f>VLOOKUP(D1924,'Jer-Tip-Emp'!B:G,6,0)</f>
        <v>Adición</v>
      </c>
    </row>
    <row r="1925" spans="1:15" ht="27.5" customHeight="1" x14ac:dyDescent="0.2">
      <c r="A1925">
        <v>2025</v>
      </c>
      <c r="B1925" t="s">
        <v>618</v>
      </c>
      <c r="C1925" t="s">
        <v>595</v>
      </c>
      <c r="D1925" s="19" t="s">
        <v>290</v>
      </c>
      <c r="E1925" s="18" t="s">
        <v>86</v>
      </c>
      <c r="F1925" s="18">
        <v>2</v>
      </c>
      <c r="G1925" s="20">
        <v>193800</v>
      </c>
      <c r="H1925" s="18">
        <v>0</v>
      </c>
      <c r="I1925" s="20">
        <v>93560</v>
      </c>
      <c r="J1925" s="8">
        <f t="shared" si="90"/>
        <v>100240</v>
      </c>
      <c r="K1925" s="10">
        <f t="shared" si="91"/>
        <v>0.51723426212590295</v>
      </c>
      <c r="L1925" s="17">
        <f t="shared" si="92"/>
        <v>0</v>
      </c>
      <c r="M1925" t="str">
        <f>VLOOKUP(D1925,'Jer-Tip-Emp'!B:E,4,0)</f>
        <v>Combos para compartir</v>
      </c>
      <c r="N1925" t="str">
        <f>VLOOKUP(D1925,'Jer-Tip-Emp'!B:F,5,0)</f>
        <v>No Personal</v>
      </c>
      <c r="O1925" t="str">
        <f>VLOOKUP(D1925,'Jer-Tip-Emp'!B:G,6,0)</f>
        <v>Combo</v>
      </c>
    </row>
    <row r="1926" spans="1:15" ht="27.5" customHeight="1" x14ac:dyDescent="0.2">
      <c r="A1926">
        <v>2025</v>
      </c>
      <c r="B1926" t="s">
        <v>618</v>
      </c>
      <c r="C1926" t="s">
        <v>595</v>
      </c>
      <c r="D1926" s="19" t="s">
        <v>197</v>
      </c>
      <c r="E1926" s="18" t="s">
        <v>31</v>
      </c>
      <c r="F1926" s="18">
        <v>2</v>
      </c>
      <c r="G1926" s="20">
        <v>15800</v>
      </c>
      <c r="H1926" s="18">
        <v>0</v>
      </c>
      <c r="I1926" s="20">
        <v>6424</v>
      </c>
      <c r="J1926" s="8">
        <f t="shared" si="90"/>
        <v>9376</v>
      </c>
      <c r="K1926" s="10">
        <f t="shared" si="91"/>
        <v>0.59341772151898731</v>
      </c>
      <c r="L1926" s="17">
        <f t="shared" si="92"/>
        <v>0</v>
      </c>
      <c r="M1926" t="str">
        <f>VLOOKUP(D1926,'Jer-Tip-Emp'!B:E,4,0)</f>
        <v>Armalo en combo</v>
      </c>
      <c r="N1926" t="str">
        <f>VLOOKUP(D1926,'Jer-Tip-Emp'!B:F,5,0)</f>
        <v>Personal</v>
      </c>
      <c r="O1926" t="str">
        <f>VLOOKUP(D1926,'Jer-Tip-Emp'!B:G,6,0)</f>
        <v>Combo</v>
      </c>
    </row>
    <row r="1927" spans="1:15" ht="27.5" hidden="1" customHeight="1" x14ac:dyDescent="0.2">
      <c r="A1927">
        <v>2025</v>
      </c>
      <c r="B1927" t="s">
        <v>618</v>
      </c>
      <c r="C1927" t="s">
        <v>595</v>
      </c>
      <c r="D1927" s="19" t="s">
        <v>321</v>
      </c>
      <c r="E1927" s="18" t="s">
        <v>72</v>
      </c>
      <c r="F1927" s="18">
        <v>2</v>
      </c>
      <c r="G1927" s="20">
        <v>9800</v>
      </c>
      <c r="H1927" s="18">
        <v>0</v>
      </c>
      <c r="I1927" s="20">
        <v>2660</v>
      </c>
      <c r="J1927" s="8">
        <f t="shared" si="90"/>
        <v>7140</v>
      </c>
      <c r="K1927" s="10">
        <f t="shared" si="91"/>
        <v>0.72857142857142854</v>
      </c>
      <c r="L1927" s="17">
        <f t="shared" si="92"/>
        <v>0</v>
      </c>
      <c r="M1927" t="str">
        <f>VLOOKUP(D1927,'Jer-Tip-Emp'!B:E,4,0)</f>
        <v>Bebidas</v>
      </c>
      <c r="N1927" t="str">
        <f>VLOOKUP(D1927,'Jer-Tip-Emp'!B:F,5,0)</f>
        <v>Bebidas</v>
      </c>
      <c r="O1927" t="str">
        <f>VLOOKUP(D1927,'Jer-Tip-Emp'!B:G,6,0)</f>
        <v>Bebidas</v>
      </c>
    </row>
    <row r="1928" spans="1:15" ht="27.5" hidden="1" customHeight="1" x14ac:dyDescent="0.2">
      <c r="A1928">
        <v>2025</v>
      </c>
      <c r="B1928" t="s">
        <v>618</v>
      </c>
      <c r="C1928" t="s">
        <v>595</v>
      </c>
      <c r="D1928" s="19" t="s">
        <v>365</v>
      </c>
      <c r="E1928" s="18" t="s">
        <v>558</v>
      </c>
      <c r="F1928" s="18">
        <v>1</v>
      </c>
      <c r="G1928" s="18">
        <v>500</v>
      </c>
      <c r="H1928" s="18">
        <v>0</v>
      </c>
      <c r="I1928" s="20">
        <v>1569</v>
      </c>
      <c r="J1928" s="8">
        <f t="shared" si="90"/>
        <v>-1069</v>
      </c>
      <c r="K1928" s="10">
        <f t="shared" si="91"/>
        <v>-2.1379999999999999</v>
      </c>
      <c r="L1928" s="17">
        <f t="shared" si="92"/>
        <v>0</v>
      </c>
      <c r="M1928" t="str">
        <f>VLOOKUP(D1928,'Jer-Tip-Emp'!B:E,4,0)</f>
        <v>Adición</v>
      </c>
      <c r="N1928" t="str">
        <f>VLOOKUP(D1928,'Jer-Tip-Emp'!B:F,5,0)</f>
        <v>Otro</v>
      </c>
      <c r="O1928" t="str">
        <f>VLOOKUP(D1928,'Jer-Tip-Emp'!B:G,6,0)</f>
        <v>Otro</v>
      </c>
    </row>
    <row r="1929" spans="1:15" ht="27.5" hidden="1" customHeight="1" x14ac:dyDescent="0.2">
      <c r="A1929">
        <v>2025</v>
      </c>
      <c r="B1929" t="s">
        <v>618</v>
      </c>
      <c r="C1929" t="s">
        <v>595</v>
      </c>
      <c r="D1929" s="19" t="s">
        <v>450</v>
      </c>
      <c r="E1929" s="18" t="s">
        <v>565</v>
      </c>
      <c r="F1929" s="18">
        <v>1</v>
      </c>
      <c r="G1929" s="20">
        <v>1600</v>
      </c>
      <c r="H1929" s="18">
        <v>0</v>
      </c>
      <c r="I1929" s="20">
        <v>1874</v>
      </c>
      <c r="J1929" s="8">
        <f t="shared" si="90"/>
        <v>-274</v>
      </c>
      <c r="K1929" s="10">
        <f t="shared" si="91"/>
        <v>-0.17125000000000001</v>
      </c>
      <c r="L1929" s="17">
        <f t="shared" si="92"/>
        <v>0</v>
      </c>
      <c r="M1929" t="str">
        <f>VLOOKUP(D1929,'Jer-Tip-Emp'!B:E,4,0)</f>
        <v>Bebidas</v>
      </c>
      <c r="N1929" t="str">
        <f>VLOOKUP(D1929,'Jer-Tip-Emp'!B:F,5,0)</f>
        <v>Bebidas Cambio de bebida</v>
      </c>
      <c r="O1929" t="str">
        <f>VLOOKUP(D1929,'Jer-Tip-Emp'!B:G,6,0)</f>
        <v>Bebidas</v>
      </c>
    </row>
    <row r="1930" spans="1:15" ht="27.5" hidden="1" customHeight="1" x14ac:dyDescent="0.2">
      <c r="A1930">
        <v>2025</v>
      </c>
      <c r="B1930" t="s">
        <v>618</v>
      </c>
      <c r="C1930" t="s">
        <v>595</v>
      </c>
      <c r="D1930" s="19" t="s">
        <v>452</v>
      </c>
      <c r="E1930" s="18" t="s">
        <v>573</v>
      </c>
      <c r="F1930" s="18">
        <v>1</v>
      </c>
      <c r="G1930" s="20">
        <v>1600</v>
      </c>
      <c r="H1930" s="18">
        <v>0</v>
      </c>
      <c r="I1930" s="20">
        <v>1874</v>
      </c>
      <c r="J1930" s="8">
        <f t="shared" si="90"/>
        <v>-274</v>
      </c>
      <c r="K1930" s="10">
        <f t="shared" si="91"/>
        <v>-0.17125000000000001</v>
      </c>
      <c r="L1930" s="17">
        <f t="shared" si="92"/>
        <v>0</v>
      </c>
      <c r="M1930" t="str">
        <f>VLOOKUP(D1930,'Jer-Tip-Emp'!B:E,4,0)</f>
        <v>Bebidas</v>
      </c>
      <c r="N1930" t="str">
        <f>VLOOKUP(D1930,'Jer-Tip-Emp'!B:F,5,0)</f>
        <v>Bebidas Cambio de bebida</v>
      </c>
      <c r="O1930" t="str">
        <f>VLOOKUP(D1930,'Jer-Tip-Emp'!B:G,6,0)</f>
        <v>Bebidas</v>
      </c>
    </row>
    <row r="1931" spans="1:15" ht="27.5" hidden="1" customHeight="1" x14ac:dyDescent="0.2">
      <c r="A1931">
        <v>2025</v>
      </c>
      <c r="B1931" t="s">
        <v>618</v>
      </c>
      <c r="C1931" t="s">
        <v>595</v>
      </c>
      <c r="D1931" s="19" t="s">
        <v>397</v>
      </c>
      <c r="E1931" s="18" t="s">
        <v>61</v>
      </c>
      <c r="F1931" s="18">
        <v>1</v>
      </c>
      <c r="G1931" s="20">
        <v>4900</v>
      </c>
      <c r="H1931" s="18">
        <v>0</v>
      </c>
      <c r="I1931" s="20">
        <v>1896</v>
      </c>
      <c r="J1931" s="8">
        <f t="shared" si="90"/>
        <v>3004</v>
      </c>
      <c r="K1931" s="10">
        <f t="shared" si="91"/>
        <v>0.61306122448979594</v>
      </c>
      <c r="L1931" s="17">
        <f t="shared" si="92"/>
        <v>0</v>
      </c>
      <c r="M1931" t="str">
        <f>VLOOKUP(D1931,'Jer-Tip-Emp'!B:E,4,0)</f>
        <v>Bebidas</v>
      </c>
      <c r="N1931" t="str">
        <f>VLOOKUP(D1931,'Jer-Tip-Emp'!B:F,5,0)</f>
        <v>Bebidas</v>
      </c>
      <c r="O1931" t="str">
        <f>VLOOKUP(D1931,'Jer-Tip-Emp'!B:G,6,0)</f>
        <v>Bebidas</v>
      </c>
    </row>
    <row r="1932" spans="1:15" ht="27.5" hidden="1" customHeight="1" x14ac:dyDescent="0.2">
      <c r="A1932">
        <v>2025</v>
      </c>
      <c r="B1932" t="s">
        <v>618</v>
      </c>
      <c r="C1932" t="s">
        <v>595</v>
      </c>
      <c r="D1932" s="19" t="s">
        <v>369</v>
      </c>
      <c r="E1932" s="18" t="s">
        <v>68</v>
      </c>
      <c r="F1932" s="18">
        <v>1</v>
      </c>
      <c r="G1932" s="20">
        <v>4900</v>
      </c>
      <c r="H1932" s="18">
        <v>0</v>
      </c>
      <c r="I1932" s="20">
        <v>1330</v>
      </c>
      <c r="J1932" s="8">
        <f t="shared" si="90"/>
        <v>3570</v>
      </c>
      <c r="K1932" s="10">
        <f t="shared" si="91"/>
        <v>0.72857142857142854</v>
      </c>
      <c r="L1932" s="17">
        <f t="shared" si="92"/>
        <v>0</v>
      </c>
      <c r="M1932" t="str">
        <f>VLOOKUP(D1932,'Jer-Tip-Emp'!B:E,4,0)</f>
        <v>Bebidas</v>
      </c>
      <c r="N1932" t="str">
        <f>VLOOKUP(D1932,'Jer-Tip-Emp'!B:F,5,0)</f>
        <v>Bebidas</v>
      </c>
      <c r="O1932" t="str">
        <f>VLOOKUP(D1932,'Jer-Tip-Emp'!B:G,6,0)</f>
        <v>Bebidas</v>
      </c>
    </row>
    <row r="1933" spans="1:15" ht="27.5" customHeight="1" x14ac:dyDescent="0.2">
      <c r="A1933">
        <v>2025</v>
      </c>
      <c r="B1933" t="s">
        <v>618</v>
      </c>
      <c r="C1933" t="s">
        <v>595</v>
      </c>
      <c r="D1933" s="19" t="s">
        <v>279</v>
      </c>
      <c r="E1933" s="18" t="s">
        <v>132</v>
      </c>
      <c r="F1933" s="18">
        <v>1</v>
      </c>
      <c r="G1933" s="20">
        <v>34900</v>
      </c>
      <c r="H1933" s="18">
        <v>0</v>
      </c>
      <c r="I1933" s="20">
        <v>11217</v>
      </c>
      <c r="J1933" s="8">
        <f t="shared" si="90"/>
        <v>23683</v>
      </c>
      <c r="K1933" s="10">
        <f t="shared" si="91"/>
        <v>0.67859598853868197</v>
      </c>
      <c r="L1933" s="17">
        <f t="shared" si="92"/>
        <v>0</v>
      </c>
      <c r="M1933" t="str">
        <f>VLOOKUP(D1933,'Jer-Tip-Emp'!B:E,4,0)</f>
        <v>Platos mong</v>
      </c>
      <c r="N1933" t="str">
        <f>VLOOKUP(D1933,'Jer-Tip-Emp'!B:F,5,0)</f>
        <v>No Personal</v>
      </c>
      <c r="O1933" t="str">
        <f>VLOOKUP(D1933,'Jer-Tip-Emp'!B:G,6,0)</f>
        <v>Caja</v>
      </c>
    </row>
    <row r="1934" spans="1:15" ht="27.5" hidden="1" customHeight="1" x14ac:dyDescent="0.2">
      <c r="A1934">
        <v>2025</v>
      </c>
      <c r="B1934" t="s">
        <v>618</v>
      </c>
      <c r="C1934" t="s">
        <v>595</v>
      </c>
      <c r="D1934" s="19" t="s">
        <v>173</v>
      </c>
      <c r="E1934" s="18" t="s">
        <v>542</v>
      </c>
      <c r="F1934" s="18">
        <v>1</v>
      </c>
      <c r="G1934" s="18">
        <v>0</v>
      </c>
      <c r="H1934" s="18">
        <v>0</v>
      </c>
      <c r="I1934" s="18">
        <v>0</v>
      </c>
      <c r="J1934" s="8">
        <f t="shared" si="90"/>
        <v>0</v>
      </c>
      <c r="K1934" s="10">
        <f t="shared" si="91"/>
        <v>0</v>
      </c>
      <c r="L1934" s="17">
        <f t="shared" si="92"/>
        <v>0</v>
      </c>
      <c r="M1934" t="str">
        <f>VLOOKUP(D1934,'Jer-Tip-Emp'!B:E,4,0)</f>
        <v>Bebidas</v>
      </c>
      <c r="N1934" t="str">
        <f>VLOOKUP(D1934,'Jer-Tip-Emp'!B:F,5,0)</f>
        <v>Bebidas Cambio de bebida</v>
      </c>
      <c r="O1934" t="str">
        <f>VLOOKUP(D1934,'Jer-Tip-Emp'!B:G,6,0)</f>
        <v>Bebidas</v>
      </c>
    </row>
    <row r="1935" spans="1:15" ht="27.5" hidden="1" customHeight="1" x14ac:dyDescent="0.2">
      <c r="A1935">
        <v>2025</v>
      </c>
      <c r="B1935" t="s">
        <v>618</v>
      </c>
      <c r="C1935" t="s">
        <v>595</v>
      </c>
      <c r="D1935" s="19" t="s">
        <v>339</v>
      </c>
      <c r="E1935" s="18" t="s">
        <v>65</v>
      </c>
      <c r="F1935" s="18">
        <v>1</v>
      </c>
      <c r="G1935" s="20">
        <v>4900</v>
      </c>
      <c r="H1935" s="18">
        <v>0</v>
      </c>
      <c r="I1935" s="20">
        <v>1560</v>
      </c>
      <c r="J1935" s="8">
        <f t="shared" si="90"/>
        <v>3340</v>
      </c>
      <c r="K1935" s="10">
        <f t="shared" si="91"/>
        <v>0.68163265306122445</v>
      </c>
      <c r="L1935" s="17">
        <f t="shared" si="92"/>
        <v>0</v>
      </c>
      <c r="M1935" t="str">
        <f>VLOOKUP(D1935,'Jer-Tip-Emp'!B:E,4,0)</f>
        <v>Bebidas</v>
      </c>
      <c r="N1935" t="str">
        <f>VLOOKUP(D1935,'Jer-Tip-Emp'!B:F,5,0)</f>
        <v>Bebidas</v>
      </c>
      <c r="O1935" t="str">
        <f>VLOOKUP(D1935,'Jer-Tip-Emp'!B:G,6,0)</f>
        <v>Bebidas</v>
      </c>
    </row>
    <row r="1936" spans="1:15" ht="27.5" customHeight="1" x14ac:dyDescent="0.2">
      <c r="A1936">
        <v>2025</v>
      </c>
      <c r="B1936" t="s">
        <v>618</v>
      </c>
      <c r="C1936" t="s">
        <v>595</v>
      </c>
      <c r="D1936" s="19" t="s">
        <v>260</v>
      </c>
      <c r="E1936" s="18" t="s">
        <v>97</v>
      </c>
      <c r="F1936" s="18">
        <v>1</v>
      </c>
      <c r="G1936" s="20">
        <v>47900</v>
      </c>
      <c r="H1936" s="18">
        <v>0</v>
      </c>
      <c r="I1936" s="20">
        <v>20911</v>
      </c>
      <c r="J1936" s="8">
        <f t="shared" si="90"/>
        <v>26989</v>
      </c>
      <c r="K1936" s="10">
        <f t="shared" si="91"/>
        <v>0.56344467640918583</v>
      </c>
      <c r="L1936" s="17">
        <f t="shared" si="92"/>
        <v>0</v>
      </c>
      <c r="M1936" t="str">
        <f>VLOOKUP(D1936,'Jer-Tip-Emp'!B:E,4,0)</f>
        <v>Platos mong</v>
      </c>
      <c r="N1936" t="str">
        <f>VLOOKUP(D1936,'Jer-Tip-Emp'!B:F,5,0)</f>
        <v>No Personal</v>
      </c>
      <c r="O1936" t="str">
        <f>VLOOKUP(D1936,'Jer-Tip-Emp'!B:G,6,0)</f>
        <v>Caja</v>
      </c>
    </row>
    <row r="1937" spans="1:15" ht="27.5" customHeight="1" x14ac:dyDescent="0.2">
      <c r="A1937">
        <v>2025</v>
      </c>
      <c r="B1937" t="s">
        <v>618</v>
      </c>
      <c r="C1937" t="s">
        <v>595</v>
      </c>
      <c r="D1937" s="19" t="s">
        <v>226</v>
      </c>
      <c r="E1937" s="18" t="s">
        <v>227</v>
      </c>
      <c r="F1937" s="18">
        <v>1</v>
      </c>
      <c r="G1937" s="20">
        <v>50900</v>
      </c>
      <c r="H1937" s="18">
        <v>0</v>
      </c>
      <c r="I1937" s="20">
        <v>21117</v>
      </c>
      <c r="J1937" s="8">
        <f t="shared" si="90"/>
        <v>29783</v>
      </c>
      <c r="K1937" s="10">
        <f t="shared" si="91"/>
        <v>0.58512770137524561</v>
      </c>
      <c r="L1937" s="17">
        <f t="shared" si="92"/>
        <v>0</v>
      </c>
      <c r="M1937" t="str">
        <f>VLOOKUP(D1937,'Jer-Tip-Emp'!B:E,4,0)</f>
        <v>Platos mong</v>
      </c>
      <c r="N1937" t="str">
        <f>VLOOKUP(D1937,'Jer-Tip-Emp'!B:F,5,0)</f>
        <v>No Personal</v>
      </c>
      <c r="O1937" t="str">
        <f>VLOOKUP(D1937,'Jer-Tip-Emp'!B:G,6,0)</f>
        <v>Caja</v>
      </c>
    </row>
    <row r="1938" spans="1:15" ht="27.5" customHeight="1" x14ac:dyDescent="0.2">
      <c r="A1938">
        <v>2025</v>
      </c>
      <c r="B1938" t="s">
        <v>618</v>
      </c>
      <c r="C1938" t="s">
        <v>595</v>
      </c>
      <c r="D1938" s="19" t="s">
        <v>278</v>
      </c>
      <c r="E1938" s="18" t="s">
        <v>84</v>
      </c>
      <c r="F1938" s="18">
        <v>1</v>
      </c>
      <c r="G1938" s="20">
        <v>20900</v>
      </c>
      <c r="H1938" s="18">
        <v>0</v>
      </c>
      <c r="I1938" s="20">
        <v>7973</v>
      </c>
      <c r="J1938" s="8">
        <f t="shared" si="90"/>
        <v>12927</v>
      </c>
      <c r="K1938" s="10">
        <f t="shared" si="91"/>
        <v>0.61851674641148324</v>
      </c>
      <c r="L1938" s="17">
        <f t="shared" si="92"/>
        <v>0</v>
      </c>
      <c r="M1938" t="str">
        <f>VLOOKUP(D1938,'Jer-Tip-Emp'!B:E,4,0)</f>
        <v>Combos para compartir</v>
      </c>
      <c r="N1938" t="str">
        <f>VLOOKUP(D1938,'Jer-Tip-Emp'!B:F,5,0)</f>
        <v>No Personal</v>
      </c>
      <c r="O1938" t="str">
        <f>VLOOKUP(D1938,'Jer-Tip-Emp'!B:G,6,0)</f>
        <v>Combo</v>
      </c>
    </row>
    <row r="1939" spans="1:15" ht="27.5" hidden="1" customHeight="1" x14ac:dyDescent="0.2">
      <c r="A1939">
        <v>2025</v>
      </c>
      <c r="B1939" t="s">
        <v>618</v>
      </c>
      <c r="C1939" t="s">
        <v>595</v>
      </c>
      <c r="D1939" s="19" t="s">
        <v>193</v>
      </c>
      <c r="E1939" s="18" t="s">
        <v>18</v>
      </c>
      <c r="F1939" s="18">
        <v>1</v>
      </c>
      <c r="G1939" s="20">
        <v>6900</v>
      </c>
      <c r="H1939" s="18">
        <v>0</v>
      </c>
      <c r="I1939" s="20">
        <v>3108</v>
      </c>
      <c r="J1939" s="8">
        <f t="shared" si="90"/>
        <v>3792</v>
      </c>
      <c r="K1939" s="10">
        <f t="shared" si="91"/>
        <v>0.54956521739130437</v>
      </c>
      <c r="L1939" s="17">
        <f t="shared" si="92"/>
        <v>0</v>
      </c>
      <c r="M1939" t="str">
        <f>VLOOKUP(D1939,'Jer-Tip-Emp'!B:E,4,0)</f>
        <v>Adición</v>
      </c>
      <c r="N1939" t="str">
        <f>VLOOKUP(D1939,'Jer-Tip-Emp'!B:F,5,0)</f>
        <v>Adición</v>
      </c>
      <c r="O1939" t="str">
        <f>VLOOKUP(D1939,'Jer-Tip-Emp'!B:G,6,0)</f>
        <v>Adición</v>
      </c>
    </row>
    <row r="1940" spans="1:15" ht="27.5" hidden="1" customHeight="1" x14ac:dyDescent="0.2">
      <c r="A1940">
        <v>2025</v>
      </c>
      <c r="B1940" t="s">
        <v>618</v>
      </c>
      <c r="C1940" t="s">
        <v>595</v>
      </c>
      <c r="D1940" s="19" t="s">
        <v>296</v>
      </c>
      <c r="E1940" s="18" t="s">
        <v>22</v>
      </c>
      <c r="F1940" s="18">
        <v>1</v>
      </c>
      <c r="G1940" s="20">
        <v>6900</v>
      </c>
      <c r="H1940" s="18">
        <v>0</v>
      </c>
      <c r="I1940" s="18">
        <v>689</v>
      </c>
      <c r="J1940" s="8">
        <f t="shared" si="90"/>
        <v>6211</v>
      </c>
      <c r="K1940" s="10">
        <f t="shared" si="91"/>
        <v>0.90014492753623188</v>
      </c>
      <c r="L1940" s="17">
        <f t="shared" si="92"/>
        <v>0</v>
      </c>
      <c r="M1940" t="str">
        <f>VLOOKUP(D1940,'Jer-Tip-Emp'!B:E,4,0)</f>
        <v>Adición</v>
      </c>
      <c r="N1940" t="str">
        <f>VLOOKUP(D1940,'Jer-Tip-Emp'!B:F,5,0)</f>
        <v>Adición</v>
      </c>
      <c r="O1940" t="str">
        <f>VLOOKUP(D1940,'Jer-Tip-Emp'!B:G,6,0)</f>
        <v>Adición</v>
      </c>
    </row>
    <row r="1941" spans="1:15" ht="27.5" hidden="1" customHeight="1" x14ac:dyDescent="0.2">
      <c r="A1941">
        <v>2025</v>
      </c>
      <c r="B1941" t="s">
        <v>618</v>
      </c>
      <c r="C1941" t="s">
        <v>595</v>
      </c>
      <c r="D1941" s="19" t="s">
        <v>314</v>
      </c>
      <c r="E1941" s="18" t="s">
        <v>67</v>
      </c>
      <c r="F1941" s="18">
        <v>1</v>
      </c>
      <c r="G1941" s="20">
        <v>4900</v>
      </c>
      <c r="H1941" s="18">
        <v>0</v>
      </c>
      <c r="I1941" s="20">
        <v>1330</v>
      </c>
      <c r="J1941" s="8">
        <f t="shared" si="90"/>
        <v>3570</v>
      </c>
      <c r="K1941" s="10">
        <f t="shared" si="91"/>
        <v>0.72857142857142854</v>
      </c>
      <c r="L1941" s="17">
        <f t="shared" si="92"/>
        <v>0</v>
      </c>
      <c r="M1941" t="str">
        <f>VLOOKUP(D1941,'Jer-Tip-Emp'!B:E,4,0)</f>
        <v>Bebidas</v>
      </c>
      <c r="N1941" t="str">
        <f>VLOOKUP(D1941,'Jer-Tip-Emp'!B:F,5,0)</f>
        <v>Bebidas</v>
      </c>
      <c r="O1941" t="str">
        <f>VLOOKUP(D1941,'Jer-Tip-Emp'!B:G,6,0)</f>
        <v>Bebidas</v>
      </c>
    </row>
    <row r="1942" spans="1:15" ht="27.5" customHeight="1" x14ac:dyDescent="0.2">
      <c r="A1942">
        <v>2025</v>
      </c>
      <c r="B1942" t="s">
        <v>618</v>
      </c>
      <c r="C1942" t="s">
        <v>595</v>
      </c>
      <c r="D1942" s="19" t="s">
        <v>208</v>
      </c>
      <c r="E1942" s="18" t="s">
        <v>30</v>
      </c>
      <c r="F1942" s="18">
        <v>1</v>
      </c>
      <c r="G1942" s="20">
        <v>7900</v>
      </c>
      <c r="H1942" s="18">
        <v>0</v>
      </c>
      <c r="I1942" s="20">
        <v>2917</v>
      </c>
      <c r="J1942" s="8">
        <f t="shared" si="90"/>
        <v>4983</v>
      </c>
      <c r="K1942" s="10">
        <f t="shared" si="91"/>
        <v>0.63075949367088613</v>
      </c>
      <c r="L1942" s="17">
        <f t="shared" si="92"/>
        <v>0</v>
      </c>
      <c r="M1942" t="str">
        <f>VLOOKUP(D1942,'Jer-Tip-Emp'!B:E,4,0)</f>
        <v>Armalo en combo</v>
      </c>
      <c r="N1942" t="str">
        <f>VLOOKUP(D1942,'Jer-Tip-Emp'!B:F,5,0)</f>
        <v>Personal</v>
      </c>
      <c r="O1942" t="str">
        <f>VLOOKUP(D1942,'Jer-Tip-Emp'!B:G,6,0)</f>
        <v>Combo</v>
      </c>
    </row>
    <row r="1943" spans="1:15" ht="27.5" hidden="1" customHeight="1" x14ac:dyDescent="0.2">
      <c r="A1943">
        <v>2025</v>
      </c>
      <c r="B1943" t="s">
        <v>618</v>
      </c>
      <c r="C1943" t="s">
        <v>595</v>
      </c>
      <c r="D1943" s="19" t="s">
        <v>409</v>
      </c>
      <c r="E1943" s="18" t="s">
        <v>64</v>
      </c>
      <c r="F1943" s="18">
        <v>1</v>
      </c>
      <c r="G1943" s="20">
        <v>8000</v>
      </c>
      <c r="H1943" s="18">
        <v>0</v>
      </c>
      <c r="I1943" s="18">
        <v>0</v>
      </c>
      <c r="J1943" s="8">
        <f t="shared" si="90"/>
        <v>8000</v>
      </c>
      <c r="K1943" s="10">
        <f t="shared" si="91"/>
        <v>1</v>
      </c>
      <c r="L1943" s="17">
        <f t="shared" si="92"/>
        <v>0</v>
      </c>
      <c r="M1943" t="str">
        <f>VLOOKUP(D1943,'Jer-Tip-Emp'!B:E,4,0)</f>
        <v>Bebidas</v>
      </c>
      <c r="N1943" t="str">
        <f>VLOOKUP(D1943,'Jer-Tip-Emp'!B:F,5,0)</f>
        <v>Bebidas</v>
      </c>
      <c r="O1943" t="str">
        <f>VLOOKUP(D1943,'Jer-Tip-Emp'!B:G,6,0)</f>
        <v>Bebidas</v>
      </c>
    </row>
    <row r="1944" spans="1:15" ht="27.5" customHeight="1" x14ac:dyDescent="0.2">
      <c r="A1944">
        <v>2025</v>
      </c>
      <c r="B1944" t="s">
        <v>618</v>
      </c>
      <c r="C1944" t="s">
        <v>595</v>
      </c>
      <c r="D1944" s="19" t="s">
        <v>274</v>
      </c>
      <c r="E1944" s="18" t="s">
        <v>91</v>
      </c>
      <c r="F1944" s="18">
        <v>1</v>
      </c>
      <c r="G1944" s="20">
        <v>51900</v>
      </c>
      <c r="H1944" s="18">
        <v>0</v>
      </c>
      <c r="I1944" s="20">
        <v>28815</v>
      </c>
      <c r="J1944" s="8">
        <f t="shared" si="90"/>
        <v>23085</v>
      </c>
      <c r="K1944" s="10">
        <f t="shared" si="91"/>
        <v>0.44479768786127166</v>
      </c>
      <c r="L1944" s="17">
        <f t="shared" si="92"/>
        <v>0</v>
      </c>
      <c r="M1944" t="str">
        <f>VLOOKUP(D1944,'Jer-Tip-Emp'!B:E,4,0)</f>
        <v>Platos mong</v>
      </c>
      <c r="N1944" t="str">
        <f>VLOOKUP(D1944,'Jer-Tip-Emp'!B:F,5,0)</f>
        <v>No Personal</v>
      </c>
      <c r="O1944" t="str">
        <f>VLOOKUP(D1944,'Jer-Tip-Emp'!B:G,6,0)</f>
        <v>Caja</v>
      </c>
    </row>
    <row r="1945" spans="1:15" ht="27.5" customHeight="1" x14ac:dyDescent="0.2">
      <c r="A1945">
        <v>2025</v>
      </c>
      <c r="B1945" t="s">
        <v>618</v>
      </c>
      <c r="C1945" t="s">
        <v>595</v>
      </c>
      <c r="D1945" s="19" t="s">
        <v>221</v>
      </c>
      <c r="E1945" s="18" t="s">
        <v>27</v>
      </c>
      <c r="F1945" s="18">
        <v>1</v>
      </c>
      <c r="G1945" s="20">
        <v>7900</v>
      </c>
      <c r="H1945" s="18">
        <v>0</v>
      </c>
      <c r="I1945" s="18">
        <v>0</v>
      </c>
      <c r="J1945" s="8">
        <f t="shared" si="90"/>
        <v>7900</v>
      </c>
      <c r="K1945" s="10">
        <f t="shared" si="91"/>
        <v>1</v>
      </c>
      <c r="L1945" s="17">
        <f t="shared" si="92"/>
        <v>0</v>
      </c>
      <c r="M1945" t="str">
        <f>VLOOKUP(D1945,'Jer-Tip-Emp'!B:E,4,0)</f>
        <v>Armalo en combo</v>
      </c>
      <c r="N1945" t="str">
        <f>VLOOKUP(D1945,'Jer-Tip-Emp'!B:F,5,0)</f>
        <v>Personal</v>
      </c>
      <c r="O1945" t="str">
        <f>VLOOKUP(D1945,'Jer-Tip-Emp'!B:G,6,0)</f>
        <v>Combo</v>
      </c>
    </row>
    <row r="1946" spans="1:15" ht="27.5" customHeight="1" x14ac:dyDescent="0.2">
      <c r="A1946">
        <v>2025</v>
      </c>
      <c r="B1946" t="s">
        <v>619</v>
      </c>
      <c r="C1946" t="s">
        <v>609</v>
      </c>
      <c r="D1946" s="19" t="s">
        <v>207</v>
      </c>
      <c r="E1946" s="18" t="s">
        <v>92</v>
      </c>
      <c r="F1946" s="18">
        <v>218</v>
      </c>
      <c r="G1946" s="20">
        <v>5124200</v>
      </c>
      <c r="H1946" s="20">
        <v>-4000</v>
      </c>
      <c r="I1946" s="20">
        <v>2098686</v>
      </c>
      <c r="J1946" s="8">
        <f t="shared" si="90"/>
        <v>3025514</v>
      </c>
      <c r="K1946" s="10">
        <f t="shared" si="91"/>
        <v>0.59043636079778306</v>
      </c>
      <c r="L1946" s="17">
        <f t="shared" si="92"/>
        <v>7.8060965614144644E-4</v>
      </c>
      <c r="M1946" t="str">
        <f>VLOOKUP(D1946,'Jer-Tip-Emp'!B:E,4,0)</f>
        <v>Combos personales</v>
      </c>
      <c r="N1946" t="str">
        <f>VLOOKUP(D1946,'Jer-Tip-Emp'!B:F,5,0)</f>
        <v>Personal</v>
      </c>
      <c r="O1946" t="str">
        <f>VLOOKUP(D1946,'Jer-Tip-Emp'!B:G,6,0)</f>
        <v>Combo</v>
      </c>
    </row>
    <row r="1947" spans="1:15" ht="27.5" customHeight="1" x14ac:dyDescent="0.2">
      <c r="A1947">
        <v>2025</v>
      </c>
      <c r="B1947" t="s">
        <v>619</v>
      </c>
      <c r="C1947" t="s">
        <v>609</v>
      </c>
      <c r="D1947" s="19" t="s">
        <v>273</v>
      </c>
      <c r="E1947" s="18" t="s">
        <v>23</v>
      </c>
      <c r="F1947" s="18">
        <v>163</v>
      </c>
      <c r="G1947" s="20">
        <v>4007049</v>
      </c>
      <c r="H1947" s="20">
        <v>-51651</v>
      </c>
      <c r="I1947" s="18">
        <v>0</v>
      </c>
      <c r="J1947" s="8">
        <f t="shared" si="90"/>
        <v>4007049</v>
      </c>
      <c r="K1947" s="10">
        <f t="shared" si="91"/>
        <v>1</v>
      </c>
      <c r="L1947" s="17">
        <f t="shared" si="92"/>
        <v>1.289003453663781E-2</v>
      </c>
      <c r="M1947" t="str">
        <f>VLOOKUP(D1947,'Jer-Tip-Emp'!B:E,4,0)</f>
        <v>Arma tu plato</v>
      </c>
      <c r="N1947" t="str">
        <f>VLOOKUP(D1947,'Jer-Tip-Emp'!B:F,5,0)</f>
        <v>Personal</v>
      </c>
      <c r="O1947" t="str">
        <f>VLOOKUP(D1947,'Jer-Tip-Emp'!B:G,6,0)</f>
        <v>Caja</v>
      </c>
    </row>
    <row r="1948" spans="1:15" ht="27.5" hidden="1" customHeight="1" x14ac:dyDescent="0.2">
      <c r="A1948">
        <v>2025</v>
      </c>
      <c r="B1948" t="s">
        <v>619</v>
      </c>
      <c r="C1948" t="s">
        <v>609</v>
      </c>
      <c r="D1948" s="19" t="s">
        <v>284</v>
      </c>
      <c r="E1948" s="18" t="s">
        <v>106</v>
      </c>
      <c r="F1948" s="18">
        <v>104</v>
      </c>
      <c r="G1948" s="20">
        <v>923870</v>
      </c>
      <c r="H1948" s="20">
        <v>-1730</v>
      </c>
      <c r="I1948" s="20">
        <v>326456</v>
      </c>
      <c r="J1948" s="8">
        <f t="shared" si="90"/>
        <v>597414</v>
      </c>
      <c r="K1948" s="10">
        <f t="shared" si="91"/>
        <v>0.64664292595278561</v>
      </c>
      <c r="L1948" s="17">
        <f t="shared" si="92"/>
        <v>1.8725578273999588E-3</v>
      </c>
      <c r="M1948" t="str">
        <f>VLOOKUP(D1948,'Jer-Tip-Emp'!B:E,4,0)</f>
        <v>Entradas</v>
      </c>
      <c r="N1948" t="str">
        <f>VLOOKUP(D1948,'Jer-Tip-Emp'!B:F,5,0)</f>
        <v>Otro</v>
      </c>
      <c r="O1948" t="str">
        <f>VLOOKUP(D1948,'Jer-Tip-Emp'!B:G,6,0)</f>
        <v>Otro</v>
      </c>
    </row>
    <row r="1949" spans="1:15" ht="27.5" customHeight="1" x14ac:dyDescent="0.2">
      <c r="A1949">
        <v>2025</v>
      </c>
      <c r="B1949" t="s">
        <v>619</v>
      </c>
      <c r="C1949" t="s">
        <v>609</v>
      </c>
      <c r="D1949" s="19" t="s">
        <v>313</v>
      </c>
      <c r="E1949" s="18" t="s">
        <v>540</v>
      </c>
      <c r="F1949" s="18">
        <v>103</v>
      </c>
      <c r="G1949" s="18">
        <v>0</v>
      </c>
      <c r="H1949" s="18">
        <v>0</v>
      </c>
      <c r="I1949" s="20">
        <v>565573</v>
      </c>
      <c r="J1949" s="8">
        <f t="shared" si="90"/>
        <v>-565573</v>
      </c>
      <c r="K1949" s="10">
        <f t="shared" si="91"/>
        <v>0</v>
      </c>
      <c r="L1949" s="17">
        <f t="shared" si="92"/>
        <v>0</v>
      </c>
      <c r="M1949" t="str">
        <f>VLOOKUP(D1949,'Jer-Tip-Emp'!B:E,4,0)</f>
        <v>Arma tu plato</v>
      </c>
      <c r="N1949" t="str">
        <f>VLOOKUP(D1949,'Jer-Tip-Emp'!B:F,5,0)</f>
        <v>Personal</v>
      </c>
      <c r="O1949" t="str">
        <f>VLOOKUP(D1949,'Jer-Tip-Emp'!B:G,6,0)</f>
        <v>Caja</v>
      </c>
    </row>
    <row r="1950" spans="1:15" ht="27.5" customHeight="1" x14ac:dyDescent="0.2">
      <c r="A1950">
        <v>2025</v>
      </c>
      <c r="B1950" t="s">
        <v>619</v>
      </c>
      <c r="C1950" t="s">
        <v>609</v>
      </c>
      <c r="D1950" s="19" t="s">
        <v>196</v>
      </c>
      <c r="E1950" s="18" t="s">
        <v>159</v>
      </c>
      <c r="F1950" s="18">
        <v>94</v>
      </c>
      <c r="G1950" s="20">
        <v>2362674</v>
      </c>
      <c r="H1950" s="20">
        <v>-7926</v>
      </c>
      <c r="I1950" s="20">
        <v>893094</v>
      </c>
      <c r="J1950" s="8">
        <f t="shared" si="90"/>
        <v>1469580</v>
      </c>
      <c r="K1950" s="10">
        <f t="shared" si="91"/>
        <v>0.62199863375141895</v>
      </c>
      <c r="L1950" s="17">
        <f t="shared" si="92"/>
        <v>3.3546735605504609E-3</v>
      </c>
      <c r="M1950" t="str">
        <f>VLOOKUP(D1950,'Jer-Tip-Emp'!B:E,4,0)</f>
        <v>Combos personales</v>
      </c>
      <c r="N1950" t="str">
        <f>VLOOKUP(D1950,'Jer-Tip-Emp'!B:F,5,0)</f>
        <v>Personal</v>
      </c>
      <c r="O1950" t="str">
        <f>VLOOKUP(D1950,'Jer-Tip-Emp'!B:G,6,0)</f>
        <v>Combo</v>
      </c>
    </row>
    <row r="1951" spans="1:15" ht="27.5" customHeight="1" x14ac:dyDescent="0.2">
      <c r="A1951">
        <v>2025</v>
      </c>
      <c r="B1951" t="s">
        <v>619</v>
      </c>
      <c r="C1951" t="s">
        <v>609</v>
      </c>
      <c r="D1951" s="19" t="s">
        <v>389</v>
      </c>
      <c r="E1951" s="18" t="s">
        <v>541</v>
      </c>
      <c r="F1951" s="18">
        <v>67</v>
      </c>
      <c r="G1951" s="18">
        <v>0</v>
      </c>
      <c r="H1951" s="18">
        <v>0</v>
      </c>
      <c r="I1951" s="20">
        <v>366289</v>
      </c>
      <c r="J1951" s="8">
        <f t="shared" si="90"/>
        <v>-366289</v>
      </c>
      <c r="K1951" s="10">
        <f t="shared" si="91"/>
        <v>0</v>
      </c>
      <c r="L1951" s="17">
        <f t="shared" si="92"/>
        <v>0</v>
      </c>
      <c r="M1951" t="str">
        <f>VLOOKUP(D1951,'Jer-Tip-Emp'!B:E,4,0)</f>
        <v>Arma tu plato</v>
      </c>
      <c r="N1951" t="str">
        <f>VLOOKUP(D1951,'Jer-Tip-Emp'!B:F,5,0)</f>
        <v>Personal</v>
      </c>
      <c r="O1951" t="str">
        <f>VLOOKUP(D1951,'Jer-Tip-Emp'!B:G,6,0)</f>
        <v>Caja</v>
      </c>
    </row>
    <row r="1952" spans="1:15" ht="27.5" customHeight="1" x14ac:dyDescent="0.2">
      <c r="A1952">
        <v>2025</v>
      </c>
      <c r="B1952" t="s">
        <v>619</v>
      </c>
      <c r="C1952" t="s">
        <v>609</v>
      </c>
      <c r="D1952" s="19" t="s">
        <v>186</v>
      </c>
      <c r="E1952" s="18" t="s">
        <v>95</v>
      </c>
      <c r="F1952" s="18">
        <v>67</v>
      </c>
      <c r="G1952" s="20">
        <v>1900300</v>
      </c>
      <c r="H1952" s="18">
        <v>0</v>
      </c>
      <c r="I1952" s="20">
        <v>641190</v>
      </c>
      <c r="J1952" s="8">
        <f t="shared" si="90"/>
        <v>1259110</v>
      </c>
      <c r="K1952" s="10">
        <f t="shared" si="91"/>
        <v>0.66258485502289111</v>
      </c>
      <c r="L1952" s="17">
        <f t="shared" si="92"/>
        <v>0</v>
      </c>
      <c r="M1952" t="str">
        <f>VLOOKUP(D1952,'Jer-Tip-Emp'!B:E,4,0)</f>
        <v>Combos personales</v>
      </c>
      <c r="N1952" t="str">
        <f>VLOOKUP(D1952,'Jer-Tip-Emp'!B:F,5,0)</f>
        <v>Personal</v>
      </c>
      <c r="O1952" t="str">
        <f>VLOOKUP(D1952,'Jer-Tip-Emp'!B:G,6,0)</f>
        <v>Combo</v>
      </c>
    </row>
    <row r="1953" spans="1:15" ht="27.5" customHeight="1" x14ac:dyDescent="0.2">
      <c r="A1953">
        <v>2025</v>
      </c>
      <c r="B1953" t="s">
        <v>619</v>
      </c>
      <c r="C1953" t="s">
        <v>609</v>
      </c>
      <c r="D1953" s="19" t="s">
        <v>212</v>
      </c>
      <c r="E1953" s="18" t="s">
        <v>160</v>
      </c>
      <c r="F1953" s="18">
        <v>66</v>
      </c>
      <c r="G1953" s="20">
        <v>1890400</v>
      </c>
      <c r="H1953" s="20">
        <v>-1000</v>
      </c>
      <c r="I1953" s="20">
        <v>742698</v>
      </c>
      <c r="J1953" s="8">
        <f t="shared" si="90"/>
        <v>1147702</v>
      </c>
      <c r="K1953" s="10">
        <f t="shared" si="91"/>
        <v>0.60712124418112567</v>
      </c>
      <c r="L1953" s="17">
        <f t="shared" si="92"/>
        <v>5.2898857384680491E-4</v>
      </c>
      <c r="M1953" t="str">
        <f>VLOOKUP(D1953,'Jer-Tip-Emp'!B:E,4,0)</f>
        <v>Combos personales</v>
      </c>
      <c r="N1953" t="str">
        <f>VLOOKUP(D1953,'Jer-Tip-Emp'!B:F,5,0)</f>
        <v>Personal</v>
      </c>
      <c r="O1953" t="str">
        <f>VLOOKUP(D1953,'Jer-Tip-Emp'!B:G,6,0)</f>
        <v>Combo</v>
      </c>
    </row>
    <row r="1954" spans="1:15" ht="27.5" customHeight="1" x14ac:dyDescent="0.2">
      <c r="A1954">
        <v>2025</v>
      </c>
      <c r="B1954" t="s">
        <v>619</v>
      </c>
      <c r="C1954" t="s">
        <v>609</v>
      </c>
      <c r="D1954" s="19" t="s">
        <v>333</v>
      </c>
      <c r="E1954" s="18" t="s">
        <v>547</v>
      </c>
      <c r="F1954" s="18">
        <v>63</v>
      </c>
      <c r="G1954" s="18">
        <v>0</v>
      </c>
      <c r="H1954" s="18">
        <v>0</v>
      </c>
      <c r="I1954" s="20">
        <v>209286</v>
      </c>
      <c r="J1954" s="8">
        <f t="shared" si="90"/>
        <v>-209286</v>
      </c>
      <c r="K1954" s="10">
        <f t="shared" si="91"/>
        <v>0</v>
      </c>
      <c r="L1954" s="17">
        <f t="shared" si="92"/>
        <v>0</v>
      </c>
      <c r="M1954" t="str">
        <f>VLOOKUP(D1954,'Jer-Tip-Emp'!B:E,4,0)</f>
        <v>Arma tu plato</v>
      </c>
      <c r="N1954" t="str">
        <f>VLOOKUP(D1954,'Jer-Tip-Emp'!B:F,5,0)</f>
        <v>Personal</v>
      </c>
      <c r="O1954" t="str">
        <f>VLOOKUP(D1954,'Jer-Tip-Emp'!B:G,6,0)</f>
        <v>Caja</v>
      </c>
    </row>
    <row r="1955" spans="1:15" ht="27.5" customHeight="1" x14ac:dyDescent="0.2">
      <c r="A1955">
        <v>2025</v>
      </c>
      <c r="B1955" t="s">
        <v>619</v>
      </c>
      <c r="C1955" t="s">
        <v>609</v>
      </c>
      <c r="D1955" s="19" t="s">
        <v>245</v>
      </c>
      <c r="E1955" s="18" t="s">
        <v>167</v>
      </c>
      <c r="F1955" s="18">
        <v>60</v>
      </c>
      <c r="G1955" s="20">
        <v>1178000</v>
      </c>
      <c r="H1955" s="18">
        <v>0</v>
      </c>
      <c r="I1955" s="18">
        <v>0</v>
      </c>
      <c r="J1955" s="8">
        <f t="shared" si="90"/>
        <v>1178000</v>
      </c>
      <c r="K1955" s="10">
        <f t="shared" si="91"/>
        <v>1</v>
      </c>
      <c r="L1955" s="17">
        <f t="shared" si="92"/>
        <v>0</v>
      </c>
      <c r="M1955" t="str">
        <f>VLOOKUP(D1955,'Jer-Tip-Emp'!B:E,4,0)</f>
        <v>Mong Express</v>
      </c>
      <c r="N1955" t="str">
        <f>VLOOKUP(D1955,'Jer-Tip-Emp'!B:F,5,0)</f>
        <v>Personal</v>
      </c>
      <c r="O1955" t="str">
        <f>VLOOKUP(D1955,'Jer-Tip-Emp'!B:G,6,0)</f>
        <v>Caja</v>
      </c>
    </row>
    <row r="1956" spans="1:15" ht="27.5" customHeight="1" x14ac:dyDescent="0.2">
      <c r="A1956">
        <v>2025</v>
      </c>
      <c r="B1956" t="s">
        <v>619</v>
      </c>
      <c r="C1956" t="s">
        <v>609</v>
      </c>
      <c r="D1956" s="19" t="s">
        <v>393</v>
      </c>
      <c r="E1956" s="18" t="s">
        <v>549</v>
      </c>
      <c r="F1956" s="18">
        <v>55</v>
      </c>
      <c r="G1956" s="20">
        <v>109851</v>
      </c>
      <c r="H1956" s="18">
        <v>-149</v>
      </c>
      <c r="I1956" s="20">
        <v>111925</v>
      </c>
      <c r="J1956" s="8">
        <f t="shared" si="90"/>
        <v>-2074</v>
      </c>
      <c r="K1956" s="10">
        <f t="shared" si="91"/>
        <v>-1.888011943450674E-2</v>
      </c>
      <c r="L1956" s="17">
        <f t="shared" si="92"/>
        <v>1.3563827366159615E-3</v>
      </c>
      <c r="M1956" t="str">
        <f>VLOOKUP(D1956,'Jer-Tip-Emp'!B:E,4,0)</f>
        <v>Arma tu plato</v>
      </c>
      <c r="N1956" t="str">
        <f>VLOOKUP(D1956,'Jer-Tip-Emp'!B:F,5,0)</f>
        <v>Personal</v>
      </c>
      <c r="O1956" t="str">
        <f>VLOOKUP(D1956,'Jer-Tip-Emp'!B:G,6,0)</f>
        <v>Caja</v>
      </c>
    </row>
    <row r="1957" spans="1:15" ht="27.5" customHeight="1" x14ac:dyDescent="0.2">
      <c r="A1957">
        <v>2025</v>
      </c>
      <c r="B1957" t="s">
        <v>619</v>
      </c>
      <c r="C1957" t="s">
        <v>609</v>
      </c>
      <c r="D1957" s="19" t="s">
        <v>322</v>
      </c>
      <c r="E1957" s="18" t="s">
        <v>545</v>
      </c>
      <c r="F1957" s="18">
        <v>54</v>
      </c>
      <c r="G1957" s="20">
        <v>108000</v>
      </c>
      <c r="H1957" s="18">
        <v>0</v>
      </c>
      <c r="I1957" s="20">
        <v>167832</v>
      </c>
      <c r="J1957" s="8">
        <f t="shared" si="90"/>
        <v>-59832</v>
      </c>
      <c r="K1957" s="10">
        <f t="shared" si="91"/>
        <v>-0.55400000000000005</v>
      </c>
      <c r="L1957" s="17">
        <f t="shared" si="92"/>
        <v>0</v>
      </c>
      <c r="M1957" t="str">
        <f>VLOOKUP(D1957,'Jer-Tip-Emp'!B:E,4,0)</f>
        <v>Arma tu plato</v>
      </c>
      <c r="N1957" t="str">
        <f>VLOOKUP(D1957,'Jer-Tip-Emp'!B:F,5,0)</f>
        <v>Personal</v>
      </c>
      <c r="O1957" t="str">
        <f>VLOOKUP(D1957,'Jer-Tip-Emp'!B:G,6,0)</f>
        <v>Caja</v>
      </c>
    </row>
    <row r="1958" spans="1:15" ht="27.5" hidden="1" customHeight="1" x14ac:dyDescent="0.2">
      <c r="A1958">
        <v>2025</v>
      </c>
      <c r="B1958" t="s">
        <v>619</v>
      </c>
      <c r="C1958" t="s">
        <v>609</v>
      </c>
      <c r="D1958" s="19" t="s">
        <v>310</v>
      </c>
      <c r="E1958" s="18" t="s">
        <v>53</v>
      </c>
      <c r="F1958" s="18">
        <v>53</v>
      </c>
      <c r="G1958" s="20">
        <v>301027</v>
      </c>
      <c r="H1958" s="18">
        <v>-873</v>
      </c>
      <c r="I1958" s="20">
        <v>89835</v>
      </c>
      <c r="J1958" s="8">
        <f t="shared" si="90"/>
        <v>211192</v>
      </c>
      <c r="K1958" s="10">
        <f t="shared" si="91"/>
        <v>0.70157161982147775</v>
      </c>
      <c r="L1958" s="17">
        <f t="shared" si="92"/>
        <v>2.9000720865570199E-3</v>
      </c>
      <c r="M1958" t="str">
        <f>VLOOKUP(D1958,'Jer-Tip-Emp'!B:E,4,0)</f>
        <v>Bebidas</v>
      </c>
      <c r="N1958" t="str">
        <f>VLOOKUP(D1958,'Jer-Tip-Emp'!B:F,5,0)</f>
        <v>Bebidas</v>
      </c>
      <c r="O1958" t="str">
        <f>VLOOKUP(D1958,'Jer-Tip-Emp'!B:G,6,0)</f>
        <v>Bebidas</v>
      </c>
    </row>
    <row r="1959" spans="1:15" ht="27.5" customHeight="1" x14ac:dyDescent="0.2">
      <c r="A1959">
        <v>2025</v>
      </c>
      <c r="B1959" t="s">
        <v>619</v>
      </c>
      <c r="C1959" t="s">
        <v>609</v>
      </c>
      <c r="D1959" s="19" t="s">
        <v>294</v>
      </c>
      <c r="E1959" s="18" t="s">
        <v>108</v>
      </c>
      <c r="F1959" s="18">
        <v>52</v>
      </c>
      <c r="G1959" s="20">
        <v>1012800</v>
      </c>
      <c r="H1959" s="18">
        <v>0</v>
      </c>
      <c r="I1959" s="20">
        <v>425516</v>
      </c>
      <c r="J1959" s="8">
        <f t="shared" si="90"/>
        <v>587284</v>
      </c>
      <c r="K1959" s="10">
        <f t="shared" si="91"/>
        <v>0.57986176935229072</v>
      </c>
      <c r="L1959" s="17">
        <f t="shared" si="92"/>
        <v>0</v>
      </c>
      <c r="M1959" t="str">
        <f>VLOOKUP(D1959,'Jer-Tip-Emp'!B:E,4,0)</f>
        <v>Mong Express</v>
      </c>
      <c r="N1959" t="str">
        <f>VLOOKUP(D1959,'Jer-Tip-Emp'!B:F,5,0)</f>
        <v>Personal</v>
      </c>
      <c r="O1959" t="str">
        <f>VLOOKUP(D1959,'Jer-Tip-Emp'!B:G,6,0)</f>
        <v>Caja</v>
      </c>
    </row>
    <row r="1960" spans="1:15" ht="27.5" customHeight="1" x14ac:dyDescent="0.2">
      <c r="A1960">
        <v>2025</v>
      </c>
      <c r="B1960" t="s">
        <v>619</v>
      </c>
      <c r="C1960" t="s">
        <v>609</v>
      </c>
      <c r="D1960" s="19" t="s">
        <v>354</v>
      </c>
      <c r="E1960" s="18" t="s">
        <v>548</v>
      </c>
      <c r="F1960" s="18">
        <v>44</v>
      </c>
      <c r="G1960" s="18">
        <v>0</v>
      </c>
      <c r="H1960" s="18">
        <v>0</v>
      </c>
      <c r="I1960" s="20">
        <v>115896</v>
      </c>
      <c r="J1960" s="8">
        <f t="shared" si="90"/>
        <v>-115896</v>
      </c>
      <c r="K1960" s="10">
        <f t="shared" si="91"/>
        <v>0</v>
      </c>
      <c r="L1960" s="17">
        <f t="shared" si="92"/>
        <v>0</v>
      </c>
      <c r="M1960" t="str">
        <f>VLOOKUP(D1960,'Jer-Tip-Emp'!B:E,4,0)</f>
        <v>Arma tu plato</v>
      </c>
      <c r="N1960" t="str">
        <f>VLOOKUP(D1960,'Jer-Tip-Emp'!B:F,5,0)</f>
        <v>Personal</v>
      </c>
      <c r="O1960" t="str">
        <f>VLOOKUP(D1960,'Jer-Tip-Emp'!B:G,6,0)</f>
        <v>Caja</v>
      </c>
    </row>
    <row r="1961" spans="1:15" ht="27.5" customHeight="1" x14ac:dyDescent="0.2">
      <c r="A1961">
        <v>2025</v>
      </c>
      <c r="B1961" t="s">
        <v>619</v>
      </c>
      <c r="C1961" t="s">
        <v>609</v>
      </c>
      <c r="D1961" s="19" t="s">
        <v>376</v>
      </c>
      <c r="E1961" s="18" t="s">
        <v>543</v>
      </c>
      <c r="F1961" s="18">
        <v>35</v>
      </c>
      <c r="G1961" s="18">
        <v>0</v>
      </c>
      <c r="H1961" s="18">
        <v>0</v>
      </c>
      <c r="I1961" s="20">
        <v>44870</v>
      </c>
      <c r="J1961" s="8">
        <f t="shared" si="90"/>
        <v>-44870</v>
      </c>
      <c r="K1961" s="10">
        <f t="shared" si="91"/>
        <v>0</v>
      </c>
      <c r="L1961" s="17">
        <f t="shared" si="92"/>
        <v>0</v>
      </c>
      <c r="M1961" t="str">
        <f>VLOOKUP(D1961,'Jer-Tip-Emp'!B:E,4,0)</f>
        <v>Arma tu plato</v>
      </c>
      <c r="N1961" t="str">
        <f>VLOOKUP(D1961,'Jer-Tip-Emp'!B:F,5,0)</f>
        <v>Personal</v>
      </c>
      <c r="O1961" t="str">
        <f>VLOOKUP(D1961,'Jer-Tip-Emp'!B:G,6,0)</f>
        <v>Caja</v>
      </c>
    </row>
    <row r="1962" spans="1:15" ht="27.5" hidden="1" customHeight="1" x14ac:dyDescent="0.2">
      <c r="A1962">
        <v>2025</v>
      </c>
      <c r="B1962" t="s">
        <v>619</v>
      </c>
      <c r="C1962" t="s">
        <v>609</v>
      </c>
      <c r="D1962" s="19" t="s">
        <v>327</v>
      </c>
      <c r="E1962" s="18" t="s">
        <v>44</v>
      </c>
      <c r="F1962" s="18">
        <v>33</v>
      </c>
      <c r="G1962" s="20">
        <v>161238</v>
      </c>
      <c r="H1962" s="18">
        <v>-462</v>
      </c>
      <c r="I1962" s="20">
        <v>36135</v>
      </c>
      <c r="J1962" s="8">
        <f t="shared" si="90"/>
        <v>125103</v>
      </c>
      <c r="K1962" s="10">
        <f t="shared" si="91"/>
        <v>0.77589029881293492</v>
      </c>
      <c r="L1962" s="17">
        <f t="shared" si="92"/>
        <v>2.8653295128939827E-3</v>
      </c>
      <c r="M1962" t="str">
        <f>VLOOKUP(D1962,'Jer-Tip-Emp'!B:E,4,0)</f>
        <v>Bebidas</v>
      </c>
      <c r="N1962" t="str">
        <f>VLOOKUP(D1962,'Jer-Tip-Emp'!B:F,5,0)</f>
        <v>Bebidas</v>
      </c>
      <c r="O1962" t="str">
        <f>VLOOKUP(D1962,'Jer-Tip-Emp'!B:G,6,0)</f>
        <v>Bebidas</v>
      </c>
    </row>
    <row r="1963" spans="1:15" ht="27.5" customHeight="1" x14ac:dyDescent="0.2">
      <c r="A1963">
        <v>2025</v>
      </c>
      <c r="B1963" t="s">
        <v>619</v>
      </c>
      <c r="C1963" t="s">
        <v>609</v>
      </c>
      <c r="D1963" s="19" t="s">
        <v>223</v>
      </c>
      <c r="E1963" s="18" t="s">
        <v>116</v>
      </c>
      <c r="F1963" s="18">
        <v>33</v>
      </c>
      <c r="G1963" s="20">
        <v>909122</v>
      </c>
      <c r="H1963" s="20">
        <v>-2578</v>
      </c>
      <c r="I1963" s="20">
        <v>450054</v>
      </c>
      <c r="J1963" s="8">
        <f t="shared" si="90"/>
        <v>459068</v>
      </c>
      <c r="K1963" s="10">
        <f t="shared" si="91"/>
        <v>0.5049575304524585</v>
      </c>
      <c r="L1963" s="17">
        <f t="shared" si="92"/>
        <v>2.8357030189567517E-3</v>
      </c>
      <c r="M1963" t="str">
        <f>VLOOKUP(D1963,'Jer-Tip-Emp'!B:E,4,0)</f>
        <v>Platos especiales</v>
      </c>
      <c r="N1963" t="str">
        <f>VLOOKUP(D1963,'Jer-Tip-Emp'!B:F,5,0)</f>
        <v>Personal</v>
      </c>
      <c r="O1963" t="str">
        <f>VLOOKUP(D1963,'Jer-Tip-Emp'!B:G,6,0)</f>
        <v>Platos especiales</v>
      </c>
    </row>
    <row r="1964" spans="1:15" ht="27.5" hidden="1" customHeight="1" x14ac:dyDescent="0.2">
      <c r="A1964">
        <v>2025</v>
      </c>
      <c r="B1964" t="s">
        <v>619</v>
      </c>
      <c r="C1964" t="s">
        <v>609</v>
      </c>
      <c r="D1964" s="19" t="s">
        <v>500</v>
      </c>
      <c r="E1964" s="18" t="s">
        <v>546</v>
      </c>
      <c r="F1964" s="18">
        <v>31</v>
      </c>
      <c r="G1964" s="18">
        <v>0</v>
      </c>
      <c r="H1964" s="18">
        <v>0</v>
      </c>
      <c r="I1964" s="20">
        <v>26908</v>
      </c>
      <c r="J1964" s="8">
        <f t="shared" si="90"/>
        <v>-26908</v>
      </c>
      <c r="K1964" s="10">
        <f t="shared" si="91"/>
        <v>0</v>
      </c>
      <c r="L1964" s="17">
        <f t="shared" si="92"/>
        <v>0</v>
      </c>
      <c r="M1964" t="str">
        <f>VLOOKUP(D1964,'Jer-Tip-Emp'!B:E,4,0)</f>
        <v>Bebidas</v>
      </c>
      <c r="N1964" t="str">
        <f>VLOOKUP(D1964,'Jer-Tip-Emp'!B:F,5,0)</f>
        <v>Bebidas Cambio de bebida</v>
      </c>
      <c r="O1964" t="str">
        <f>VLOOKUP(D1964,'Jer-Tip-Emp'!B:G,6,0)</f>
        <v>Bebidas</v>
      </c>
    </row>
    <row r="1965" spans="1:15" ht="27.5" customHeight="1" x14ac:dyDescent="0.2">
      <c r="A1965">
        <v>2025</v>
      </c>
      <c r="B1965" t="s">
        <v>619</v>
      </c>
      <c r="C1965" t="s">
        <v>609</v>
      </c>
      <c r="D1965" s="19" t="s">
        <v>470</v>
      </c>
      <c r="E1965" s="18" t="s">
        <v>550</v>
      </c>
      <c r="F1965" s="18">
        <v>29</v>
      </c>
      <c r="G1965" s="18">
        <v>0</v>
      </c>
      <c r="H1965" s="18">
        <v>0</v>
      </c>
      <c r="I1965" s="20">
        <v>89813</v>
      </c>
      <c r="J1965" s="8">
        <f t="shared" si="90"/>
        <v>-89813</v>
      </c>
      <c r="K1965" s="10">
        <f t="shared" si="91"/>
        <v>0</v>
      </c>
      <c r="L1965" s="17">
        <f t="shared" si="92"/>
        <v>0</v>
      </c>
      <c r="M1965" t="str">
        <f>VLOOKUP(D1965,'Jer-Tip-Emp'!B:E,4,0)</f>
        <v>Arma tu plato</v>
      </c>
      <c r="N1965" t="str">
        <f>VLOOKUP(D1965,'Jer-Tip-Emp'!B:F,5,0)</f>
        <v>Personal</v>
      </c>
      <c r="O1965" t="str">
        <f>VLOOKUP(D1965,'Jer-Tip-Emp'!B:G,6,0)</f>
        <v>Caja</v>
      </c>
    </row>
    <row r="1966" spans="1:15" ht="27.5" customHeight="1" x14ac:dyDescent="0.2">
      <c r="A1966">
        <v>2025</v>
      </c>
      <c r="B1966" t="s">
        <v>619</v>
      </c>
      <c r="C1966" t="s">
        <v>609</v>
      </c>
      <c r="D1966" s="19" t="s">
        <v>295</v>
      </c>
      <c r="E1966" s="18" t="s">
        <v>110</v>
      </c>
      <c r="F1966" s="18">
        <v>29</v>
      </c>
      <c r="G1966" s="20">
        <v>550354</v>
      </c>
      <c r="H1966" s="20">
        <v>-2746</v>
      </c>
      <c r="I1966" s="20">
        <v>196272</v>
      </c>
      <c r="J1966" s="8">
        <f t="shared" si="90"/>
        <v>354082</v>
      </c>
      <c r="K1966" s="10">
        <f t="shared" si="91"/>
        <v>0.64337135734454554</v>
      </c>
      <c r="L1966" s="17">
        <f t="shared" si="92"/>
        <v>4.9895158388964193E-3</v>
      </c>
      <c r="M1966" t="str">
        <f>VLOOKUP(D1966,'Jer-Tip-Emp'!B:E,4,0)</f>
        <v>Platos mong</v>
      </c>
      <c r="N1966" t="str">
        <f>VLOOKUP(D1966,'Jer-Tip-Emp'!B:F,5,0)</f>
        <v>Personal</v>
      </c>
      <c r="O1966" t="str">
        <f>VLOOKUP(D1966,'Jer-Tip-Emp'!B:G,6,0)</f>
        <v>Caja</v>
      </c>
    </row>
    <row r="1967" spans="1:15" ht="27.5" hidden="1" customHeight="1" x14ac:dyDescent="0.2">
      <c r="A1967">
        <v>2025</v>
      </c>
      <c r="B1967" t="s">
        <v>619</v>
      </c>
      <c r="C1967" t="s">
        <v>609</v>
      </c>
      <c r="D1967" s="19" t="s">
        <v>336</v>
      </c>
      <c r="E1967" s="18" t="s">
        <v>60</v>
      </c>
      <c r="F1967" s="18">
        <v>28</v>
      </c>
      <c r="G1967" s="20">
        <v>137200</v>
      </c>
      <c r="H1967" s="18">
        <v>0</v>
      </c>
      <c r="I1967" s="20">
        <v>43680</v>
      </c>
      <c r="J1967" s="8">
        <f t="shared" si="90"/>
        <v>93520</v>
      </c>
      <c r="K1967" s="10">
        <f t="shared" si="91"/>
        <v>0.68163265306122445</v>
      </c>
      <c r="L1967" s="17">
        <f t="shared" si="92"/>
        <v>0</v>
      </c>
      <c r="M1967" t="str">
        <f>VLOOKUP(D1967,'Jer-Tip-Emp'!B:E,4,0)</f>
        <v>Bebidas</v>
      </c>
      <c r="N1967" t="str">
        <f>VLOOKUP(D1967,'Jer-Tip-Emp'!B:F,5,0)</f>
        <v>Bebidas</v>
      </c>
      <c r="O1967" t="str">
        <f>VLOOKUP(D1967,'Jer-Tip-Emp'!B:G,6,0)</f>
        <v>Bebidas</v>
      </c>
    </row>
    <row r="1968" spans="1:15" ht="27.5" hidden="1" customHeight="1" x14ac:dyDescent="0.2">
      <c r="A1968">
        <v>2025</v>
      </c>
      <c r="B1968" t="s">
        <v>619</v>
      </c>
      <c r="C1968" t="s">
        <v>609</v>
      </c>
      <c r="D1968" s="19" t="s">
        <v>253</v>
      </c>
      <c r="E1968" s="18" t="s">
        <v>105</v>
      </c>
      <c r="F1968" s="18">
        <v>23</v>
      </c>
      <c r="G1968" s="20">
        <v>109260</v>
      </c>
      <c r="H1968" s="20">
        <v>-5740</v>
      </c>
      <c r="I1968" s="20">
        <v>36087</v>
      </c>
      <c r="J1968" s="8">
        <f t="shared" si="90"/>
        <v>73173</v>
      </c>
      <c r="K1968" s="10">
        <f t="shared" si="91"/>
        <v>0.66971444261394841</v>
      </c>
      <c r="L1968" s="17">
        <f t="shared" si="92"/>
        <v>5.2535237049240346E-2</v>
      </c>
      <c r="M1968" t="str">
        <f>VLOOKUP(D1968,'Jer-Tip-Emp'!B:E,4,0)</f>
        <v>Entradas</v>
      </c>
      <c r="N1968" t="str">
        <f>VLOOKUP(D1968,'Jer-Tip-Emp'!B:F,5,0)</f>
        <v>Otro</v>
      </c>
      <c r="O1968" t="str">
        <f>VLOOKUP(D1968,'Jer-Tip-Emp'!B:G,6,0)</f>
        <v>Otro</v>
      </c>
    </row>
    <row r="1969" spans="1:15" ht="27.5" customHeight="1" x14ac:dyDescent="0.2">
      <c r="A1969">
        <v>2025</v>
      </c>
      <c r="B1969" t="s">
        <v>619</v>
      </c>
      <c r="C1969" t="s">
        <v>609</v>
      </c>
      <c r="D1969" s="19" t="s">
        <v>180</v>
      </c>
      <c r="E1969" s="18" t="s">
        <v>128</v>
      </c>
      <c r="F1969" s="18">
        <v>22</v>
      </c>
      <c r="G1969" s="20">
        <v>452800</v>
      </c>
      <c r="H1969" s="18">
        <v>0</v>
      </c>
      <c r="I1969" s="20">
        <v>150436</v>
      </c>
      <c r="J1969" s="8">
        <f t="shared" si="90"/>
        <v>302364</v>
      </c>
      <c r="K1969" s="10">
        <f t="shared" si="91"/>
        <v>0.66776501766784457</v>
      </c>
      <c r="L1969" s="17">
        <f t="shared" si="92"/>
        <v>0</v>
      </c>
      <c r="M1969" t="str">
        <f>VLOOKUP(D1969,'Jer-Tip-Emp'!B:E,4,0)</f>
        <v>Platos mong</v>
      </c>
      <c r="N1969" t="str">
        <f>VLOOKUP(D1969,'Jer-Tip-Emp'!B:F,5,0)</f>
        <v>Personal</v>
      </c>
      <c r="O1969" t="str">
        <f>VLOOKUP(D1969,'Jer-Tip-Emp'!B:G,6,0)</f>
        <v>Caja</v>
      </c>
    </row>
    <row r="1970" spans="1:15" ht="27.5" hidden="1" customHeight="1" x14ac:dyDescent="0.2">
      <c r="A1970">
        <v>2025</v>
      </c>
      <c r="B1970" t="s">
        <v>619</v>
      </c>
      <c r="C1970" t="s">
        <v>609</v>
      </c>
      <c r="D1970" s="19" t="s">
        <v>351</v>
      </c>
      <c r="E1970" s="18" t="s">
        <v>55</v>
      </c>
      <c r="F1970" s="18">
        <v>21</v>
      </c>
      <c r="G1970" s="20">
        <v>119900</v>
      </c>
      <c r="H1970" s="18">
        <v>-400</v>
      </c>
      <c r="I1970" s="20">
        <v>30408</v>
      </c>
      <c r="J1970" s="8">
        <f t="shared" si="90"/>
        <v>89492</v>
      </c>
      <c r="K1970" s="10">
        <f t="shared" si="91"/>
        <v>0.74638865721434533</v>
      </c>
      <c r="L1970" s="17">
        <f t="shared" si="92"/>
        <v>3.336113427856547E-3</v>
      </c>
      <c r="M1970" t="str">
        <f>VLOOKUP(D1970,'Jer-Tip-Emp'!B:E,4,0)</f>
        <v>Bebidas</v>
      </c>
      <c r="N1970" t="str">
        <f>VLOOKUP(D1970,'Jer-Tip-Emp'!B:F,5,0)</f>
        <v>Bebidas</v>
      </c>
      <c r="O1970" t="str">
        <f>VLOOKUP(D1970,'Jer-Tip-Emp'!B:G,6,0)</f>
        <v>Bebidas</v>
      </c>
    </row>
    <row r="1971" spans="1:15" ht="27.5" customHeight="1" x14ac:dyDescent="0.2">
      <c r="A1971">
        <v>2025</v>
      </c>
      <c r="B1971" t="s">
        <v>619</v>
      </c>
      <c r="C1971" t="s">
        <v>609</v>
      </c>
      <c r="D1971" s="19" t="s">
        <v>448</v>
      </c>
      <c r="E1971" s="18" t="s">
        <v>552</v>
      </c>
      <c r="F1971" s="18">
        <v>21</v>
      </c>
      <c r="G1971" s="18">
        <v>0</v>
      </c>
      <c r="H1971" s="18">
        <v>0</v>
      </c>
      <c r="I1971" s="20">
        <v>110523</v>
      </c>
      <c r="J1971" s="8">
        <f t="shared" si="90"/>
        <v>-110523</v>
      </c>
      <c r="K1971" s="10">
        <f t="shared" si="91"/>
        <v>0</v>
      </c>
      <c r="L1971" s="17">
        <f t="shared" si="92"/>
        <v>0</v>
      </c>
      <c r="M1971" t="str">
        <f>VLOOKUP(D1971,'Jer-Tip-Emp'!B:E,4,0)</f>
        <v>Arma tu plato</v>
      </c>
      <c r="N1971" t="str">
        <f>VLOOKUP(D1971,'Jer-Tip-Emp'!B:F,5,0)</f>
        <v>Personal</v>
      </c>
      <c r="O1971" t="str">
        <f>VLOOKUP(D1971,'Jer-Tip-Emp'!B:G,6,0)</f>
        <v>Caja</v>
      </c>
    </row>
    <row r="1972" spans="1:15" ht="27.5" customHeight="1" x14ac:dyDescent="0.2">
      <c r="A1972">
        <v>2025</v>
      </c>
      <c r="B1972" t="s">
        <v>619</v>
      </c>
      <c r="C1972" t="s">
        <v>609</v>
      </c>
      <c r="D1972" s="19" t="s">
        <v>303</v>
      </c>
      <c r="E1972" s="18" t="s">
        <v>120</v>
      </c>
      <c r="F1972" s="18">
        <v>21</v>
      </c>
      <c r="G1972" s="20">
        <v>480900</v>
      </c>
      <c r="H1972" s="18">
        <v>0</v>
      </c>
      <c r="I1972" s="20">
        <v>157794</v>
      </c>
      <c r="J1972" s="8">
        <f t="shared" si="90"/>
        <v>323106</v>
      </c>
      <c r="K1972" s="10">
        <f t="shared" si="91"/>
        <v>0.67187772925764189</v>
      </c>
      <c r="L1972" s="17">
        <f t="shared" si="92"/>
        <v>0</v>
      </c>
      <c r="M1972" t="str">
        <f>VLOOKUP(D1972,'Jer-Tip-Emp'!B:E,4,0)</f>
        <v>Platos mong</v>
      </c>
      <c r="N1972" t="str">
        <f>VLOOKUP(D1972,'Jer-Tip-Emp'!B:F,5,0)</f>
        <v>Personal</v>
      </c>
      <c r="O1972" t="str">
        <f>VLOOKUP(D1972,'Jer-Tip-Emp'!B:G,6,0)</f>
        <v>Caja</v>
      </c>
    </row>
    <row r="1973" spans="1:15" ht="27.5" customHeight="1" x14ac:dyDescent="0.2">
      <c r="A1973">
        <v>2025</v>
      </c>
      <c r="B1973" t="s">
        <v>619</v>
      </c>
      <c r="C1973" t="s">
        <v>609</v>
      </c>
      <c r="D1973" s="19" t="s">
        <v>285</v>
      </c>
      <c r="E1973" s="18" t="s">
        <v>146</v>
      </c>
      <c r="F1973" s="18">
        <v>21</v>
      </c>
      <c r="G1973" s="20">
        <v>453974</v>
      </c>
      <c r="H1973" s="20">
        <v>-1926</v>
      </c>
      <c r="I1973" s="20">
        <v>177744</v>
      </c>
      <c r="J1973" s="8">
        <f t="shared" si="90"/>
        <v>276230</v>
      </c>
      <c r="K1973" s="10">
        <f t="shared" si="91"/>
        <v>0.60847096970311076</v>
      </c>
      <c r="L1973" s="17">
        <f t="shared" si="92"/>
        <v>4.2425337133844667E-3</v>
      </c>
      <c r="M1973" t="str">
        <f>VLOOKUP(D1973,'Jer-Tip-Emp'!B:E,4,0)</f>
        <v>Platos mong</v>
      </c>
      <c r="N1973" t="str">
        <f>VLOOKUP(D1973,'Jer-Tip-Emp'!B:F,5,0)</f>
        <v>Personal</v>
      </c>
      <c r="O1973" t="str">
        <f>VLOOKUP(D1973,'Jer-Tip-Emp'!B:G,6,0)</f>
        <v>Caja</v>
      </c>
    </row>
    <row r="1974" spans="1:15" ht="27.5" hidden="1" customHeight="1" x14ac:dyDescent="0.2">
      <c r="A1974">
        <v>2025</v>
      </c>
      <c r="B1974" t="s">
        <v>619</v>
      </c>
      <c r="C1974" t="s">
        <v>609</v>
      </c>
      <c r="D1974" s="19" t="s">
        <v>189</v>
      </c>
      <c r="E1974" s="18" t="s">
        <v>21</v>
      </c>
      <c r="F1974" s="18">
        <v>20</v>
      </c>
      <c r="G1974" s="20">
        <v>131100</v>
      </c>
      <c r="H1974" s="20">
        <v>-6900</v>
      </c>
      <c r="I1974" s="20">
        <v>49280</v>
      </c>
      <c r="J1974" s="8">
        <f t="shared" si="90"/>
        <v>81820</v>
      </c>
      <c r="K1974" s="10">
        <f t="shared" si="91"/>
        <v>0.6241037376048818</v>
      </c>
      <c r="L1974" s="17">
        <f t="shared" si="92"/>
        <v>5.2631578947368418E-2</v>
      </c>
      <c r="M1974" t="str">
        <f>VLOOKUP(D1974,'Jer-Tip-Emp'!B:E,4,0)</f>
        <v>Adición</v>
      </c>
      <c r="N1974" t="str">
        <f>VLOOKUP(D1974,'Jer-Tip-Emp'!B:F,5,0)</f>
        <v>Adición</v>
      </c>
      <c r="O1974" t="str">
        <f>VLOOKUP(D1974,'Jer-Tip-Emp'!B:G,6,0)</f>
        <v>Adición</v>
      </c>
    </row>
    <row r="1975" spans="1:15" ht="27.5" hidden="1" customHeight="1" x14ac:dyDescent="0.2">
      <c r="A1975">
        <v>2025</v>
      </c>
      <c r="B1975" t="s">
        <v>619</v>
      </c>
      <c r="C1975" t="s">
        <v>609</v>
      </c>
      <c r="D1975" s="19" t="s">
        <v>309</v>
      </c>
      <c r="E1975" s="18" t="s">
        <v>48</v>
      </c>
      <c r="F1975" s="18">
        <v>20</v>
      </c>
      <c r="G1975" s="20">
        <v>73600</v>
      </c>
      <c r="H1975" s="18">
        <v>0</v>
      </c>
      <c r="I1975" s="20">
        <v>23260</v>
      </c>
      <c r="J1975" s="8">
        <f t="shared" si="90"/>
        <v>50340</v>
      </c>
      <c r="K1975" s="10">
        <f t="shared" si="91"/>
        <v>0.6839673913043478</v>
      </c>
      <c r="L1975" s="17">
        <f t="shared" si="92"/>
        <v>0</v>
      </c>
      <c r="M1975" t="str">
        <f>VLOOKUP(D1975,'Jer-Tip-Emp'!B:E,4,0)</f>
        <v>Bebidas</v>
      </c>
      <c r="N1975" t="str">
        <f>VLOOKUP(D1975,'Jer-Tip-Emp'!B:F,5,0)</f>
        <v>Bebidas</v>
      </c>
      <c r="O1975" t="str">
        <f>VLOOKUP(D1975,'Jer-Tip-Emp'!B:G,6,0)</f>
        <v>Bebidas</v>
      </c>
    </row>
    <row r="1976" spans="1:15" ht="27.5" hidden="1" customHeight="1" x14ac:dyDescent="0.2">
      <c r="A1976">
        <v>2025</v>
      </c>
      <c r="B1976" t="s">
        <v>619</v>
      </c>
      <c r="C1976" t="s">
        <v>609</v>
      </c>
      <c r="D1976" s="19" t="s">
        <v>282</v>
      </c>
      <c r="E1976" s="18" t="s">
        <v>19</v>
      </c>
      <c r="F1976" s="18">
        <v>20</v>
      </c>
      <c r="G1976" s="20">
        <v>118000</v>
      </c>
      <c r="H1976" s="18">
        <v>0</v>
      </c>
      <c r="I1976" s="20">
        <v>81960</v>
      </c>
      <c r="J1976" s="8">
        <f t="shared" si="90"/>
        <v>36040</v>
      </c>
      <c r="K1976" s="10">
        <f t="shared" si="91"/>
        <v>0.30542372881355934</v>
      </c>
      <c r="L1976" s="17">
        <f t="shared" si="92"/>
        <v>0</v>
      </c>
      <c r="M1976" t="str">
        <f>VLOOKUP(D1976,'Jer-Tip-Emp'!B:E,4,0)</f>
        <v>Adición</v>
      </c>
      <c r="N1976" t="str">
        <f>VLOOKUP(D1976,'Jer-Tip-Emp'!B:F,5,0)</f>
        <v>Adición</v>
      </c>
      <c r="O1976" t="str">
        <f>VLOOKUP(D1976,'Jer-Tip-Emp'!B:G,6,0)</f>
        <v>Adición</v>
      </c>
    </row>
    <row r="1977" spans="1:15" ht="27.5" hidden="1" customHeight="1" x14ac:dyDescent="0.2">
      <c r="A1977">
        <v>2025</v>
      </c>
      <c r="B1977" t="s">
        <v>619</v>
      </c>
      <c r="C1977" t="s">
        <v>609</v>
      </c>
      <c r="D1977" s="19" t="s">
        <v>268</v>
      </c>
      <c r="E1977" s="18" t="s">
        <v>17</v>
      </c>
      <c r="F1977" s="18">
        <v>20</v>
      </c>
      <c r="G1977" s="20">
        <v>107158</v>
      </c>
      <c r="H1977" s="20">
        <v>-4542</v>
      </c>
      <c r="I1977" s="20">
        <v>25640</v>
      </c>
      <c r="J1977" s="8">
        <f t="shared" si="90"/>
        <v>81518</v>
      </c>
      <c r="K1977" s="10">
        <f t="shared" si="91"/>
        <v>0.76072715056272044</v>
      </c>
      <c r="L1977" s="17">
        <f t="shared" si="92"/>
        <v>4.2386009443998583E-2</v>
      </c>
      <c r="M1977" t="str">
        <f>VLOOKUP(D1977,'Jer-Tip-Emp'!B:E,4,0)</f>
        <v>Adición</v>
      </c>
      <c r="N1977" t="str">
        <f>VLOOKUP(D1977,'Jer-Tip-Emp'!B:F,5,0)</f>
        <v>Adición</v>
      </c>
      <c r="O1977" t="str">
        <f>VLOOKUP(D1977,'Jer-Tip-Emp'!B:G,6,0)</f>
        <v>Adición</v>
      </c>
    </row>
    <row r="1978" spans="1:15" ht="27.5" customHeight="1" x14ac:dyDescent="0.2">
      <c r="A1978">
        <v>2025</v>
      </c>
      <c r="B1978" t="s">
        <v>619</v>
      </c>
      <c r="C1978" t="s">
        <v>609</v>
      </c>
      <c r="D1978" s="19" t="s">
        <v>219</v>
      </c>
      <c r="E1978" s="18" t="s">
        <v>111</v>
      </c>
      <c r="F1978" s="18">
        <v>19</v>
      </c>
      <c r="G1978" s="20">
        <v>523100</v>
      </c>
      <c r="H1978" s="18">
        <v>0</v>
      </c>
      <c r="I1978" s="20">
        <v>257773</v>
      </c>
      <c r="J1978" s="8">
        <f t="shared" si="90"/>
        <v>265327</v>
      </c>
      <c r="K1978" s="10">
        <f t="shared" si="91"/>
        <v>0.50722041674632001</v>
      </c>
      <c r="L1978" s="17">
        <f t="shared" si="92"/>
        <v>0</v>
      </c>
      <c r="M1978" t="str">
        <f>VLOOKUP(D1978,'Jer-Tip-Emp'!B:E,4,0)</f>
        <v>Platos especiales</v>
      </c>
      <c r="N1978" t="str">
        <f>VLOOKUP(D1978,'Jer-Tip-Emp'!B:F,5,0)</f>
        <v>Personal</v>
      </c>
      <c r="O1978" t="str">
        <f>VLOOKUP(D1978,'Jer-Tip-Emp'!B:G,6,0)</f>
        <v>Platos especiales</v>
      </c>
    </row>
    <row r="1979" spans="1:15" ht="27.5" customHeight="1" x14ac:dyDescent="0.2">
      <c r="A1979">
        <v>2025</v>
      </c>
      <c r="B1979" t="s">
        <v>619</v>
      </c>
      <c r="C1979" t="s">
        <v>609</v>
      </c>
      <c r="D1979" s="19" t="s">
        <v>246</v>
      </c>
      <c r="E1979" s="18" t="s">
        <v>29</v>
      </c>
      <c r="F1979" s="18">
        <v>17</v>
      </c>
      <c r="G1979" s="20">
        <v>132300</v>
      </c>
      <c r="H1979" s="18">
        <v>0</v>
      </c>
      <c r="I1979" s="18">
        <v>0</v>
      </c>
      <c r="J1979" s="8">
        <f t="shared" si="90"/>
        <v>132300</v>
      </c>
      <c r="K1979" s="10">
        <f t="shared" si="91"/>
        <v>1</v>
      </c>
      <c r="L1979" s="17">
        <f t="shared" si="92"/>
        <v>0</v>
      </c>
      <c r="M1979" t="str">
        <f>VLOOKUP(D1979,'Jer-Tip-Emp'!B:E,4,0)</f>
        <v>Armalo en combo</v>
      </c>
      <c r="N1979" t="str">
        <f>VLOOKUP(D1979,'Jer-Tip-Emp'!B:F,5,0)</f>
        <v>Personal</v>
      </c>
      <c r="O1979" t="str">
        <f>VLOOKUP(D1979,'Jer-Tip-Emp'!B:G,6,0)</f>
        <v>Combo</v>
      </c>
    </row>
    <row r="1980" spans="1:15" ht="27.5" customHeight="1" x14ac:dyDescent="0.2">
      <c r="A1980">
        <v>2025</v>
      </c>
      <c r="B1980" t="s">
        <v>619</v>
      </c>
      <c r="C1980" t="s">
        <v>609</v>
      </c>
      <c r="D1980" s="19" t="s">
        <v>474</v>
      </c>
      <c r="E1980" s="18" t="s">
        <v>553</v>
      </c>
      <c r="F1980" s="18">
        <v>16</v>
      </c>
      <c r="G1980" s="18">
        <v>0</v>
      </c>
      <c r="H1980" s="18">
        <v>0</v>
      </c>
      <c r="I1980" s="20">
        <v>45584</v>
      </c>
      <c r="J1980" s="8">
        <f t="shared" si="90"/>
        <v>-45584</v>
      </c>
      <c r="K1980" s="10">
        <f t="shared" si="91"/>
        <v>0</v>
      </c>
      <c r="L1980" s="17">
        <f t="shared" si="92"/>
        <v>0</v>
      </c>
      <c r="M1980" t="str">
        <f>VLOOKUP(D1980,'Jer-Tip-Emp'!B:E,4,0)</f>
        <v>Arma tu plato</v>
      </c>
      <c r="N1980" t="str">
        <f>VLOOKUP(D1980,'Jer-Tip-Emp'!B:F,5,0)</f>
        <v>Personal</v>
      </c>
      <c r="O1980" t="str">
        <f>VLOOKUP(D1980,'Jer-Tip-Emp'!B:G,6,0)</f>
        <v>Caja</v>
      </c>
    </row>
    <row r="1981" spans="1:15" ht="27.5" customHeight="1" x14ac:dyDescent="0.2">
      <c r="A1981">
        <v>2025</v>
      </c>
      <c r="B1981" t="s">
        <v>619</v>
      </c>
      <c r="C1981" t="s">
        <v>609</v>
      </c>
      <c r="D1981" s="19" t="s">
        <v>206</v>
      </c>
      <c r="E1981" s="18" t="s">
        <v>117</v>
      </c>
      <c r="F1981" s="18">
        <v>15</v>
      </c>
      <c r="G1981" s="20">
        <v>228150</v>
      </c>
      <c r="H1981" s="20">
        <v>-25350</v>
      </c>
      <c r="I1981" s="20">
        <v>106875</v>
      </c>
      <c r="J1981" s="8">
        <f t="shared" si="90"/>
        <v>121275</v>
      </c>
      <c r="K1981" s="10">
        <f t="shared" si="91"/>
        <v>0.5315581854043393</v>
      </c>
      <c r="L1981" s="17">
        <f t="shared" si="92"/>
        <v>0.1111111111111111</v>
      </c>
      <c r="M1981" t="str">
        <f>VLOOKUP(D1981,'Jer-Tip-Emp'!B:E,4,0)</f>
        <v>Platos especiales</v>
      </c>
      <c r="N1981" t="str">
        <f>VLOOKUP(D1981,'Jer-Tip-Emp'!B:F,5,0)</f>
        <v>Personal</v>
      </c>
      <c r="O1981" t="str">
        <f>VLOOKUP(D1981,'Jer-Tip-Emp'!B:G,6,0)</f>
        <v>Platos especiales</v>
      </c>
    </row>
    <row r="1982" spans="1:15" ht="27.5" customHeight="1" x14ac:dyDescent="0.2">
      <c r="A1982">
        <v>2025</v>
      </c>
      <c r="B1982" t="s">
        <v>619</v>
      </c>
      <c r="C1982" t="s">
        <v>609</v>
      </c>
      <c r="D1982" s="19" t="s">
        <v>185</v>
      </c>
      <c r="E1982" s="18" t="s">
        <v>98</v>
      </c>
      <c r="F1982" s="18">
        <v>14</v>
      </c>
      <c r="G1982" s="20">
        <v>641600</v>
      </c>
      <c r="H1982" s="18">
        <v>0</v>
      </c>
      <c r="I1982" s="20">
        <v>280742</v>
      </c>
      <c r="J1982" s="8">
        <f t="shared" si="90"/>
        <v>360858</v>
      </c>
      <c r="K1982" s="10">
        <f t="shared" si="91"/>
        <v>0.56243453865336657</v>
      </c>
      <c r="L1982" s="17">
        <f t="shared" si="92"/>
        <v>0</v>
      </c>
      <c r="M1982" t="str">
        <f>VLOOKUP(D1982,'Jer-Tip-Emp'!B:E,4,0)</f>
        <v>Platos mong</v>
      </c>
      <c r="N1982" t="str">
        <f>VLOOKUP(D1982,'Jer-Tip-Emp'!B:F,5,0)</f>
        <v>No Personal</v>
      </c>
      <c r="O1982" t="str">
        <f>VLOOKUP(D1982,'Jer-Tip-Emp'!B:G,6,0)</f>
        <v>Platos Especiales</v>
      </c>
    </row>
    <row r="1983" spans="1:15" ht="27.5" customHeight="1" x14ac:dyDescent="0.2">
      <c r="A1983">
        <v>2025</v>
      </c>
      <c r="B1983" t="s">
        <v>619</v>
      </c>
      <c r="C1983" t="s">
        <v>609</v>
      </c>
      <c r="D1983" s="19" t="s">
        <v>228</v>
      </c>
      <c r="E1983" s="18" t="s">
        <v>96</v>
      </c>
      <c r="F1983" s="18">
        <v>14</v>
      </c>
      <c r="G1983" s="20">
        <v>404600</v>
      </c>
      <c r="H1983" s="18">
        <v>0</v>
      </c>
      <c r="I1983" s="20">
        <v>143458</v>
      </c>
      <c r="J1983" s="8">
        <f t="shared" si="90"/>
        <v>261142</v>
      </c>
      <c r="K1983" s="10">
        <f t="shared" si="91"/>
        <v>0.64543252595155709</v>
      </c>
      <c r="L1983" s="17">
        <f t="shared" si="92"/>
        <v>0</v>
      </c>
      <c r="M1983" t="str">
        <f>VLOOKUP(D1983,'Jer-Tip-Emp'!B:E,4,0)</f>
        <v>Combos personales</v>
      </c>
      <c r="N1983" t="str">
        <f>VLOOKUP(D1983,'Jer-Tip-Emp'!B:F,5,0)</f>
        <v>Personal</v>
      </c>
      <c r="O1983" t="str">
        <f>VLOOKUP(D1983,'Jer-Tip-Emp'!B:G,6,0)</f>
        <v>Combo</v>
      </c>
    </row>
    <row r="1984" spans="1:15" ht="27.5" hidden="1" customHeight="1" x14ac:dyDescent="0.2">
      <c r="A1984">
        <v>2025</v>
      </c>
      <c r="B1984" t="s">
        <v>619</v>
      </c>
      <c r="C1984" t="s">
        <v>609</v>
      </c>
      <c r="D1984" s="19" t="s">
        <v>403</v>
      </c>
      <c r="E1984" s="18" t="s">
        <v>45</v>
      </c>
      <c r="F1984" s="18">
        <v>14</v>
      </c>
      <c r="G1984" s="20">
        <v>138600</v>
      </c>
      <c r="H1984" s="18">
        <v>0</v>
      </c>
      <c r="I1984" s="20">
        <v>63014</v>
      </c>
      <c r="J1984" s="8">
        <f t="shared" si="90"/>
        <v>75586</v>
      </c>
      <c r="K1984" s="10">
        <f t="shared" si="91"/>
        <v>0.54535353535353537</v>
      </c>
      <c r="L1984" s="17">
        <f t="shared" si="92"/>
        <v>0</v>
      </c>
      <c r="M1984" t="str">
        <f>VLOOKUP(D1984,'Jer-Tip-Emp'!B:E,4,0)</f>
        <v>Bebidas</v>
      </c>
      <c r="N1984" t="str">
        <f>VLOOKUP(D1984,'Jer-Tip-Emp'!B:F,5,0)</f>
        <v>Bebidas</v>
      </c>
      <c r="O1984" t="str">
        <f>VLOOKUP(D1984,'Jer-Tip-Emp'!B:G,6,0)</f>
        <v>Bebidas</v>
      </c>
    </row>
    <row r="1985" spans="1:15" ht="27.5" customHeight="1" x14ac:dyDescent="0.2">
      <c r="A1985">
        <v>2025</v>
      </c>
      <c r="B1985" t="s">
        <v>619</v>
      </c>
      <c r="C1985" t="s">
        <v>609</v>
      </c>
      <c r="D1985" s="19" t="s">
        <v>235</v>
      </c>
      <c r="E1985" s="18" t="s">
        <v>143</v>
      </c>
      <c r="F1985" s="18">
        <v>13</v>
      </c>
      <c r="G1985" s="20">
        <v>726700</v>
      </c>
      <c r="H1985" s="18">
        <v>0</v>
      </c>
      <c r="I1985" s="20">
        <v>244634</v>
      </c>
      <c r="J1985" s="8">
        <f t="shared" ref="J1985:J2048" si="93">G1985-I1985</f>
        <v>482066</v>
      </c>
      <c r="K1985" s="10">
        <f t="shared" ref="K1985:K2048" si="94">IFERROR(J1985/G1985,0)</f>
        <v>0.66336314847942757</v>
      </c>
      <c r="L1985" s="17">
        <f t="shared" ref="L1985:L2048" si="95">IFERROR((H1985/G1985)*-1,0)</f>
        <v>0</v>
      </c>
      <c r="M1985" t="str">
        <f>VLOOKUP(D1985,'Jer-Tip-Emp'!B:E,4,0)</f>
        <v>Platos mong</v>
      </c>
      <c r="N1985" t="str">
        <f>VLOOKUP(D1985,'Jer-Tip-Emp'!B:F,5,0)</f>
        <v>No Personal</v>
      </c>
      <c r="O1985" t="str">
        <f>VLOOKUP(D1985,'Jer-Tip-Emp'!B:G,6,0)</f>
        <v>Caja</v>
      </c>
    </row>
    <row r="1986" spans="1:15" ht="27.5" hidden="1" customHeight="1" x14ac:dyDescent="0.2">
      <c r="A1986">
        <v>2025</v>
      </c>
      <c r="B1986" t="s">
        <v>619</v>
      </c>
      <c r="C1986" t="s">
        <v>609</v>
      </c>
      <c r="D1986" s="19" t="s">
        <v>364</v>
      </c>
      <c r="E1986" s="18" t="s">
        <v>51</v>
      </c>
      <c r="F1986" s="18">
        <v>13</v>
      </c>
      <c r="G1986" s="20">
        <v>47870</v>
      </c>
      <c r="H1986" s="18">
        <v>-30</v>
      </c>
      <c r="I1986" s="20">
        <v>16783</v>
      </c>
      <c r="J1986" s="8">
        <f t="shared" si="93"/>
        <v>31087</v>
      </c>
      <c r="K1986" s="10">
        <f t="shared" si="94"/>
        <v>0.64940463756005851</v>
      </c>
      <c r="L1986" s="17">
        <f t="shared" si="95"/>
        <v>6.2669730520158759E-4</v>
      </c>
      <c r="M1986" t="str">
        <f>VLOOKUP(D1986,'Jer-Tip-Emp'!B:E,4,0)</f>
        <v>Bebidas</v>
      </c>
      <c r="N1986" t="str">
        <f>VLOOKUP(D1986,'Jer-Tip-Emp'!B:F,5,0)</f>
        <v>Bebidas</v>
      </c>
      <c r="O1986" t="str">
        <f>VLOOKUP(D1986,'Jer-Tip-Emp'!B:G,6,0)</f>
        <v>Bebidas</v>
      </c>
    </row>
    <row r="1987" spans="1:15" ht="27.5" hidden="1" customHeight="1" x14ac:dyDescent="0.2">
      <c r="A1987">
        <v>2025</v>
      </c>
      <c r="B1987" t="s">
        <v>619</v>
      </c>
      <c r="C1987" t="s">
        <v>609</v>
      </c>
      <c r="D1987" s="19" t="s">
        <v>382</v>
      </c>
      <c r="E1987" s="18" t="s">
        <v>42</v>
      </c>
      <c r="F1987" s="18">
        <v>12</v>
      </c>
      <c r="G1987" s="20">
        <v>58800</v>
      </c>
      <c r="H1987" s="18">
        <v>0</v>
      </c>
      <c r="I1987" s="20">
        <v>16476</v>
      </c>
      <c r="J1987" s="8">
        <f t="shared" si="93"/>
        <v>42324</v>
      </c>
      <c r="K1987" s="10">
        <f t="shared" si="94"/>
        <v>0.71979591836734691</v>
      </c>
      <c r="L1987" s="17">
        <f t="shared" si="95"/>
        <v>0</v>
      </c>
      <c r="M1987" t="str">
        <f>VLOOKUP(D1987,'Jer-Tip-Emp'!B:E,4,0)</f>
        <v>Bebidas</v>
      </c>
      <c r="N1987" t="str">
        <f>VLOOKUP(D1987,'Jer-Tip-Emp'!B:F,5,0)</f>
        <v>Bebidas</v>
      </c>
      <c r="O1987" t="str">
        <f>VLOOKUP(D1987,'Jer-Tip-Emp'!B:G,6,0)</f>
        <v>Bebidas</v>
      </c>
    </row>
    <row r="1988" spans="1:15" ht="27.5" hidden="1" customHeight="1" x14ac:dyDescent="0.2">
      <c r="A1988">
        <v>2025</v>
      </c>
      <c r="B1988" t="s">
        <v>619</v>
      </c>
      <c r="C1988" t="s">
        <v>609</v>
      </c>
      <c r="D1988" s="19" t="s">
        <v>326</v>
      </c>
      <c r="E1988" s="18" t="s">
        <v>69</v>
      </c>
      <c r="F1988" s="18">
        <v>12</v>
      </c>
      <c r="G1988" s="20">
        <v>58378</v>
      </c>
      <c r="H1988" s="18">
        <v>-422</v>
      </c>
      <c r="I1988" s="20">
        <v>15960</v>
      </c>
      <c r="J1988" s="8">
        <f t="shared" si="93"/>
        <v>42418</v>
      </c>
      <c r="K1988" s="10">
        <f t="shared" si="94"/>
        <v>0.72660933913460546</v>
      </c>
      <c r="L1988" s="17">
        <f t="shared" si="95"/>
        <v>7.2287505567165712E-3</v>
      </c>
      <c r="M1988" t="str">
        <f>VLOOKUP(D1988,'Jer-Tip-Emp'!B:E,4,0)</f>
        <v>Bebidas</v>
      </c>
      <c r="N1988" t="str">
        <f>VLOOKUP(D1988,'Jer-Tip-Emp'!B:F,5,0)</f>
        <v>Bebidas</v>
      </c>
      <c r="O1988" t="str">
        <f>VLOOKUP(D1988,'Jer-Tip-Emp'!B:G,6,0)</f>
        <v>Bebidas</v>
      </c>
    </row>
    <row r="1989" spans="1:15" ht="27.5" customHeight="1" x14ac:dyDescent="0.2">
      <c r="A1989">
        <v>2025</v>
      </c>
      <c r="B1989" t="s">
        <v>619</v>
      </c>
      <c r="C1989" t="s">
        <v>609</v>
      </c>
      <c r="D1989" s="19" t="s">
        <v>205</v>
      </c>
      <c r="E1989" s="18" t="s">
        <v>141</v>
      </c>
      <c r="F1989" s="18">
        <v>12</v>
      </c>
      <c r="G1989" s="20">
        <v>183346</v>
      </c>
      <c r="H1989" s="20">
        <v>-1454</v>
      </c>
      <c r="I1989" s="20">
        <v>72768</v>
      </c>
      <c r="J1989" s="8">
        <f t="shared" si="93"/>
        <v>110578</v>
      </c>
      <c r="K1989" s="10">
        <f t="shared" si="94"/>
        <v>0.60311105778146235</v>
      </c>
      <c r="L1989" s="17">
        <f t="shared" si="95"/>
        <v>7.9303611750460874E-3</v>
      </c>
      <c r="M1989" t="str">
        <f>VLOOKUP(D1989,'Jer-Tip-Emp'!B:E,4,0)</f>
        <v>Platos mong</v>
      </c>
      <c r="N1989" t="str">
        <f>VLOOKUP(D1989,'Jer-Tip-Emp'!B:F,5,0)</f>
        <v>Personal</v>
      </c>
      <c r="O1989" t="str">
        <f>VLOOKUP(D1989,'Jer-Tip-Emp'!B:G,6,0)</f>
        <v>Caja</v>
      </c>
    </row>
    <row r="1990" spans="1:15" ht="27.5" hidden="1" customHeight="1" x14ac:dyDescent="0.2">
      <c r="A1990">
        <v>2025</v>
      </c>
      <c r="B1990" t="s">
        <v>619</v>
      </c>
      <c r="C1990" t="s">
        <v>609</v>
      </c>
      <c r="D1990" s="19" t="s">
        <v>176</v>
      </c>
      <c r="E1990" s="18" t="s">
        <v>544</v>
      </c>
      <c r="F1990" s="18">
        <v>11</v>
      </c>
      <c r="G1990" s="20">
        <v>9926</v>
      </c>
      <c r="H1990" s="18">
        <v>-74</v>
      </c>
      <c r="I1990" s="20">
        <v>21395</v>
      </c>
      <c r="J1990" s="8">
        <f t="shared" si="93"/>
        <v>-11469</v>
      </c>
      <c r="K1990" s="10">
        <f t="shared" si="94"/>
        <v>-1.1554503324602055</v>
      </c>
      <c r="L1990" s="17">
        <f t="shared" si="95"/>
        <v>7.4551682450130973E-3</v>
      </c>
      <c r="M1990" t="str">
        <f>VLOOKUP(D1990,'Jer-Tip-Emp'!B:E,4,0)</f>
        <v>Bebidas</v>
      </c>
      <c r="N1990" t="str">
        <f>VLOOKUP(D1990,'Jer-Tip-Emp'!B:F,5,0)</f>
        <v>Bebidas Cambio de bebida</v>
      </c>
      <c r="O1990" t="str">
        <f>VLOOKUP(D1990,'Jer-Tip-Emp'!B:G,6,0)</f>
        <v>Bebidas</v>
      </c>
    </row>
    <row r="1991" spans="1:15" ht="27.5" customHeight="1" x14ac:dyDescent="0.2">
      <c r="A1991">
        <v>2025</v>
      </c>
      <c r="B1991" t="s">
        <v>619</v>
      </c>
      <c r="C1991" t="s">
        <v>609</v>
      </c>
      <c r="D1991" s="19" t="s">
        <v>224</v>
      </c>
      <c r="E1991" s="18" t="s">
        <v>114</v>
      </c>
      <c r="F1991" s="18">
        <v>10</v>
      </c>
      <c r="G1991" s="20">
        <v>249000</v>
      </c>
      <c r="H1991" s="18">
        <v>0</v>
      </c>
      <c r="I1991" s="20">
        <v>127180</v>
      </c>
      <c r="J1991" s="8">
        <f t="shared" si="93"/>
        <v>121820</v>
      </c>
      <c r="K1991" s="10">
        <f t="shared" si="94"/>
        <v>0.48923694779116467</v>
      </c>
      <c r="L1991" s="17">
        <f t="shared" si="95"/>
        <v>0</v>
      </c>
      <c r="M1991" t="str">
        <f>VLOOKUP(D1991,'Jer-Tip-Emp'!B:E,4,0)</f>
        <v>Platos especiales</v>
      </c>
      <c r="N1991" t="str">
        <f>VLOOKUP(D1991,'Jer-Tip-Emp'!B:F,5,0)</f>
        <v>Personal</v>
      </c>
      <c r="O1991" t="str">
        <f>VLOOKUP(D1991,'Jer-Tip-Emp'!B:G,6,0)</f>
        <v>Platos especiales</v>
      </c>
    </row>
    <row r="1992" spans="1:15" ht="27.5" customHeight="1" x14ac:dyDescent="0.2">
      <c r="A1992">
        <v>2025</v>
      </c>
      <c r="B1992" t="s">
        <v>619</v>
      </c>
      <c r="C1992" t="s">
        <v>609</v>
      </c>
      <c r="D1992" s="19" t="s">
        <v>244</v>
      </c>
      <c r="E1992" s="18" t="s">
        <v>113</v>
      </c>
      <c r="F1992" s="18">
        <v>10</v>
      </c>
      <c r="G1992" s="20">
        <v>289000</v>
      </c>
      <c r="H1992" s="18">
        <v>0</v>
      </c>
      <c r="I1992" s="20">
        <v>76050</v>
      </c>
      <c r="J1992" s="8">
        <f t="shared" si="93"/>
        <v>212950</v>
      </c>
      <c r="K1992" s="10">
        <f t="shared" si="94"/>
        <v>0.73685121107266438</v>
      </c>
      <c r="L1992" s="17">
        <f t="shared" si="95"/>
        <v>0</v>
      </c>
      <c r="M1992" t="str">
        <f>VLOOKUP(D1992,'Jer-Tip-Emp'!B:E,4,0)</f>
        <v>Platos especiales</v>
      </c>
      <c r="N1992" t="str">
        <f>VLOOKUP(D1992,'Jer-Tip-Emp'!B:F,5,0)</f>
        <v>Personal</v>
      </c>
      <c r="O1992" t="str">
        <f>VLOOKUP(D1992,'Jer-Tip-Emp'!B:G,6,0)</f>
        <v>Platos especiales</v>
      </c>
    </row>
    <row r="1993" spans="1:15" ht="27.5" hidden="1" customHeight="1" x14ac:dyDescent="0.2">
      <c r="A1993">
        <v>2025</v>
      </c>
      <c r="B1993" t="s">
        <v>619</v>
      </c>
      <c r="C1993" t="s">
        <v>609</v>
      </c>
      <c r="D1993" s="19" t="s">
        <v>450</v>
      </c>
      <c r="E1993" s="18" t="s">
        <v>565</v>
      </c>
      <c r="F1993" s="18">
        <v>10</v>
      </c>
      <c r="G1993" s="20">
        <v>15600</v>
      </c>
      <c r="H1993" s="18">
        <v>0</v>
      </c>
      <c r="I1993" s="20">
        <v>18740</v>
      </c>
      <c r="J1993" s="8">
        <f t="shared" si="93"/>
        <v>-3140</v>
      </c>
      <c r="K1993" s="10">
        <f t="shared" si="94"/>
        <v>-0.20128205128205129</v>
      </c>
      <c r="L1993" s="17">
        <f t="shared" si="95"/>
        <v>0</v>
      </c>
      <c r="M1993" t="str">
        <f>VLOOKUP(D1993,'Jer-Tip-Emp'!B:E,4,0)</f>
        <v>Bebidas</v>
      </c>
      <c r="N1993" t="str">
        <f>VLOOKUP(D1993,'Jer-Tip-Emp'!B:F,5,0)</f>
        <v>Bebidas Cambio de bebida</v>
      </c>
      <c r="O1993" t="str">
        <f>VLOOKUP(D1993,'Jer-Tip-Emp'!B:G,6,0)</f>
        <v>Bebidas</v>
      </c>
    </row>
    <row r="1994" spans="1:15" ht="27.5" customHeight="1" x14ac:dyDescent="0.2">
      <c r="A1994">
        <v>2025</v>
      </c>
      <c r="B1994" t="s">
        <v>619</v>
      </c>
      <c r="C1994" t="s">
        <v>609</v>
      </c>
      <c r="D1994" s="19" t="s">
        <v>266</v>
      </c>
      <c r="E1994" s="18" t="s">
        <v>85</v>
      </c>
      <c r="F1994" s="18">
        <v>10</v>
      </c>
      <c r="G1994" s="20">
        <v>823000</v>
      </c>
      <c r="H1994" s="18">
        <v>0</v>
      </c>
      <c r="I1994" s="20">
        <v>392210</v>
      </c>
      <c r="J1994" s="8">
        <f t="shared" si="93"/>
        <v>430790</v>
      </c>
      <c r="K1994" s="10">
        <f t="shared" si="94"/>
        <v>0.52343863912515187</v>
      </c>
      <c r="L1994" s="17">
        <f t="shared" si="95"/>
        <v>0</v>
      </c>
      <c r="M1994" t="str">
        <f>VLOOKUP(D1994,'Jer-Tip-Emp'!B:E,4,0)</f>
        <v>Combos para compartir</v>
      </c>
      <c r="N1994" t="str">
        <f>VLOOKUP(D1994,'Jer-Tip-Emp'!B:F,5,0)</f>
        <v>No Personal</v>
      </c>
      <c r="O1994" t="str">
        <f>VLOOKUP(D1994,'Jer-Tip-Emp'!B:G,6,0)</f>
        <v>Combo</v>
      </c>
    </row>
    <row r="1995" spans="1:15" ht="27.5" hidden="1" customHeight="1" x14ac:dyDescent="0.2">
      <c r="A1995">
        <v>2025</v>
      </c>
      <c r="B1995" t="s">
        <v>619</v>
      </c>
      <c r="C1995" t="s">
        <v>609</v>
      </c>
      <c r="D1995" s="19" t="s">
        <v>262</v>
      </c>
      <c r="E1995" s="18" t="s">
        <v>102</v>
      </c>
      <c r="F1995" s="18">
        <v>10</v>
      </c>
      <c r="G1995" s="20">
        <v>174000</v>
      </c>
      <c r="H1995" s="18">
        <v>0</v>
      </c>
      <c r="I1995" s="20">
        <v>62150</v>
      </c>
      <c r="J1995" s="8">
        <f t="shared" si="93"/>
        <v>111850</v>
      </c>
      <c r="K1995" s="10">
        <f t="shared" si="94"/>
        <v>0.64281609195402301</v>
      </c>
      <c r="L1995" s="17">
        <f t="shared" si="95"/>
        <v>0</v>
      </c>
      <c r="M1995" t="str">
        <f>VLOOKUP(D1995,'Jer-Tip-Emp'!B:E,4,0)</f>
        <v>Entradas</v>
      </c>
      <c r="N1995" t="str">
        <f>VLOOKUP(D1995,'Jer-Tip-Emp'!B:F,5,0)</f>
        <v>Otro</v>
      </c>
      <c r="O1995" t="str">
        <f>VLOOKUP(D1995,'Jer-Tip-Emp'!B:G,6,0)</f>
        <v>Otro</v>
      </c>
    </row>
    <row r="1996" spans="1:15" ht="27.5" hidden="1" customHeight="1" x14ac:dyDescent="0.2">
      <c r="A1996">
        <v>2025</v>
      </c>
      <c r="B1996" t="s">
        <v>619</v>
      </c>
      <c r="C1996" t="s">
        <v>609</v>
      </c>
      <c r="D1996" s="19" t="s">
        <v>335</v>
      </c>
      <c r="E1996" s="18" t="s">
        <v>40</v>
      </c>
      <c r="F1996" s="18">
        <v>10</v>
      </c>
      <c r="G1996" s="20">
        <v>49000</v>
      </c>
      <c r="H1996" s="18">
        <v>0</v>
      </c>
      <c r="I1996" s="20">
        <v>13730</v>
      </c>
      <c r="J1996" s="8">
        <f t="shared" si="93"/>
        <v>35270</v>
      </c>
      <c r="K1996" s="10">
        <f t="shared" si="94"/>
        <v>0.71979591836734691</v>
      </c>
      <c r="L1996" s="17">
        <f t="shared" si="95"/>
        <v>0</v>
      </c>
      <c r="M1996" t="str">
        <f>VLOOKUP(D1996,'Jer-Tip-Emp'!B:E,4,0)</f>
        <v>Bebidas</v>
      </c>
      <c r="N1996" t="str">
        <f>VLOOKUP(D1996,'Jer-Tip-Emp'!B:F,5,0)</f>
        <v>Bebidas</v>
      </c>
      <c r="O1996" t="str">
        <f>VLOOKUP(D1996,'Jer-Tip-Emp'!B:G,6,0)</f>
        <v>Bebidas</v>
      </c>
    </row>
    <row r="1997" spans="1:15" ht="27.5" hidden="1" customHeight="1" x14ac:dyDescent="0.2">
      <c r="A1997">
        <v>2025</v>
      </c>
      <c r="B1997" t="s">
        <v>619</v>
      </c>
      <c r="C1997" t="s">
        <v>609</v>
      </c>
      <c r="D1997" s="19" t="s">
        <v>337</v>
      </c>
      <c r="E1997" s="18" t="s">
        <v>58</v>
      </c>
      <c r="F1997" s="18">
        <v>9</v>
      </c>
      <c r="G1997" s="20">
        <v>44100</v>
      </c>
      <c r="H1997" s="18">
        <v>0</v>
      </c>
      <c r="I1997" s="20">
        <v>14040</v>
      </c>
      <c r="J1997" s="8">
        <f t="shared" si="93"/>
        <v>30060</v>
      </c>
      <c r="K1997" s="10">
        <f t="shared" si="94"/>
        <v>0.68163265306122445</v>
      </c>
      <c r="L1997" s="17">
        <f t="shared" si="95"/>
        <v>0</v>
      </c>
      <c r="M1997" t="str">
        <f>VLOOKUP(D1997,'Jer-Tip-Emp'!B:E,4,0)</f>
        <v>Bebidas</v>
      </c>
      <c r="N1997" t="str">
        <f>VLOOKUP(D1997,'Jer-Tip-Emp'!B:F,5,0)</f>
        <v>Bebidas</v>
      </c>
      <c r="O1997" t="str">
        <f>VLOOKUP(D1997,'Jer-Tip-Emp'!B:G,6,0)</f>
        <v>Bebidas</v>
      </c>
    </row>
    <row r="1998" spans="1:15" ht="27.5" customHeight="1" x14ac:dyDescent="0.2">
      <c r="A1998">
        <v>2025</v>
      </c>
      <c r="B1998" t="s">
        <v>619</v>
      </c>
      <c r="C1998" t="s">
        <v>609</v>
      </c>
      <c r="D1998" s="19" t="s">
        <v>214</v>
      </c>
      <c r="E1998" s="18" t="s">
        <v>81</v>
      </c>
      <c r="F1998" s="18">
        <v>9</v>
      </c>
      <c r="G1998" s="20">
        <v>539100</v>
      </c>
      <c r="H1998" s="18">
        <v>0</v>
      </c>
      <c r="I1998" s="20">
        <v>212742</v>
      </c>
      <c r="J1998" s="8">
        <f t="shared" si="93"/>
        <v>326358</v>
      </c>
      <c r="K1998" s="10">
        <f t="shared" si="94"/>
        <v>0.60537562604340567</v>
      </c>
      <c r="L1998" s="17">
        <f t="shared" si="95"/>
        <v>0</v>
      </c>
      <c r="M1998" t="str">
        <f>VLOOKUP(D1998,'Jer-Tip-Emp'!B:E,4,0)</f>
        <v>Combos para compartir</v>
      </c>
      <c r="N1998" t="str">
        <f>VLOOKUP(D1998,'Jer-Tip-Emp'!B:F,5,0)</f>
        <v>No Personal</v>
      </c>
      <c r="O1998" t="str">
        <f>VLOOKUP(D1998,'Jer-Tip-Emp'!B:G,6,0)</f>
        <v>Combo</v>
      </c>
    </row>
    <row r="1999" spans="1:15" ht="27.5" hidden="1" customHeight="1" x14ac:dyDescent="0.2">
      <c r="A1999">
        <v>2025</v>
      </c>
      <c r="B1999" t="s">
        <v>619</v>
      </c>
      <c r="C1999" t="s">
        <v>609</v>
      </c>
      <c r="D1999" s="19" t="s">
        <v>330</v>
      </c>
      <c r="E1999" s="18" t="s">
        <v>38</v>
      </c>
      <c r="F1999" s="18">
        <v>9</v>
      </c>
      <c r="G1999" s="20">
        <v>34300</v>
      </c>
      <c r="H1999" s="20">
        <v>-9800</v>
      </c>
      <c r="I1999" s="20">
        <v>11592</v>
      </c>
      <c r="J1999" s="8">
        <f t="shared" si="93"/>
        <v>22708</v>
      </c>
      <c r="K1999" s="10">
        <f t="shared" si="94"/>
        <v>0.66204081632653056</v>
      </c>
      <c r="L1999" s="17">
        <f t="shared" si="95"/>
        <v>0.2857142857142857</v>
      </c>
      <c r="M1999" t="str">
        <f>VLOOKUP(D1999,'Jer-Tip-Emp'!B:E,4,0)</f>
        <v>Bebidas</v>
      </c>
      <c r="N1999" t="str">
        <f>VLOOKUP(D1999,'Jer-Tip-Emp'!B:F,5,0)</f>
        <v>Bebidas</v>
      </c>
      <c r="O1999" t="str">
        <f>VLOOKUP(D1999,'Jer-Tip-Emp'!B:G,6,0)</f>
        <v>Bebidas</v>
      </c>
    </row>
    <row r="2000" spans="1:15" ht="27.5" hidden="1" customHeight="1" x14ac:dyDescent="0.2">
      <c r="A2000">
        <v>2025</v>
      </c>
      <c r="B2000" t="s">
        <v>619</v>
      </c>
      <c r="C2000" t="s">
        <v>609</v>
      </c>
      <c r="D2000" s="19" t="s">
        <v>408</v>
      </c>
      <c r="E2000" s="18" t="s">
        <v>35</v>
      </c>
      <c r="F2000" s="18">
        <v>9</v>
      </c>
      <c r="G2000" s="20">
        <v>24900</v>
      </c>
      <c r="H2000" s="20">
        <v>-6600</v>
      </c>
      <c r="I2000" s="20">
        <v>7812</v>
      </c>
      <c r="J2000" s="8">
        <f t="shared" si="93"/>
        <v>17088</v>
      </c>
      <c r="K2000" s="10">
        <f t="shared" si="94"/>
        <v>0.6862650602409639</v>
      </c>
      <c r="L2000" s="17">
        <f t="shared" si="95"/>
        <v>0.26506024096385544</v>
      </c>
      <c r="M2000" t="str">
        <f>VLOOKUP(D2000,'Jer-Tip-Emp'!B:E,4,0)</f>
        <v>Bebidas</v>
      </c>
      <c r="N2000" t="str">
        <f>VLOOKUP(D2000,'Jer-Tip-Emp'!B:F,5,0)</f>
        <v>Bebidas</v>
      </c>
      <c r="O2000" t="str">
        <f>VLOOKUP(D2000,'Jer-Tip-Emp'!B:G,6,0)</f>
        <v>Bebidas</v>
      </c>
    </row>
    <row r="2001" spans="1:15" ht="27.5" hidden="1" customHeight="1" x14ac:dyDescent="0.2">
      <c r="A2001">
        <v>2025</v>
      </c>
      <c r="B2001" t="s">
        <v>619</v>
      </c>
      <c r="C2001" t="s">
        <v>609</v>
      </c>
      <c r="D2001" s="19" t="s">
        <v>321</v>
      </c>
      <c r="E2001" s="18" t="s">
        <v>72</v>
      </c>
      <c r="F2001" s="18">
        <v>8</v>
      </c>
      <c r="G2001" s="20">
        <v>39200</v>
      </c>
      <c r="H2001" s="18">
        <v>0</v>
      </c>
      <c r="I2001" s="20">
        <v>10640</v>
      </c>
      <c r="J2001" s="8">
        <f t="shared" si="93"/>
        <v>28560</v>
      </c>
      <c r="K2001" s="10">
        <f t="shared" si="94"/>
        <v>0.72857142857142854</v>
      </c>
      <c r="L2001" s="17">
        <f t="shared" si="95"/>
        <v>0</v>
      </c>
      <c r="M2001" t="str">
        <f>VLOOKUP(D2001,'Jer-Tip-Emp'!B:E,4,0)</f>
        <v>Bebidas</v>
      </c>
      <c r="N2001" t="str">
        <f>VLOOKUP(D2001,'Jer-Tip-Emp'!B:F,5,0)</f>
        <v>Bebidas</v>
      </c>
      <c r="O2001" t="str">
        <f>VLOOKUP(D2001,'Jer-Tip-Emp'!B:G,6,0)</f>
        <v>Bebidas</v>
      </c>
    </row>
    <row r="2002" spans="1:15" ht="27.5" customHeight="1" x14ac:dyDescent="0.2">
      <c r="A2002">
        <v>2025</v>
      </c>
      <c r="B2002" t="s">
        <v>619</v>
      </c>
      <c r="C2002" t="s">
        <v>609</v>
      </c>
      <c r="D2002" s="19" t="s">
        <v>197</v>
      </c>
      <c r="E2002" s="18" t="s">
        <v>31</v>
      </c>
      <c r="F2002" s="18">
        <v>8</v>
      </c>
      <c r="G2002" s="20">
        <v>63200</v>
      </c>
      <c r="H2002" s="18">
        <v>0</v>
      </c>
      <c r="I2002" s="20">
        <v>25696</v>
      </c>
      <c r="J2002" s="8">
        <f t="shared" si="93"/>
        <v>37504</v>
      </c>
      <c r="K2002" s="10">
        <f t="shared" si="94"/>
        <v>0.59341772151898731</v>
      </c>
      <c r="L2002" s="17">
        <f t="shared" si="95"/>
        <v>0</v>
      </c>
      <c r="M2002" t="str">
        <f>VLOOKUP(D2002,'Jer-Tip-Emp'!B:E,4,0)</f>
        <v>Armalo en combo</v>
      </c>
      <c r="N2002" t="str">
        <f>VLOOKUP(D2002,'Jer-Tip-Emp'!B:F,5,0)</f>
        <v>Personal</v>
      </c>
      <c r="O2002" t="str">
        <f>VLOOKUP(D2002,'Jer-Tip-Emp'!B:G,6,0)</f>
        <v>Combo</v>
      </c>
    </row>
    <row r="2003" spans="1:15" ht="27.5" customHeight="1" x14ac:dyDescent="0.2">
      <c r="A2003">
        <v>2025</v>
      </c>
      <c r="B2003" t="s">
        <v>619</v>
      </c>
      <c r="C2003" t="s">
        <v>609</v>
      </c>
      <c r="D2003" s="19" t="s">
        <v>297</v>
      </c>
      <c r="E2003" s="18" t="s">
        <v>131</v>
      </c>
      <c r="F2003" s="18">
        <v>8</v>
      </c>
      <c r="G2003" s="20">
        <v>150200</v>
      </c>
      <c r="H2003" s="18">
        <v>0</v>
      </c>
      <c r="I2003" s="20">
        <v>43688</v>
      </c>
      <c r="J2003" s="8">
        <f t="shared" si="93"/>
        <v>106512</v>
      </c>
      <c r="K2003" s="10">
        <f t="shared" si="94"/>
        <v>0.70913448735019968</v>
      </c>
      <c r="L2003" s="17">
        <f t="shared" si="95"/>
        <v>0</v>
      </c>
      <c r="M2003" t="str">
        <f>VLOOKUP(D2003,'Jer-Tip-Emp'!B:E,4,0)</f>
        <v>Platos mong</v>
      </c>
      <c r="N2003" t="str">
        <f>VLOOKUP(D2003,'Jer-Tip-Emp'!B:F,5,0)</f>
        <v>Personal</v>
      </c>
      <c r="O2003" t="str">
        <f>VLOOKUP(D2003,'Jer-Tip-Emp'!B:G,6,0)</f>
        <v>Caja</v>
      </c>
    </row>
    <row r="2004" spans="1:15" ht="27.5" customHeight="1" x14ac:dyDescent="0.2">
      <c r="A2004">
        <v>2025</v>
      </c>
      <c r="B2004" t="s">
        <v>619</v>
      </c>
      <c r="C2004" t="s">
        <v>609</v>
      </c>
      <c r="D2004" s="19" t="s">
        <v>298</v>
      </c>
      <c r="E2004" s="18" t="s">
        <v>153</v>
      </c>
      <c r="F2004" s="18">
        <v>8</v>
      </c>
      <c r="G2004" s="20">
        <v>163031</v>
      </c>
      <c r="H2004" s="18">
        <v>-169</v>
      </c>
      <c r="I2004" s="20">
        <v>68168</v>
      </c>
      <c r="J2004" s="8">
        <f t="shared" si="93"/>
        <v>94863</v>
      </c>
      <c r="K2004" s="10">
        <f t="shared" si="94"/>
        <v>0.5818709325220357</v>
      </c>
      <c r="L2004" s="17">
        <f t="shared" si="95"/>
        <v>1.0366126687562489E-3</v>
      </c>
      <c r="M2004" t="str">
        <f>VLOOKUP(D2004,'Jer-Tip-Emp'!B:E,4,0)</f>
        <v>Platos mong</v>
      </c>
      <c r="N2004" t="str">
        <f>VLOOKUP(D2004,'Jer-Tip-Emp'!B:F,5,0)</f>
        <v>Personal</v>
      </c>
      <c r="O2004" t="str">
        <f>VLOOKUP(D2004,'Jer-Tip-Emp'!B:G,6,0)</f>
        <v>Caja</v>
      </c>
    </row>
    <row r="2005" spans="1:15" ht="27.5" customHeight="1" x14ac:dyDescent="0.2">
      <c r="A2005">
        <v>2025</v>
      </c>
      <c r="B2005" t="s">
        <v>619</v>
      </c>
      <c r="C2005" t="s">
        <v>609</v>
      </c>
      <c r="D2005" s="19" t="s">
        <v>221</v>
      </c>
      <c r="E2005" s="18" t="s">
        <v>27</v>
      </c>
      <c r="F2005" s="18">
        <v>7</v>
      </c>
      <c r="G2005" s="20">
        <v>53300</v>
      </c>
      <c r="H2005" s="18">
        <v>0</v>
      </c>
      <c r="I2005" s="18">
        <v>0</v>
      </c>
      <c r="J2005" s="8">
        <f t="shared" si="93"/>
        <v>53300</v>
      </c>
      <c r="K2005" s="10">
        <f t="shared" si="94"/>
        <v>1</v>
      </c>
      <c r="L2005" s="17">
        <f t="shared" si="95"/>
        <v>0</v>
      </c>
      <c r="M2005" t="str">
        <f>VLOOKUP(D2005,'Jer-Tip-Emp'!B:E,4,0)</f>
        <v>Armalo en combo</v>
      </c>
      <c r="N2005" t="str">
        <f>VLOOKUP(D2005,'Jer-Tip-Emp'!B:F,5,0)</f>
        <v>Personal</v>
      </c>
      <c r="O2005" t="str">
        <f>VLOOKUP(D2005,'Jer-Tip-Emp'!B:G,6,0)</f>
        <v>Combo</v>
      </c>
    </row>
    <row r="2006" spans="1:15" ht="27.5" customHeight="1" x14ac:dyDescent="0.2">
      <c r="A2006">
        <v>2025</v>
      </c>
      <c r="B2006" t="s">
        <v>619</v>
      </c>
      <c r="C2006" t="s">
        <v>609</v>
      </c>
      <c r="D2006" s="19" t="s">
        <v>232</v>
      </c>
      <c r="E2006" s="18" t="s">
        <v>94</v>
      </c>
      <c r="F2006" s="18">
        <v>7</v>
      </c>
      <c r="G2006" s="20">
        <v>155913</v>
      </c>
      <c r="H2006" s="20">
        <v>-3387</v>
      </c>
      <c r="I2006" s="20">
        <v>65828</v>
      </c>
      <c r="J2006" s="8">
        <f t="shared" si="93"/>
        <v>90085</v>
      </c>
      <c r="K2006" s="10">
        <f t="shared" si="94"/>
        <v>0.57779017785559894</v>
      </c>
      <c r="L2006" s="17">
        <f t="shared" si="95"/>
        <v>2.1723653576032786E-2</v>
      </c>
      <c r="M2006" t="str">
        <f>VLOOKUP(D2006,'Jer-Tip-Emp'!B:E,4,0)</f>
        <v>Platos mong</v>
      </c>
      <c r="N2006" t="str">
        <f>VLOOKUP(D2006,'Jer-Tip-Emp'!B:F,5,0)</f>
        <v>Personal</v>
      </c>
      <c r="O2006" t="str">
        <f>VLOOKUP(D2006,'Jer-Tip-Emp'!B:G,6,0)</f>
        <v>Caja</v>
      </c>
    </row>
    <row r="2007" spans="1:15" ht="27.5" hidden="1" customHeight="1" x14ac:dyDescent="0.2">
      <c r="A2007">
        <v>2025</v>
      </c>
      <c r="B2007" t="s">
        <v>619</v>
      </c>
      <c r="C2007" t="s">
        <v>609</v>
      </c>
      <c r="D2007" s="19" t="s">
        <v>369</v>
      </c>
      <c r="E2007" s="18" t="s">
        <v>68</v>
      </c>
      <c r="F2007" s="18">
        <v>6</v>
      </c>
      <c r="G2007" s="20">
        <v>29400</v>
      </c>
      <c r="H2007" s="18">
        <v>0</v>
      </c>
      <c r="I2007" s="20">
        <v>7980</v>
      </c>
      <c r="J2007" s="8">
        <f t="shared" si="93"/>
        <v>21420</v>
      </c>
      <c r="K2007" s="10">
        <f t="shared" si="94"/>
        <v>0.72857142857142854</v>
      </c>
      <c r="L2007" s="17">
        <f t="shared" si="95"/>
        <v>0</v>
      </c>
      <c r="M2007" t="str">
        <f>VLOOKUP(D2007,'Jer-Tip-Emp'!B:E,4,0)</f>
        <v>Bebidas</v>
      </c>
      <c r="N2007" t="str">
        <f>VLOOKUP(D2007,'Jer-Tip-Emp'!B:F,5,0)</f>
        <v>Bebidas</v>
      </c>
      <c r="O2007" t="str">
        <f>VLOOKUP(D2007,'Jer-Tip-Emp'!B:G,6,0)</f>
        <v>Bebidas</v>
      </c>
    </row>
    <row r="2008" spans="1:15" ht="27.5" hidden="1" customHeight="1" x14ac:dyDescent="0.2">
      <c r="A2008">
        <v>2025</v>
      </c>
      <c r="B2008" t="s">
        <v>619</v>
      </c>
      <c r="C2008" t="s">
        <v>609</v>
      </c>
      <c r="D2008" s="19" t="s">
        <v>410</v>
      </c>
      <c r="E2008" s="18" t="s">
        <v>559</v>
      </c>
      <c r="F2008" s="18">
        <v>6</v>
      </c>
      <c r="G2008" s="20">
        <v>13500</v>
      </c>
      <c r="H2008" s="18">
        <v>0</v>
      </c>
      <c r="I2008" s="20">
        <v>13410</v>
      </c>
      <c r="J2008" s="8">
        <f t="shared" si="93"/>
        <v>90</v>
      </c>
      <c r="K2008" s="10">
        <f t="shared" si="94"/>
        <v>6.6666666666666671E-3</v>
      </c>
      <c r="L2008" s="17">
        <f t="shared" si="95"/>
        <v>0</v>
      </c>
      <c r="M2008" t="str">
        <f>VLOOKUP(D2008,'Jer-Tip-Emp'!B:E,4,0)</f>
        <v>Bebidas</v>
      </c>
      <c r="N2008" t="str">
        <f>VLOOKUP(D2008,'Jer-Tip-Emp'!B:F,5,0)</f>
        <v>Bebidas Cambio de bebida</v>
      </c>
      <c r="O2008" t="str">
        <f>VLOOKUP(D2008,'Jer-Tip-Emp'!B:G,6,0)</f>
        <v>Bebidas</v>
      </c>
    </row>
    <row r="2009" spans="1:15" ht="27.5" customHeight="1" x14ac:dyDescent="0.2">
      <c r="A2009">
        <v>2025</v>
      </c>
      <c r="B2009" t="s">
        <v>619</v>
      </c>
      <c r="C2009" t="s">
        <v>609</v>
      </c>
      <c r="D2009" s="19" t="s">
        <v>225</v>
      </c>
      <c r="E2009" s="18" t="s">
        <v>157</v>
      </c>
      <c r="F2009" s="18">
        <v>6</v>
      </c>
      <c r="G2009" s="20">
        <v>107400</v>
      </c>
      <c r="H2009" s="18">
        <v>0</v>
      </c>
      <c r="I2009" s="20">
        <v>42846</v>
      </c>
      <c r="J2009" s="8">
        <f t="shared" si="93"/>
        <v>64554</v>
      </c>
      <c r="K2009" s="10">
        <f t="shared" si="94"/>
        <v>0.60106145251396648</v>
      </c>
      <c r="L2009" s="17">
        <f t="shared" si="95"/>
        <v>0</v>
      </c>
      <c r="M2009" t="str">
        <f>VLOOKUP(D2009,'Jer-Tip-Emp'!B:E,4,0)</f>
        <v>Platos mong</v>
      </c>
      <c r="N2009" t="str">
        <f>VLOOKUP(D2009,'Jer-Tip-Emp'!B:F,5,0)</f>
        <v>Personal</v>
      </c>
      <c r="O2009" t="str">
        <f>VLOOKUP(D2009,'Jer-Tip-Emp'!B:G,6,0)</f>
        <v>Caja</v>
      </c>
    </row>
    <row r="2010" spans="1:15" ht="27.5" hidden="1" customHeight="1" x14ac:dyDescent="0.2">
      <c r="A2010">
        <v>2025</v>
      </c>
      <c r="B2010" t="s">
        <v>619</v>
      </c>
      <c r="C2010" t="s">
        <v>609</v>
      </c>
      <c r="D2010" s="19" t="s">
        <v>350</v>
      </c>
      <c r="E2010" s="18" t="s">
        <v>66</v>
      </c>
      <c r="F2010" s="18">
        <v>6</v>
      </c>
      <c r="G2010" s="20">
        <v>28926</v>
      </c>
      <c r="H2010" s="18">
        <v>-474</v>
      </c>
      <c r="I2010" s="20">
        <v>9360</v>
      </c>
      <c r="J2010" s="8">
        <f t="shared" si="93"/>
        <v>19566</v>
      </c>
      <c r="K2010" s="10">
        <f t="shared" si="94"/>
        <v>0.67641568139390174</v>
      </c>
      <c r="L2010" s="17">
        <f t="shared" si="95"/>
        <v>1.6386641775565234E-2</v>
      </c>
      <c r="M2010" t="str">
        <f>VLOOKUP(D2010,'Jer-Tip-Emp'!B:E,4,0)</f>
        <v>Bebidas</v>
      </c>
      <c r="N2010" t="str">
        <f>VLOOKUP(D2010,'Jer-Tip-Emp'!B:F,5,0)</f>
        <v>Bebidas</v>
      </c>
      <c r="O2010" t="str">
        <f>VLOOKUP(D2010,'Jer-Tip-Emp'!B:G,6,0)</f>
        <v>Bebidas</v>
      </c>
    </row>
    <row r="2011" spans="1:15" ht="27.5" hidden="1" customHeight="1" x14ac:dyDescent="0.2">
      <c r="A2011">
        <v>2025</v>
      </c>
      <c r="B2011" t="s">
        <v>619</v>
      </c>
      <c r="C2011" t="s">
        <v>609</v>
      </c>
      <c r="D2011" s="19" t="s">
        <v>173</v>
      </c>
      <c r="E2011" s="18" t="s">
        <v>542</v>
      </c>
      <c r="F2011" s="18">
        <v>6</v>
      </c>
      <c r="G2011" s="18">
        <v>0</v>
      </c>
      <c r="H2011" s="18">
        <v>0</v>
      </c>
      <c r="I2011" s="18">
        <v>0</v>
      </c>
      <c r="J2011" s="8">
        <f t="shared" si="93"/>
        <v>0</v>
      </c>
      <c r="K2011" s="10">
        <f t="shared" si="94"/>
        <v>0</v>
      </c>
      <c r="L2011" s="17">
        <f t="shared" si="95"/>
        <v>0</v>
      </c>
      <c r="M2011" t="str">
        <f>VLOOKUP(D2011,'Jer-Tip-Emp'!B:E,4,0)</f>
        <v>Bebidas</v>
      </c>
      <c r="N2011" t="str">
        <f>VLOOKUP(D2011,'Jer-Tip-Emp'!B:F,5,0)</f>
        <v>Bebidas Cambio de bebida</v>
      </c>
      <c r="O2011" t="str">
        <f>VLOOKUP(D2011,'Jer-Tip-Emp'!B:G,6,0)</f>
        <v>Bebidas</v>
      </c>
    </row>
    <row r="2012" spans="1:15" ht="27.5" customHeight="1" x14ac:dyDescent="0.2">
      <c r="A2012">
        <v>2025</v>
      </c>
      <c r="B2012" t="s">
        <v>619</v>
      </c>
      <c r="C2012" t="s">
        <v>609</v>
      </c>
      <c r="D2012" s="19" t="s">
        <v>258</v>
      </c>
      <c r="E2012" s="18" t="s">
        <v>168</v>
      </c>
      <c r="F2012" s="18">
        <v>5</v>
      </c>
      <c r="G2012" s="20">
        <v>99500</v>
      </c>
      <c r="H2012" s="18">
        <v>0</v>
      </c>
      <c r="I2012" s="18">
        <v>0</v>
      </c>
      <c r="J2012" s="8">
        <f t="shared" si="93"/>
        <v>99500</v>
      </c>
      <c r="K2012" s="10">
        <f t="shared" si="94"/>
        <v>1</v>
      </c>
      <c r="L2012" s="17">
        <f t="shared" si="95"/>
        <v>0</v>
      </c>
      <c r="M2012" t="str">
        <f>VLOOKUP(D2012,'Jer-Tip-Emp'!B:E,4,0)</f>
        <v>Combos personales</v>
      </c>
      <c r="N2012" t="str">
        <f>VLOOKUP(D2012,'Jer-Tip-Emp'!B:F,5,0)</f>
        <v>Personal</v>
      </c>
      <c r="O2012" t="str">
        <f>VLOOKUP(D2012,'Jer-Tip-Emp'!B:G,6,0)</f>
        <v>Combo</v>
      </c>
    </row>
    <row r="2013" spans="1:15" ht="27.5" hidden="1" customHeight="1" x14ac:dyDescent="0.2">
      <c r="A2013">
        <v>2025</v>
      </c>
      <c r="B2013" t="s">
        <v>619</v>
      </c>
      <c r="C2013" t="s">
        <v>609</v>
      </c>
      <c r="D2013" s="19" t="s">
        <v>490</v>
      </c>
      <c r="E2013" s="18" t="s">
        <v>554</v>
      </c>
      <c r="F2013" s="18">
        <v>5</v>
      </c>
      <c r="G2013" s="18">
        <v>0</v>
      </c>
      <c r="H2013" s="18">
        <v>0</v>
      </c>
      <c r="I2013" s="20">
        <v>10245</v>
      </c>
      <c r="J2013" s="8">
        <f t="shared" si="93"/>
        <v>-10245</v>
      </c>
      <c r="K2013" s="10">
        <f t="shared" si="94"/>
        <v>0</v>
      </c>
      <c r="L2013" s="17">
        <f t="shared" si="95"/>
        <v>0</v>
      </c>
      <c r="M2013" t="str">
        <f>VLOOKUP(D2013,'Jer-Tip-Emp'!B:E,4,0)</f>
        <v>Adición</v>
      </c>
      <c r="N2013" t="str">
        <f>VLOOKUP(D2013,'Jer-Tip-Emp'!B:F,5,0)</f>
        <v>Otro</v>
      </c>
      <c r="O2013" t="str">
        <f>VLOOKUP(D2013,'Jer-Tip-Emp'!B:G,6,0)</f>
        <v>Otro</v>
      </c>
    </row>
    <row r="2014" spans="1:15" ht="27.5" hidden="1" customHeight="1" x14ac:dyDescent="0.2">
      <c r="A2014">
        <v>2025</v>
      </c>
      <c r="B2014" t="s">
        <v>619</v>
      </c>
      <c r="C2014" t="s">
        <v>609</v>
      </c>
      <c r="D2014" s="19" t="s">
        <v>193</v>
      </c>
      <c r="E2014" s="18" t="s">
        <v>18</v>
      </c>
      <c r="F2014" s="18">
        <v>5</v>
      </c>
      <c r="G2014" s="20">
        <v>34500</v>
      </c>
      <c r="H2014" s="18">
        <v>0</v>
      </c>
      <c r="I2014" s="20">
        <v>15540</v>
      </c>
      <c r="J2014" s="8">
        <f t="shared" si="93"/>
        <v>18960</v>
      </c>
      <c r="K2014" s="10">
        <f t="shared" si="94"/>
        <v>0.54956521739130437</v>
      </c>
      <c r="L2014" s="17">
        <f t="shared" si="95"/>
        <v>0</v>
      </c>
      <c r="M2014" t="str">
        <f>VLOOKUP(D2014,'Jer-Tip-Emp'!B:E,4,0)</f>
        <v>Adición</v>
      </c>
      <c r="N2014" t="str">
        <f>VLOOKUP(D2014,'Jer-Tip-Emp'!B:F,5,0)</f>
        <v>Adición</v>
      </c>
      <c r="O2014" t="str">
        <f>VLOOKUP(D2014,'Jer-Tip-Emp'!B:G,6,0)</f>
        <v>Adición</v>
      </c>
    </row>
    <row r="2015" spans="1:15" ht="27.5" customHeight="1" x14ac:dyDescent="0.2">
      <c r="A2015">
        <v>2025</v>
      </c>
      <c r="B2015" t="s">
        <v>619</v>
      </c>
      <c r="C2015" t="s">
        <v>609</v>
      </c>
      <c r="D2015" s="19" t="s">
        <v>278</v>
      </c>
      <c r="E2015" s="18" t="s">
        <v>84</v>
      </c>
      <c r="F2015" s="18">
        <v>5</v>
      </c>
      <c r="G2015" s="20">
        <v>104500</v>
      </c>
      <c r="H2015" s="18">
        <v>0</v>
      </c>
      <c r="I2015" s="20">
        <v>39865</v>
      </c>
      <c r="J2015" s="8">
        <f t="shared" si="93"/>
        <v>64635</v>
      </c>
      <c r="K2015" s="10">
        <f t="shared" si="94"/>
        <v>0.61851674641148324</v>
      </c>
      <c r="L2015" s="17">
        <f t="shared" si="95"/>
        <v>0</v>
      </c>
      <c r="M2015" t="str">
        <f>VLOOKUP(D2015,'Jer-Tip-Emp'!B:E,4,0)</f>
        <v>Combos para compartir</v>
      </c>
      <c r="N2015" t="str">
        <f>VLOOKUP(D2015,'Jer-Tip-Emp'!B:F,5,0)</f>
        <v>No Personal</v>
      </c>
      <c r="O2015" t="str">
        <f>VLOOKUP(D2015,'Jer-Tip-Emp'!B:G,6,0)</f>
        <v>Combo</v>
      </c>
    </row>
    <row r="2016" spans="1:15" ht="27.5" customHeight="1" x14ac:dyDescent="0.2">
      <c r="A2016">
        <v>2025</v>
      </c>
      <c r="B2016" t="s">
        <v>619</v>
      </c>
      <c r="C2016" t="s">
        <v>609</v>
      </c>
      <c r="D2016" s="19" t="s">
        <v>290</v>
      </c>
      <c r="E2016" s="18" t="s">
        <v>86</v>
      </c>
      <c r="F2016" s="18">
        <v>5</v>
      </c>
      <c r="G2016" s="20">
        <v>470500</v>
      </c>
      <c r="H2016" s="18">
        <v>0</v>
      </c>
      <c r="I2016" s="20">
        <v>233900</v>
      </c>
      <c r="J2016" s="8">
        <f t="shared" si="93"/>
        <v>236600</v>
      </c>
      <c r="K2016" s="10">
        <f t="shared" si="94"/>
        <v>0.50286928799149844</v>
      </c>
      <c r="L2016" s="17">
        <f t="shared" si="95"/>
        <v>0</v>
      </c>
      <c r="M2016" t="str">
        <f>VLOOKUP(D2016,'Jer-Tip-Emp'!B:E,4,0)</f>
        <v>Combos para compartir</v>
      </c>
      <c r="N2016" t="str">
        <f>VLOOKUP(D2016,'Jer-Tip-Emp'!B:F,5,0)</f>
        <v>No Personal</v>
      </c>
      <c r="O2016" t="str">
        <f>VLOOKUP(D2016,'Jer-Tip-Emp'!B:G,6,0)</f>
        <v>Combo</v>
      </c>
    </row>
    <row r="2017" spans="1:15" ht="27.5" hidden="1" customHeight="1" x14ac:dyDescent="0.2">
      <c r="A2017">
        <v>2025</v>
      </c>
      <c r="B2017" t="s">
        <v>619</v>
      </c>
      <c r="C2017" t="s">
        <v>609</v>
      </c>
      <c r="D2017" s="19" t="s">
        <v>402</v>
      </c>
      <c r="E2017" s="18" t="s">
        <v>63</v>
      </c>
      <c r="F2017" s="18">
        <v>5</v>
      </c>
      <c r="G2017" s="20">
        <v>24500</v>
      </c>
      <c r="H2017" s="18">
        <v>0</v>
      </c>
      <c r="I2017" s="20">
        <v>7800</v>
      </c>
      <c r="J2017" s="8">
        <f t="shared" si="93"/>
        <v>16700</v>
      </c>
      <c r="K2017" s="10">
        <f t="shared" si="94"/>
        <v>0.68163265306122445</v>
      </c>
      <c r="L2017" s="17">
        <f t="shared" si="95"/>
        <v>0</v>
      </c>
      <c r="M2017" t="str">
        <f>VLOOKUP(D2017,'Jer-Tip-Emp'!B:E,4,0)</f>
        <v>Bebidas</v>
      </c>
      <c r="N2017" t="str">
        <f>VLOOKUP(D2017,'Jer-Tip-Emp'!B:F,5,0)</f>
        <v>Bebidas</v>
      </c>
      <c r="O2017" t="str">
        <f>VLOOKUP(D2017,'Jer-Tip-Emp'!B:G,6,0)</f>
        <v>Bebidas</v>
      </c>
    </row>
    <row r="2018" spans="1:15" ht="27.5" hidden="1" customHeight="1" x14ac:dyDescent="0.2">
      <c r="A2018">
        <v>2025</v>
      </c>
      <c r="B2018" t="s">
        <v>619</v>
      </c>
      <c r="C2018" t="s">
        <v>609</v>
      </c>
      <c r="D2018" s="19" t="s">
        <v>275</v>
      </c>
      <c r="E2018" s="18" t="s">
        <v>16</v>
      </c>
      <c r="F2018" s="18">
        <v>5</v>
      </c>
      <c r="G2018" s="20">
        <v>34441</v>
      </c>
      <c r="H2018" s="18">
        <v>-59</v>
      </c>
      <c r="I2018" s="20">
        <v>11225</v>
      </c>
      <c r="J2018" s="8">
        <f t="shared" si="93"/>
        <v>23216</v>
      </c>
      <c r="K2018" s="10">
        <f t="shared" si="94"/>
        <v>0.67408031125693213</v>
      </c>
      <c r="L2018" s="17">
        <f t="shared" si="95"/>
        <v>1.7130745332597777E-3</v>
      </c>
      <c r="M2018" t="str">
        <f>VLOOKUP(D2018,'Jer-Tip-Emp'!B:E,4,0)</f>
        <v>Adición</v>
      </c>
      <c r="N2018" t="str">
        <f>VLOOKUP(D2018,'Jer-Tip-Emp'!B:F,5,0)</f>
        <v>Adición</v>
      </c>
      <c r="O2018" t="str">
        <f>VLOOKUP(D2018,'Jer-Tip-Emp'!B:G,6,0)</f>
        <v>Adición</v>
      </c>
    </row>
    <row r="2019" spans="1:15" ht="27.5" customHeight="1" x14ac:dyDescent="0.2">
      <c r="A2019">
        <v>2025</v>
      </c>
      <c r="B2019" t="s">
        <v>619</v>
      </c>
      <c r="C2019" t="s">
        <v>609</v>
      </c>
      <c r="D2019" s="19" t="s">
        <v>286</v>
      </c>
      <c r="E2019" s="18" t="s">
        <v>144</v>
      </c>
      <c r="F2019" s="18">
        <v>4</v>
      </c>
      <c r="G2019" s="20">
        <v>230700</v>
      </c>
      <c r="H2019" s="20">
        <v>-76900</v>
      </c>
      <c r="I2019" s="20">
        <v>138620</v>
      </c>
      <c r="J2019" s="8">
        <f t="shared" si="93"/>
        <v>92080</v>
      </c>
      <c r="K2019" s="10">
        <f t="shared" si="94"/>
        <v>0.39913307325530994</v>
      </c>
      <c r="L2019" s="17">
        <f t="shared" si="95"/>
        <v>0.33333333333333331</v>
      </c>
      <c r="M2019" t="str">
        <f>VLOOKUP(D2019,'Jer-Tip-Emp'!B:E,4,0)</f>
        <v>Platos mong</v>
      </c>
      <c r="N2019" t="str">
        <f>VLOOKUP(D2019,'Jer-Tip-Emp'!B:F,5,0)</f>
        <v>No Personal</v>
      </c>
      <c r="O2019" t="str">
        <f>VLOOKUP(D2019,'Jer-Tip-Emp'!B:G,6,0)</f>
        <v>Caja</v>
      </c>
    </row>
    <row r="2020" spans="1:15" ht="27.5" customHeight="1" x14ac:dyDescent="0.2">
      <c r="A2020">
        <v>2025</v>
      </c>
      <c r="B2020" t="s">
        <v>619</v>
      </c>
      <c r="C2020" t="s">
        <v>609</v>
      </c>
      <c r="D2020" s="19" t="s">
        <v>261</v>
      </c>
      <c r="E2020" s="18" t="s">
        <v>135</v>
      </c>
      <c r="F2020" s="18">
        <v>4</v>
      </c>
      <c r="G2020" s="20">
        <v>69600</v>
      </c>
      <c r="H2020" s="18">
        <v>0</v>
      </c>
      <c r="I2020" s="20">
        <v>21864</v>
      </c>
      <c r="J2020" s="8">
        <f t="shared" si="93"/>
        <v>47736</v>
      </c>
      <c r="K2020" s="10">
        <f t="shared" si="94"/>
        <v>0.68586206896551727</v>
      </c>
      <c r="L2020" s="17">
        <f t="shared" si="95"/>
        <v>0</v>
      </c>
      <c r="M2020" t="str">
        <f>VLOOKUP(D2020,'Jer-Tip-Emp'!B:E,4,0)</f>
        <v>Platos mong</v>
      </c>
      <c r="N2020" t="str">
        <f>VLOOKUP(D2020,'Jer-Tip-Emp'!B:F,5,0)</f>
        <v>Personal</v>
      </c>
      <c r="O2020" t="str">
        <f>VLOOKUP(D2020,'Jer-Tip-Emp'!B:G,6,0)</f>
        <v>Caja</v>
      </c>
    </row>
    <row r="2021" spans="1:15" ht="27.5" hidden="1" customHeight="1" x14ac:dyDescent="0.2">
      <c r="A2021">
        <v>2025</v>
      </c>
      <c r="B2021" t="s">
        <v>619</v>
      </c>
      <c r="C2021" t="s">
        <v>609</v>
      </c>
      <c r="D2021" s="19" t="s">
        <v>218</v>
      </c>
      <c r="E2021" s="18" t="s">
        <v>33</v>
      </c>
      <c r="F2021" s="18">
        <v>4</v>
      </c>
      <c r="G2021" s="20">
        <v>31600</v>
      </c>
      <c r="H2021" s="18">
        <v>0</v>
      </c>
      <c r="I2021" s="18">
        <v>0</v>
      </c>
      <c r="J2021" s="8">
        <f t="shared" si="93"/>
        <v>31600</v>
      </c>
      <c r="K2021" s="10">
        <f t="shared" si="94"/>
        <v>1</v>
      </c>
      <c r="L2021" s="17">
        <f t="shared" si="95"/>
        <v>0</v>
      </c>
      <c r="M2021" t="str">
        <f>VLOOKUP(D2021,'Jer-Tip-Emp'!B:E,4,0)</f>
        <v>Adición</v>
      </c>
      <c r="N2021" t="str">
        <f>VLOOKUP(D2021,'Jer-Tip-Emp'!B:F,5,0)</f>
        <v>Adición</v>
      </c>
      <c r="O2021" t="str">
        <f>VLOOKUP(D2021,'Jer-Tip-Emp'!B:G,6,0)</f>
        <v>Adición</v>
      </c>
    </row>
    <row r="2022" spans="1:15" ht="27.5" customHeight="1" x14ac:dyDescent="0.2">
      <c r="A2022">
        <v>2025</v>
      </c>
      <c r="B2022" t="s">
        <v>619</v>
      </c>
      <c r="C2022" t="s">
        <v>609</v>
      </c>
      <c r="D2022" s="19" t="s">
        <v>240</v>
      </c>
      <c r="E2022" s="18" t="s">
        <v>139</v>
      </c>
      <c r="F2022" s="18">
        <v>4</v>
      </c>
      <c r="G2022" s="20">
        <v>223600</v>
      </c>
      <c r="H2022" s="18">
        <v>0</v>
      </c>
      <c r="I2022" s="20">
        <v>97020</v>
      </c>
      <c r="J2022" s="8">
        <f t="shared" si="93"/>
        <v>126580</v>
      </c>
      <c r="K2022" s="10">
        <f t="shared" si="94"/>
        <v>0.5661001788908766</v>
      </c>
      <c r="L2022" s="17">
        <f t="shared" si="95"/>
        <v>0</v>
      </c>
      <c r="M2022" t="str">
        <f>VLOOKUP(D2022,'Jer-Tip-Emp'!B:E,4,0)</f>
        <v>Platos mong</v>
      </c>
      <c r="N2022" t="str">
        <f>VLOOKUP(D2022,'Jer-Tip-Emp'!B:F,5,0)</f>
        <v>No Personal</v>
      </c>
      <c r="O2022" t="str">
        <f>VLOOKUP(D2022,'Jer-Tip-Emp'!B:G,6,0)</f>
        <v>Caja</v>
      </c>
    </row>
    <row r="2023" spans="1:15" ht="27.5" customHeight="1" x14ac:dyDescent="0.2">
      <c r="A2023">
        <v>2025</v>
      </c>
      <c r="B2023" t="s">
        <v>619</v>
      </c>
      <c r="C2023" t="s">
        <v>609</v>
      </c>
      <c r="D2023" s="19" t="s">
        <v>252</v>
      </c>
      <c r="E2023" s="18" t="s">
        <v>100</v>
      </c>
      <c r="F2023" s="18">
        <v>4</v>
      </c>
      <c r="G2023" s="20">
        <v>267600</v>
      </c>
      <c r="H2023" s="18">
        <v>0</v>
      </c>
      <c r="I2023" s="20">
        <v>129404</v>
      </c>
      <c r="J2023" s="8">
        <f t="shared" si="93"/>
        <v>138196</v>
      </c>
      <c r="K2023" s="10">
        <f t="shared" si="94"/>
        <v>0.51642750373692081</v>
      </c>
      <c r="L2023" s="17">
        <f t="shared" si="95"/>
        <v>0</v>
      </c>
      <c r="M2023" t="str">
        <f>VLOOKUP(D2023,'Jer-Tip-Emp'!B:E,4,0)</f>
        <v>Platos mong</v>
      </c>
      <c r="N2023" t="str">
        <f>VLOOKUP(D2023,'Jer-Tip-Emp'!B:F,5,0)</f>
        <v>No Personal</v>
      </c>
      <c r="O2023" t="str">
        <f>VLOOKUP(D2023,'Jer-Tip-Emp'!B:G,6,0)</f>
        <v>Caja</v>
      </c>
    </row>
    <row r="2024" spans="1:15" ht="27.5" customHeight="1" x14ac:dyDescent="0.2">
      <c r="A2024">
        <v>2025</v>
      </c>
      <c r="B2024" t="s">
        <v>619</v>
      </c>
      <c r="C2024" t="s">
        <v>609</v>
      </c>
      <c r="D2024" s="19" t="s">
        <v>200</v>
      </c>
      <c r="E2024" s="18" t="s">
        <v>149</v>
      </c>
      <c r="F2024" s="18">
        <v>3</v>
      </c>
      <c r="G2024" s="20">
        <v>74700</v>
      </c>
      <c r="H2024" s="18">
        <v>0</v>
      </c>
      <c r="I2024" s="20">
        <v>31443</v>
      </c>
      <c r="J2024" s="8">
        <f t="shared" si="93"/>
        <v>43257</v>
      </c>
      <c r="K2024" s="10">
        <f t="shared" si="94"/>
        <v>0.57907630522088349</v>
      </c>
      <c r="L2024" s="17">
        <f t="shared" si="95"/>
        <v>0</v>
      </c>
      <c r="M2024" t="str">
        <f>VLOOKUP(D2024,'Jer-Tip-Emp'!B:E,4,0)</f>
        <v>Platos mong</v>
      </c>
      <c r="N2024" t="str">
        <f>VLOOKUP(D2024,'Jer-Tip-Emp'!B:F,5,0)</f>
        <v>Personal</v>
      </c>
      <c r="O2024" t="str">
        <f>VLOOKUP(D2024,'Jer-Tip-Emp'!B:G,6,0)</f>
        <v>Caja</v>
      </c>
    </row>
    <row r="2025" spans="1:15" ht="27.5" customHeight="1" x14ac:dyDescent="0.2">
      <c r="A2025">
        <v>2025</v>
      </c>
      <c r="B2025" t="s">
        <v>619</v>
      </c>
      <c r="C2025" t="s">
        <v>609</v>
      </c>
      <c r="D2025" s="19" t="s">
        <v>299</v>
      </c>
      <c r="E2025" s="18" t="s">
        <v>129</v>
      </c>
      <c r="F2025" s="18">
        <v>3</v>
      </c>
      <c r="G2025" s="20">
        <v>93800</v>
      </c>
      <c r="H2025" s="20">
        <v>-46900</v>
      </c>
      <c r="I2025" s="20">
        <v>33996</v>
      </c>
      <c r="J2025" s="8">
        <f t="shared" si="93"/>
        <v>59804</v>
      </c>
      <c r="K2025" s="10">
        <f t="shared" si="94"/>
        <v>0.63756929637526649</v>
      </c>
      <c r="L2025" s="17">
        <f t="shared" si="95"/>
        <v>0.5</v>
      </c>
      <c r="M2025" t="str">
        <f>VLOOKUP(D2025,'Jer-Tip-Emp'!B:E,4,0)</f>
        <v>Platos mong</v>
      </c>
      <c r="N2025" t="str">
        <f>VLOOKUP(D2025,'Jer-Tip-Emp'!B:F,5,0)</f>
        <v>No Personal</v>
      </c>
      <c r="O2025" t="str">
        <f>VLOOKUP(D2025,'Jer-Tip-Emp'!B:G,6,0)</f>
        <v>Caja</v>
      </c>
    </row>
    <row r="2026" spans="1:15" ht="27.5" customHeight="1" x14ac:dyDescent="0.2">
      <c r="A2026">
        <v>2025</v>
      </c>
      <c r="B2026" t="s">
        <v>619</v>
      </c>
      <c r="C2026" t="s">
        <v>609</v>
      </c>
      <c r="D2026" s="19" t="s">
        <v>202</v>
      </c>
      <c r="E2026" s="18" t="s">
        <v>142</v>
      </c>
      <c r="F2026" s="18">
        <v>3</v>
      </c>
      <c r="G2026" s="20">
        <v>119700</v>
      </c>
      <c r="H2026" s="18">
        <v>0</v>
      </c>
      <c r="I2026" s="20">
        <v>42693</v>
      </c>
      <c r="J2026" s="8">
        <f t="shared" si="93"/>
        <v>77007</v>
      </c>
      <c r="K2026" s="10">
        <f t="shared" si="94"/>
        <v>0.64333333333333331</v>
      </c>
      <c r="L2026" s="17">
        <f t="shared" si="95"/>
        <v>0</v>
      </c>
      <c r="M2026" t="str">
        <f>VLOOKUP(D2026,'Jer-Tip-Emp'!B:E,4,0)</f>
        <v>Platos mong</v>
      </c>
      <c r="N2026" t="str">
        <f>VLOOKUP(D2026,'Jer-Tip-Emp'!B:F,5,0)</f>
        <v>No Personal</v>
      </c>
      <c r="O2026" t="str">
        <f>VLOOKUP(D2026,'Jer-Tip-Emp'!B:G,6,0)</f>
        <v>Caja</v>
      </c>
    </row>
    <row r="2027" spans="1:15" ht="27.5" hidden="1" customHeight="1" x14ac:dyDescent="0.2">
      <c r="A2027">
        <v>2025</v>
      </c>
      <c r="B2027" t="s">
        <v>619</v>
      </c>
      <c r="C2027" t="s">
        <v>609</v>
      </c>
      <c r="D2027" s="19" t="s">
        <v>183</v>
      </c>
      <c r="E2027" s="18" t="s">
        <v>104</v>
      </c>
      <c r="F2027" s="18">
        <v>3</v>
      </c>
      <c r="G2027" s="20">
        <v>47700</v>
      </c>
      <c r="H2027" s="18">
        <v>0</v>
      </c>
      <c r="I2027" s="20">
        <v>30084</v>
      </c>
      <c r="J2027" s="8">
        <f t="shared" si="93"/>
        <v>17616</v>
      </c>
      <c r="K2027" s="10">
        <f t="shared" si="94"/>
        <v>0.36930817610062894</v>
      </c>
      <c r="L2027" s="17">
        <f t="shared" si="95"/>
        <v>0</v>
      </c>
      <c r="M2027" t="str">
        <f>VLOOKUP(D2027,'Jer-Tip-Emp'!B:E,4,0)</f>
        <v>Entradas</v>
      </c>
      <c r="N2027" t="str">
        <f>VLOOKUP(D2027,'Jer-Tip-Emp'!B:F,5,0)</f>
        <v>Otro</v>
      </c>
      <c r="O2027" t="str">
        <f>VLOOKUP(D2027,'Jer-Tip-Emp'!B:G,6,0)</f>
        <v>Otro</v>
      </c>
    </row>
    <row r="2028" spans="1:15" ht="27.5" hidden="1" customHeight="1" x14ac:dyDescent="0.2">
      <c r="A2028">
        <v>2025</v>
      </c>
      <c r="B2028" t="s">
        <v>619</v>
      </c>
      <c r="C2028" t="s">
        <v>609</v>
      </c>
      <c r="D2028" s="19" t="s">
        <v>397</v>
      </c>
      <c r="E2028" s="18" t="s">
        <v>61</v>
      </c>
      <c r="F2028" s="18">
        <v>3</v>
      </c>
      <c r="G2028" s="20">
        <v>14700</v>
      </c>
      <c r="H2028" s="18">
        <v>0</v>
      </c>
      <c r="I2028" s="20">
        <v>5688</v>
      </c>
      <c r="J2028" s="8">
        <f t="shared" si="93"/>
        <v>9012</v>
      </c>
      <c r="K2028" s="10">
        <f t="shared" si="94"/>
        <v>0.61306122448979594</v>
      </c>
      <c r="L2028" s="17">
        <f t="shared" si="95"/>
        <v>0</v>
      </c>
      <c r="M2028" t="str">
        <f>VLOOKUP(D2028,'Jer-Tip-Emp'!B:E,4,0)</f>
        <v>Bebidas</v>
      </c>
      <c r="N2028" t="str">
        <f>VLOOKUP(D2028,'Jer-Tip-Emp'!B:F,5,0)</f>
        <v>Bebidas</v>
      </c>
      <c r="O2028" t="str">
        <f>VLOOKUP(D2028,'Jer-Tip-Emp'!B:G,6,0)</f>
        <v>Bebidas</v>
      </c>
    </row>
    <row r="2029" spans="1:15" ht="27.5" customHeight="1" x14ac:dyDescent="0.2">
      <c r="A2029">
        <v>2025</v>
      </c>
      <c r="B2029" t="s">
        <v>619</v>
      </c>
      <c r="C2029" t="s">
        <v>609</v>
      </c>
      <c r="D2029" s="19" t="s">
        <v>208</v>
      </c>
      <c r="E2029" s="18" t="s">
        <v>30</v>
      </c>
      <c r="F2029" s="18">
        <v>3</v>
      </c>
      <c r="G2029" s="20">
        <v>21700</v>
      </c>
      <c r="H2029" s="18">
        <v>0</v>
      </c>
      <c r="I2029" s="20">
        <v>8751</v>
      </c>
      <c r="J2029" s="8">
        <f t="shared" si="93"/>
        <v>12949</v>
      </c>
      <c r="K2029" s="10">
        <f t="shared" si="94"/>
        <v>0.59672811059907838</v>
      </c>
      <c r="L2029" s="17">
        <f t="shared" si="95"/>
        <v>0</v>
      </c>
      <c r="M2029" t="str">
        <f>VLOOKUP(D2029,'Jer-Tip-Emp'!B:E,4,0)</f>
        <v>Armalo en combo</v>
      </c>
      <c r="N2029" t="str">
        <f>VLOOKUP(D2029,'Jer-Tip-Emp'!B:F,5,0)</f>
        <v>Personal</v>
      </c>
      <c r="O2029" t="str">
        <f>VLOOKUP(D2029,'Jer-Tip-Emp'!B:G,6,0)</f>
        <v>Combo</v>
      </c>
    </row>
    <row r="2030" spans="1:15" ht="27.5" customHeight="1" x14ac:dyDescent="0.2">
      <c r="A2030">
        <v>2025</v>
      </c>
      <c r="B2030" t="s">
        <v>619</v>
      </c>
      <c r="C2030" t="s">
        <v>609</v>
      </c>
      <c r="D2030" s="19" t="s">
        <v>178</v>
      </c>
      <c r="E2030" s="18" t="s">
        <v>145</v>
      </c>
      <c r="F2030" s="18">
        <v>2</v>
      </c>
      <c r="G2030" s="20">
        <v>227800</v>
      </c>
      <c r="H2030" s="18">
        <v>0</v>
      </c>
      <c r="I2030" s="20">
        <v>97216</v>
      </c>
      <c r="J2030" s="8">
        <f t="shared" si="93"/>
        <v>130584</v>
      </c>
      <c r="K2030" s="10">
        <f t="shared" si="94"/>
        <v>0.57323968393327485</v>
      </c>
      <c r="L2030" s="17">
        <f t="shared" si="95"/>
        <v>0</v>
      </c>
      <c r="M2030" t="str">
        <f>VLOOKUP(D2030,'Jer-Tip-Emp'!B:E,4,0)</f>
        <v>Platos mong</v>
      </c>
      <c r="N2030" t="str">
        <f>VLOOKUP(D2030,'Jer-Tip-Emp'!B:F,5,0)</f>
        <v>No Personal</v>
      </c>
      <c r="O2030" t="str">
        <f>VLOOKUP(D2030,'Jer-Tip-Emp'!B:G,6,0)</f>
        <v>Caja</v>
      </c>
    </row>
    <row r="2031" spans="1:15" ht="27.5" hidden="1" customHeight="1" x14ac:dyDescent="0.2">
      <c r="A2031">
        <v>2025</v>
      </c>
      <c r="B2031" t="s">
        <v>619</v>
      </c>
      <c r="C2031" t="s">
        <v>609</v>
      </c>
      <c r="D2031" s="19" t="s">
        <v>496</v>
      </c>
      <c r="E2031" s="18" t="s">
        <v>581</v>
      </c>
      <c r="F2031" s="18">
        <v>2</v>
      </c>
      <c r="G2031" s="20">
        <v>3200</v>
      </c>
      <c r="H2031" s="18">
        <v>0</v>
      </c>
      <c r="I2031" s="20">
        <v>3792</v>
      </c>
      <c r="J2031" s="8">
        <f t="shared" si="93"/>
        <v>-592</v>
      </c>
      <c r="K2031" s="10">
        <f t="shared" si="94"/>
        <v>-0.185</v>
      </c>
      <c r="L2031" s="17">
        <f t="shared" si="95"/>
        <v>0</v>
      </c>
      <c r="M2031" t="str">
        <f>VLOOKUP(D2031,'Jer-Tip-Emp'!B:E,4,0)</f>
        <v>Bebidas</v>
      </c>
      <c r="N2031" t="str">
        <f>VLOOKUP(D2031,'Jer-Tip-Emp'!B:F,5,0)</f>
        <v>Bebidas Cambio de bebida</v>
      </c>
      <c r="O2031" t="str">
        <f>VLOOKUP(D2031,'Jer-Tip-Emp'!B:G,6,0)</f>
        <v>Bebidas</v>
      </c>
    </row>
    <row r="2032" spans="1:15" ht="27.5" customHeight="1" x14ac:dyDescent="0.2">
      <c r="A2032">
        <v>2025</v>
      </c>
      <c r="B2032" t="s">
        <v>619</v>
      </c>
      <c r="C2032" t="s">
        <v>609</v>
      </c>
      <c r="D2032" s="19" t="s">
        <v>198</v>
      </c>
      <c r="E2032" s="18" t="s">
        <v>124</v>
      </c>
      <c r="F2032" s="18">
        <v>2</v>
      </c>
      <c r="G2032" s="20">
        <v>47800</v>
      </c>
      <c r="H2032" s="18">
        <v>0</v>
      </c>
      <c r="I2032" s="20">
        <v>17514</v>
      </c>
      <c r="J2032" s="8">
        <f t="shared" si="93"/>
        <v>30286</v>
      </c>
      <c r="K2032" s="10">
        <f t="shared" si="94"/>
        <v>0.6335983263598326</v>
      </c>
      <c r="L2032" s="17">
        <f t="shared" si="95"/>
        <v>0</v>
      </c>
      <c r="M2032" t="str">
        <f>VLOOKUP(D2032,'Jer-Tip-Emp'!B:E,4,0)</f>
        <v>Platos mong</v>
      </c>
      <c r="N2032" t="str">
        <f>VLOOKUP(D2032,'Jer-Tip-Emp'!B:F,5,0)</f>
        <v>Personal</v>
      </c>
      <c r="O2032" t="str">
        <f>VLOOKUP(D2032,'Jer-Tip-Emp'!B:G,6,0)</f>
        <v>Caja</v>
      </c>
    </row>
    <row r="2033" spans="1:15" ht="27.5" hidden="1" customHeight="1" x14ac:dyDescent="0.2">
      <c r="A2033">
        <v>2025</v>
      </c>
      <c r="B2033" t="s">
        <v>619</v>
      </c>
      <c r="C2033" t="s">
        <v>609</v>
      </c>
      <c r="D2033" s="19" t="s">
        <v>431</v>
      </c>
      <c r="E2033" s="18" t="s">
        <v>560</v>
      </c>
      <c r="F2033" s="18">
        <v>2</v>
      </c>
      <c r="G2033" s="20">
        <v>3200</v>
      </c>
      <c r="H2033" s="18">
        <v>0</v>
      </c>
      <c r="I2033" s="20">
        <v>2660</v>
      </c>
      <c r="J2033" s="8">
        <f t="shared" si="93"/>
        <v>540</v>
      </c>
      <c r="K2033" s="10">
        <f t="shared" si="94"/>
        <v>0.16875000000000001</v>
      </c>
      <c r="L2033" s="17">
        <f t="shared" si="95"/>
        <v>0</v>
      </c>
      <c r="M2033" t="str">
        <f>VLOOKUP(D2033,'Jer-Tip-Emp'!B:E,4,0)</f>
        <v>Bebidas</v>
      </c>
      <c r="N2033" t="str">
        <f>VLOOKUP(D2033,'Jer-Tip-Emp'!B:F,5,0)</f>
        <v>Bebidas Cambio de bebida</v>
      </c>
      <c r="O2033" t="str">
        <f>VLOOKUP(D2033,'Jer-Tip-Emp'!B:G,6,0)</f>
        <v>Bebidas</v>
      </c>
    </row>
    <row r="2034" spans="1:15" ht="27.5" customHeight="1" x14ac:dyDescent="0.2">
      <c r="A2034">
        <v>2025</v>
      </c>
      <c r="B2034" t="s">
        <v>619</v>
      </c>
      <c r="C2034" t="s">
        <v>609</v>
      </c>
      <c r="D2034" s="19" t="s">
        <v>241</v>
      </c>
      <c r="E2034" s="18" t="s">
        <v>107</v>
      </c>
      <c r="F2034" s="18">
        <v>2</v>
      </c>
      <c r="G2034" s="20">
        <v>94900</v>
      </c>
      <c r="H2034" s="20">
        <v>-94900</v>
      </c>
      <c r="I2034" s="20">
        <v>85408</v>
      </c>
      <c r="J2034" s="8">
        <f t="shared" si="93"/>
        <v>9492</v>
      </c>
      <c r="K2034" s="10">
        <f t="shared" si="94"/>
        <v>0.10002107481559536</v>
      </c>
      <c r="L2034" s="17">
        <f t="shared" si="95"/>
        <v>1</v>
      </c>
      <c r="M2034" t="str">
        <f>VLOOKUP(D2034,'Jer-Tip-Emp'!B:E,4,0)</f>
        <v>Platos mong</v>
      </c>
      <c r="N2034" t="str">
        <f>VLOOKUP(D2034,'Jer-Tip-Emp'!B:F,5,0)</f>
        <v>No Personal</v>
      </c>
      <c r="O2034" t="str">
        <f>VLOOKUP(D2034,'Jer-Tip-Emp'!B:G,6,0)</f>
        <v>Caja</v>
      </c>
    </row>
    <row r="2035" spans="1:15" ht="27.5" customHeight="1" x14ac:dyDescent="0.2">
      <c r="A2035">
        <v>2025</v>
      </c>
      <c r="B2035" t="s">
        <v>619</v>
      </c>
      <c r="C2035" t="s">
        <v>609</v>
      </c>
      <c r="D2035" s="19" t="s">
        <v>181</v>
      </c>
      <c r="E2035" s="18" t="s">
        <v>121</v>
      </c>
      <c r="F2035" s="18">
        <v>2</v>
      </c>
      <c r="G2035" s="20">
        <v>39800</v>
      </c>
      <c r="H2035" s="18">
        <v>0</v>
      </c>
      <c r="I2035" s="20">
        <v>12276</v>
      </c>
      <c r="J2035" s="8">
        <f t="shared" si="93"/>
        <v>27524</v>
      </c>
      <c r="K2035" s="10">
        <f t="shared" si="94"/>
        <v>0.69155778894472364</v>
      </c>
      <c r="L2035" s="17">
        <f t="shared" si="95"/>
        <v>0</v>
      </c>
      <c r="M2035" t="str">
        <f>VLOOKUP(D2035,'Jer-Tip-Emp'!B:E,4,0)</f>
        <v>Platos mong</v>
      </c>
      <c r="N2035" t="str">
        <f>VLOOKUP(D2035,'Jer-Tip-Emp'!B:F,5,0)</f>
        <v>Personal</v>
      </c>
      <c r="O2035" t="str">
        <f>VLOOKUP(D2035,'Jer-Tip-Emp'!B:G,6,0)</f>
        <v>Caja</v>
      </c>
    </row>
    <row r="2036" spans="1:15" ht="27.5" hidden="1" customHeight="1" x14ac:dyDescent="0.2">
      <c r="A2036">
        <v>2025</v>
      </c>
      <c r="B2036" t="s">
        <v>619</v>
      </c>
      <c r="C2036" t="s">
        <v>609</v>
      </c>
      <c r="D2036" s="19" t="s">
        <v>465</v>
      </c>
      <c r="E2036" s="18" t="s">
        <v>578</v>
      </c>
      <c r="F2036" s="18">
        <v>2</v>
      </c>
      <c r="G2036" s="20">
        <v>4300</v>
      </c>
      <c r="H2036" s="18">
        <v>0</v>
      </c>
      <c r="I2036" s="20">
        <v>4478</v>
      </c>
      <c r="J2036" s="8">
        <f t="shared" si="93"/>
        <v>-178</v>
      </c>
      <c r="K2036" s="10">
        <f t="shared" si="94"/>
        <v>-4.13953488372093E-2</v>
      </c>
      <c r="L2036" s="17">
        <f t="shared" si="95"/>
        <v>0</v>
      </c>
      <c r="M2036" t="str">
        <f>VLOOKUP(D2036,'Jer-Tip-Emp'!B:E,4,0)</f>
        <v>Bebidas</v>
      </c>
      <c r="N2036" t="str">
        <f>VLOOKUP(D2036,'Jer-Tip-Emp'!B:F,5,0)</f>
        <v>Bebidas Cambio de bebida</v>
      </c>
      <c r="O2036" t="str">
        <f>VLOOKUP(D2036,'Jer-Tip-Emp'!B:G,6,0)</f>
        <v>Bebidas</v>
      </c>
    </row>
    <row r="2037" spans="1:15" ht="27.5" hidden="1" customHeight="1" x14ac:dyDescent="0.2">
      <c r="A2037">
        <v>2025</v>
      </c>
      <c r="B2037" t="s">
        <v>619</v>
      </c>
      <c r="C2037" t="s">
        <v>609</v>
      </c>
      <c r="D2037" s="19" t="s">
        <v>339</v>
      </c>
      <c r="E2037" s="18" t="s">
        <v>65</v>
      </c>
      <c r="F2037" s="18">
        <v>2</v>
      </c>
      <c r="G2037" s="20">
        <v>9800</v>
      </c>
      <c r="H2037" s="18">
        <v>0</v>
      </c>
      <c r="I2037" s="20">
        <v>3120</v>
      </c>
      <c r="J2037" s="8">
        <f t="shared" si="93"/>
        <v>6680</v>
      </c>
      <c r="K2037" s="10">
        <f t="shared" si="94"/>
        <v>0.68163265306122445</v>
      </c>
      <c r="L2037" s="17">
        <f t="shared" si="95"/>
        <v>0</v>
      </c>
      <c r="M2037" t="str">
        <f>VLOOKUP(D2037,'Jer-Tip-Emp'!B:E,4,0)</f>
        <v>Bebidas</v>
      </c>
      <c r="N2037" t="str">
        <f>VLOOKUP(D2037,'Jer-Tip-Emp'!B:F,5,0)</f>
        <v>Bebidas</v>
      </c>
      <c r="O2037" t="str">
        <f>VLOOKUP(D2037,'Jer-Tip-Emp'!B:G,6,0)</f>
        <v>Bebidas</v>
      </c>
    </row>
    <row r="2038" spans="1:15" ht="27.5" customHeight="1" x14ac:dyDescent="0.2">
      <c r="A2038">
        <v>2025</v>
      </c>
      <c r="B2038" t="s">
        <v>619</v>
      </c>
      <c r="C2038" t="s">
        <v>609</v>
      </c>
      <c r="D2038" s="19" t="s">
        <v>204</v>
      </c>
      <c r="E2038" s="18" t="s">
        <v>151</v>
      </c>
      <c r="F2038" s="18">
        <v>2</v>
      </c>
      <c r="G2038" s="20">
        <v>91800</v>
      </c>
      <c r="H2038" s="18">
        <v>0</v>
      </c>
      <c r="I2038" s="20">
        <v>38882</v>
      </c>
      <c r="J2038" s="8">
        <f t="shared" si="93"/>
        <v>52918</v>
      </c>
      <c r="K2038" s="10">
        <f t="shared" si="94"/>
        <v>0.57644880174291935</v>
      </c>
      <c r="L2038" s="17">
        <f t="shared" si="95"/>
        <v>0</v>
      </c>
      <c r="M2038" t="str">
        <f>VLOOKUP(D2038,'Jer-Tip-Emp'!B:E,4,0)</f>
        <v>Platos mong</v>
      </c>
      <c r="N2038" t="str">
        <f>VLOOKUP(D2038,'Jer-Tip-Emp'!B:F,5,0)</f>
        <v>No Personal</v>
      </c>
      <c r="O2038" t="str">
        <f>VLOOKUP(D2038,'Jer-Tip-Emp'!B:G,6,0)</f>
        <v>Caja</v>
      </c>
    </row>
    <row r="2039" spans="1:15" ht="27.5" hidden="1" customHeight="1" x14ac:dyDescent="0.2">
      <c r="A2039">
        <v>2025</v>
      </c>
      <c r="B2039" t="s">
        <v>619</v>
      </c>
      <c r="C2039" t="s">
        <v>609</v>
      </c>
      <c r="D2039" s="19" t="s">
        <v>296</v>
      </c>
      <c r="E2039" s="18" t="s">
        <v>22</v>
      </c>
      <c r="F2039" s="18">
        <v>2</v>
      </c>
      <c r="G2039" s="20">
        <v>13700</v>
      </c>
      <c r="H2039" s="18">
        <v>0</v>
      </c>
      <c r="I2039" s="20">
        <v>1378</v>
      </c>
      <c r="J2039" s="8">
        <f t="shared" si="93"/>
        <v>12322</v>
      </c>
      <c r="K2039" s="10">
        <f t="shared" si="94"/>
        <v>0.89941605839416061</v>
      </c>
      <c r="L2039" s="17">
        <f t="shared" si="95"/>
        <v>0</v>
      </c>
      <c r="M2039" t="str">
        <f>VLOOKUP(D2039,'Jer-Tip-Emp'!B:E,4,0)</f>
        <v>Adición</v>
      </c>
      <c r="N2039" t="str">
        <f>VLOOKUP(D2039,'Jer-Tip-Emp'!B:F,5,0)</f>
        <v>Adición</v>
      </c>
      <c r="O2039" t="str">
        <f>VLOOKUP(D2039,'Jer-Tip-Emp'!B:G,6,0)</f>
        <v>Adición</v>
      </c>
    </row>
    <row r="2040" spans="1:15" ht="27.5" customHeight="1" x14ac:dyDescent="0.2">
      <c r="A2040">
        <v>2025</v>
      </c>
      <c r="B2040" t="s">
        <v>619</v>
      </c>
      <c r="C2040" t="s">
        <v>609</v>
      </c>
      <c r="D2040" s="19" t="s">
        <v>260</v>
      </c>
      <c r="E2040" s="18" t="s">
        <v>88</v>
      </c>
      <c r="F2040" s="18">
        <v>2</v>
      </c>
      <c r="G2040" s="20">
        <v>108800</v>
      </c>
      <c r="H2040" s="18">
        <v>0</v>
      </c>
      <c r="I2040" s="20">
        <v>41822</v>
      </c>
      <c r="J2040" s="8">
        <f t="shared" si="93"/>
        <v>66978</v>
      </c>
      <c r="K2040" s="10">
        <f t="shared" si="94"/>
        <v>0.61560661764705882</v>
      </c>
      <c r="L2040" s="17">
        <f t="shared" si="95"/>
        <v>0</v>
      </c>
      <c r="M2040" t="str">
        <f>VLOOKUP(D2040,'Jer-Tip-Emp'!B:E,4,0)</f>
        <v>Platos mong</v>
      </c>
      <c r="N2040" t="str">
        <f>VLOOKUP(D2040,'Jer-Tip-Emp'!B:F,5,0)</f>
        <v>No Personal</v>
      </c>
      <c r="O2040" t="str">
        <f>VLOOKUP(D2040,'Jer-Tip-Emp'!B:G,6,0)</f>
        <v>Caja</v>
      </c>
    </row>
    <row r="2041" spans="1:15" ht="27.5" customHeight="1" x14ac:dyDescent="0.2">
      <c r="A2041">
        <v>2025</v>
      </c>
      <c r="B2041" t="s">
        <v>619</v>
      </c>
      <c r="C2041" t="s">
        <v>609</v>
      </c>
      <c r="D2041" s="19" t="s">
        <v>242</v>
      </c>
      <c r="E2041" s="18" t="s">
        <v>90</v>
      </c>
      <c r="F2041" s="18">
        <v>2</v>
      </c>
      <c r="G2041" s="20">
        <v>113800</v>
      </c>
      <c r="H2041" s="18">
        <v>0</v>
      </c>
      <c r="I2041" s="20">
        <v>57136</v>
      </c>
      <c r="J2041" s="8">
        <f t="shared" si="93"/>
        <v>56664</v>
      </c>
      <c r="K2041" s="10">
        <f t="shared" si="94"/>
        <v>0.4979261862917399</v>
      </c>
      <c r="L2041" s="17">
        <f t="shared" si="95"/>
        <v>0</v>
      </c>
      <c r="M2041" t="str">
        <f>VLOOKUP(D2041,'Jer-Tip-Emp'!B:E,4,0)</f>
        <v>Combos para compartir</v>
      </c>
      <c r="N2041" t="str">
        <f>VLOOKUP(D2041,'Jer-Tip-Emp'!B:F,5,0)</f>
        <v>No Personal</v>
      </c>
      <c r="O2041" t="str">
        <f>VLOOKUP(D2041,'Jer-Tip-Emp'!B:G,6,0)</f>
        <v>Combo</v>
      </c>
    </row>
    <row r="2042" spans="1:15" ht="27.5" hidden="1" customHeight="1" x14ac:dyDescent="0.2">
      <c r="A2042">
        <v>2025</v>
      </c>
      <c r="B2042" t="s">
        <v>619</v>
      </c>
      <c r="C2042" t="s">
        <v>609</v>
      </c>
      <c r="D2042" s="19" t="s">
        <v>452</v>
      </c>
      <c r="E2042" s="18" t="s">
        <v>573</v>
      </c>
      <c r="F2042" s="18">
        <v>1</v>
      </c>
      <c r="G2042" s="20">
        <v>1600</v>
      </c>
      <c r="H2042" s="18">
        <v>0</v>
      </c>
      <c r="I2042" s="20">
        <v>1874</v>
      </c>
      <c r="J2042" s="8">
        <f t="shared" si="93"/>
        <v>-274</v>
      </c>
      <c r="K2042" s="10">
        <f t="shared" si="94"/>
        <v>-0.17125000000000001</v>
      </c>
      <c r="L2042" s="17">
        <f t="shared" si="95"/>
        <v>0</v>
      </c>
      <c r="M2042" t="str">
        <f>VLOOKUP(D2042,'Jer-Tip-Emp'!B:E,4,0)</f>
        <v>Bebidas</v>
      </c>
      <c r="N2042" t="str">
        <f>VLOOKUP(D2042,'Jer-Tip-Emp'!B:F,5,0)</f>
        <v>Bebidas Cambio de bebida</v>
      </c>
      <c r="O2042" t="str">
        <f>VLOOKUP(D2042,'Jer-Tip-Emp'!B:G,6,0)</f>
        <v>Bebidas</v>
      </c>
    </row>
    <row r="2043" spans="1:15" ht="27.5" customHeight="1" x14ac:dyDescent="0.2">
      <c r="A2043">
        <v>2025</v>
      </c>
      <c r="B2043" t="s">
        <v>619</v>
      </c>
      <c r="C2043" t="s">
        <v>609</v>
      </c>
      <c r="D2043" s="19" t="s">
        <v>279</v>
      </c>
      <c r="E2043" s="18" t="s">
        <v>132</v>
      </c>
      <c r="F2043" s="18">
        <v>1</v>
      </c>
      <c r="G2043" s="20">
        <v>41900</v>
      </c>
      <c r="H2043" s="18">
        <v>0</v>
      </c>
      <c r="I2043" s="20">
        <v>11217</v>
      </c>
      <c r="J2043" s="8">
        <f t="shared" si="93"/>
        <v>30683</v>
      </c>
      <c r="K2043" s="10">
        <f t="shared" si="94"/>
        <v>0.73229116945107398</v>
      </c>
      <c r="L2043" s="17">
        <f t="shared" si="95"/>
        <v>0</v>
      </c>
      <c r="M2043" t="str">
        <f>VLOOKUP(D2043,'Jer-Tip-Emp'!B:E,4,0)</f>
        <v>Platos mong</v>
      </c>
      <c r="N2043" t="str">
        <f>VLOOKUP(D2043,'Jer-Tip-Emp'!B:F,5,0)</f>
        <v>No Personal</v>
      </c>
      <c r="O2043" t="str">
        <f>VLOOKUP(D2043,'Jer-Tip-Emp'!B:G,6,0)</f>
        <v>Caja</v>
      </c>
    </row>
    <row r="2044" spans="1:15" ht="27.5" customHeight="1" x14ac:dyDescent="0.2">
      <c r="A2044">
        <v>2025</v>
      </c>
      <c r="B2044" t="s">
        <v>619</v>
      </c>
      <c r="C2044" t="s">
        <v>609</v>
      </c>
      <c r="D2044" s="19" t="s">
        <v>182</v>
      </c>
      <c r="E2044" s="18" t="s">
        <v>118</v>
      </c>
      <c r="F2044" s="18">
        <v>1</v>
      </c>
      <c r="G2044" s="20">
        <v>27900</v>
      </c>
      <c r="H2044" s="18">
        <v>0</v>
      </c>
      <c r="I2044" s="20">
        <v>9478</v>
      </c>
      <c r="J2044" s="8">
        <f t="shared" si="93"/>
        <v>18422</v>
      </c>
      <c r="K2044" s="10">
        <f t="shared" si="94"/>
        <v>0.66028673835125451</v>
      </c>
      <c r="L2044" s="17">
        <f t="shared" si="95"/>
        <v>0</v>
      </c>
      <c r="M2044" t="str">
        <f>VLOOKUP(D2044,'Jer-Tip-Emp'!B:E,4,0)</f>
        <v>Platos mong</v>
      </c>
      <c r="N2044" t="str">
        <f>VLOOKUP(D2044,'Jer-Tip-Emp'!B:F,5,0)</f>
        <v>Personal</v>
      </c>
      <c r="O2044" t="str">
        <f>VLOOKUP(D2044,'Jer-Tip-Emp'!B:G,6,0)</f>
        <v>Caja</v>
      </c>
    </row>
    <row r="2045" spans="1:15" ht="27.5" hidden="1" customHeight="1" x14ac:dyDescent="0.2">
      <c r="A2045">
        <v>2025</v>
      </c>
      <c r="B2045" t="s">
        <v>619</v>
      </c>
      <c r="C2045" t="s">
        <v>609</v>
      </c>
      <c r="D2045" s="19" t="s">
        <v>463</v>
      </c>
      <c r="E2045" s="18" t="s">
        <v>575</v>
      </c>
      <c r="F2045" s="18">
        <v>1</v>
      </c>
      <c r="G2045" s="20">
        <v>1600</v>
      </c>
      <c r="H2045" s="18">
        <v>0</v>
      </c>
      <c r="I2045" s="18">
        <v>950</v>
      </c>
      <c r="J2045" s="8">
        <f t="shared" si="93"/>
        <v>650</v>
      </c>
      <c r="K2045" s="10">
        <f t="shared" si="94"/>
        <v>0.40625</v>
      </c>
      <c r="L2045" s="17">
        <f t="shared" si="95"/>
        <v>0</v>
      </c>
      <c r="M2045" t="str">
        <f>VLOOKUP(D2045,'Jer-Tip-Emp'!B:E,4,0)</f>
        <v>Bebidas</v>
      </c>
      <c r="N2045" t="str">
        <f>VLOOKUP(D2045,'Jer-Tip-Emp'!B:F,5,0)</f>
        <v>Bebidas Cambio de bebida</v>
      </c>
      <c r="O2045" t="str">
        <f>VLOOKUP(D2045,'Jer-Tip-Emp'!B:G,6,0)</f>
        <v>Bebidas</v>
      </c>
    </row>
    <row r="2046" spans="1:15" ht="27.5" hidden="1" customHeight="1" x14ac:dyDescent="0.2">
      <c r="A2046">
        <v>2025</v>
      </c>
      <c r="B2046" t="s">
        <v>619</v>
      </c>
      <c r="C2046" t="s">
        <v>609</v>
      </c>
      <c r="D2046" s="19" t="s">
        <v>444</v>
      </c>
      <c r="E2046" s="18" t="s">
        <v>562</v>
      </c>
      <c r="F2046" s="18">
        <v>1</v>
      </c>
      <c r="G2046" s="20">
        <v>1600</v>
      </c>
      <c r="H2046" s="18">
        <v>0</v>
      </c>
      <c r="I2046" s="20">
        <v>1610</v>
      </c>
      <c r="J2046" s="8">
        <f t="shared" si="93"/>
        <v>-10</v>
      </c>
      <c r="K2046" s="10">
        <f t="shared" si="94"/>
        <v>-6.2500000000000003E-3</v>
      </c>
      <c r="L2046" s="17">
        <f t="shared" si="95"/>
        <v>0</v>
      </c>
      <c r="M2046" t="str">
        <f>VLOOKUP(D2046,'Jer-Tip-Emp'!B:E,4,0)</f>
        <v>Bebidas</v>
      </c>
      <c r="N2046" t="str">
        <f>VLOOKUP(D2046,'Jer-Tip-Emp'!B:F,5,0)</f>
        <v>Bebidas Cambio de bebida</v>
      </c>
      <c r="O2046" t="str">
        <f>VLOOKUP(D2046,'Jer-Tip-Emp'!B:G,6,0)</f>
        <v>Bebidas</v>
      </c>
    </row>
    <row r="2047" spans="1:15" ht="27.5" hidden="1" customHeight="1" x14ac:dyDescent="0.2">
      <c r="A2047">
        <v>2025</v>
      </c>
      <c r="B2047" t="s">
        <v>619</v>
      </c>
      <c r="C2047" t="s">
        <v>609</v>
      </c>
      <c r="D2047" s="19" t="s">
        <v>360</v>
      </c>
      <c r="E2047" s="18" t="s">
        <v>620</v>
      </c>
      <c r="F2047" s="18">
        <v>1</v>
      </c>
      <c r="G2047" s="20">
        <v>5000</v>
      </c>
      <c r="H2047" s="18">
        <v>0</v>
      </c>
      <c r="I2047" s="20">
        <v>1569</v>
      </c>
      <c r="J2047" s="8">
        <f t="shared" si="93"/>
        <v>3431</v>
      </c>
      <c r="K2047" s="10">
        <f t="shared" si="94"/>
        <v>0.68620000000000003</v>
      </c>
      <c r="L2047" s="17">
        <f t="shared" si="95"/>
        <v>0</v>
      </c>
      <c r="M2047" t="str">
        <f>VLOOKUP(D2047,'Jer-Tip-Emp'!B:E,4,0)</f>
        <v>Adición</v>
      </c>
      <c r="N2047" t="str">
        <f>VLOOKUP(D2047,'Jer-Tip-Emp'!B:F,5,0)</f>
        <v>Adición</v>
      </c>
      <c r="O2047" t="str">
        <f>VLOOKUP(D2047,'Jer-Tip-Emp'!B:G,6,0)</f>
        <v>Adición</v>
      </c>
    </row>
    <row r="2048" spans="1:15" ht="27.5" hidden="1" customHeight="1" x14ac:dyDescent="0.2">
      <c r="A2048">
        <v>2025</v>
      </c>
      <c r="B2048" t="s">
        <v>619</v>
      </c>
      <c r="C2048" t="s">
        <v>609</v>
      </c>
      <c r="D2048" s="19" t="s">
        <v>492</v>
      </c>
      <c r="E2048" s="18" t="s">
        <v>577</v>
      </c>
      <c r="F2048" s="18">
        <v>1</v>
      </c>
      <c r="G2048" s="20">
        <v>1600</v>
      </c>
      <c r="H2048" s="18">
        <v>0</v>
      </c>
      <c r="I2048" s="20">
        <v>1895</v>
      </c>
      <c r="J2048" s="8">
        <f t="shared" si="93"/>
        <v>-295</v>
      </c>
      <c r="K2048" s="10">
        <f t="shared" si="94"/>
        <v>-0.18437500000000001</v>
      </c>
      <c r="L2048" s="17">
        <f t="shared" si="95"/>
        <v>0</v>
      </c>
      <c r="M2048" t="str">
        <f>VLOOKUP(D2048,'Jer-Tip-Emp'!B:E,4,0)</f>
        <v>Bebidas</v>
      </c>
      <c r="N2048" t="str">
        <f>VLOOKUP(D2048,'Jer-Tip-Emp'!B:F,5,0)</f>
        <v>Bebidas Cambio de bebida</v>
      </c>
      <c r="O2048" t="str">
        <f>VLOOKUP(D2048,'Jer-Tip-Emp'!B:G,6,0)</f>
        <v>Bebidas</v>
      </c>
    </row>
    <row r="2049" spans="1:15" ht="27.5" hidden="1" customHeight="1" x14ac:dyDescent="0.2">
      <c r="A2049">
        <v>2025</v>
      </c>
      <c r="B2049" t="s">
        <v>619</v>
      </c>
      <c r="C2049" t="s">
        <v>609</v>
      </c>
      <c r="D2049" s="19" t="s">
        <v>426</v>
      </c>
      <c r="E2049" s="18" t="s">
        <v>561</v>
      </c>
      <c r="F2049" s="18">
        <v>1</v>
      </c>
      <c r="G2049" s="20">
        <v>1600</v>
      </c>
      <c r="H2049" s="18">
        <v>0</v>
      </c>
      <c r="I2049" s="20">
        <v>1516</v>
      </c>
      <c r="J2049" s="8">
        <f t="shared" ref="J2049:J2112" si="96">G2049-I2049</f>
        <v>84</v>
      </c>
      <c r="K2049" s="10">
        <f t="shared" ref="K2049:K2112" si="97">IFERROR(J2049/G2049,0)</f>
        <v>5.2499999999999998E-2</v>
      </c>
      <c r="L2049" s="17">
        <f t="shared" ref="L2049:L2112" si="98">IFERROR((H2049/G2049)*-1,0)</f>
        <v>0</v>
      </c>
      <c r="M2049" t="str">
        <f>VLOOKUP(D2049,'Jer-Tip-Emp'!B:E,4,0)</f>
        <v>Bebidas</v>
      </c>
      <c r="N2049" t="str">
        <f>VLOOKUP(D2049,'Jer-Tip-Emp'!B:F,5,0)</f>
        <v>Bebidas Cambio de bebida</v>
      </c>
      <c r="O2049" t="str">
        <f>VLOOKUP(D2049,'Jer-Tip-Emp'!B:G,6,0)</f>
        <v>Bebidas</v>
      </c>
    </row>
    <row r="2050" spans="1:15" ht="27.5" customHeight="1" x14ac:dyDescent="0.2">
      <c r="A2050">
        <v>2025</v>
      </c>
      <c r="B2050" t="s">
        <v>619</v>
      </c>
      <c r="C2050" t="s">
        <v>609</v>
      </c>
      <c r="D2050" s="19" t="s">
        <v>293</v>
      </c>
      <c r="E2050" s="18" t="s">
        <v>127</v>
      </c>
      <c r="F2050" s="18">
        <v>1</v>
      </c>
      <c r="G2050" s="20">
        <v>77900</v>
      </c>
      <c r="H2050" s="18">
        <v>0</v>
      </c>
      <c r="I2050" s="20">
        <v>28057</v>
      </c>
      <c r="J2050" s="8">
        <f t="shared" si="96"/>
        <v>49843</v>
      </c>
      <c r="K2050" s="10">
        <f t="shared" si="97"/>
        <v>0.63983311938382537</v>
      </c>
      <c r="L2050" s="17">
        <f t="shared" si="98"/>
        <v>0</v>
      </c>
      <c r="M2050" t="str">
        <f>VLOOKUP(D2050,'Jer-Tip-Emp'!B:E,4,0)</f>
        <v>Platos mong</v>
      </c>
      <c r="N2050" t="str">
        <f>VLOOKUP(D2050,'Jer-Tip-Emp'!B:F,5,0)</f>
        <v>No Personal</v>
      </c>
      <c r="O2050" t="str">
        <f>VLOOKUP(D2050,'Jer-Tip-Emp'!B:G,6,0)</f>
        <v>Caja</v>
      </c>
    </row>
    <row r="2051" spans="1:15" ht="27.5" customHeight="1" x14ac:dyDescent="0.2">
      <c r="A2051">
        <v>2025</v>
      </c>
      <c r="B2051" t="s">
        <v>619</v>
      </c>
      <c r="C2051" t="s">
        <v>609</v>
      </c>
      <c r="D2051" s="19" t="s">
        <v>199</v>
      </c>
      <c r="E2051" s="18" t="s">
        <v>115</v>
      </c>
      <c r="F2051" s="18">
        <v>1</v>
      </c>
      <c r="G2051" s="20">
        <v>10900</v>
      </c>
      <c r="H2051" s="18">
        <v>0</v>
      </c>
      <c r="I2051" s="18">
        <v>0</v>
      </c>
      <c r="J2051" s="8">
        <f t="shared" si="96"/>
        <v>10900</v>
      </c>
      <c r="K2051" s="10">
        <f t="shared" si="97"/>
        <v>1</v>
      </c>
      <c r="L2051" s="17">
        <f t="shared" si="98"/>
        <v>0</v>
      </c>
      <c r="M2051" t="str">
        <f>VLOOKUP(D2051,'Jer-Tip-Emp'!B:E,4,0)</f>
        <v>Platos especiales</v>
      </c>
      <c r="N2051" t="str">
        <f>VLOOKUP(D2051,'Jer-Tip-Emp'!B:F,5,0)</f>
        <v>Personal</v>
      </c>
      <c r="O2051" t="str">
        <f>VLOOKUP(D2051,'Jer-Tip-Emp'!B:G,6,0)</f>
        <v>Platos especiales</v>
      </c>
    </row>
    <row r="2052" spans="1:15" ht="27.5" hidden="1" customHeight="1" x14ac:dyDescent="0.2">
      <c r="A2052">
        <v>2025</v>
      </c>
      <c r="B2052" t="s">
        <v>619</v>
      </c>
      <c r="C2052" t="s">
        <v>609</v>
      </c>
      <c r="D2052" s="19" t="s">
        <v>314</v>
      </c>
      <c r="E2052" s="18" t="s">
        <v>67</v>
      </c>
      <c r="F2052" s="18">
        <v>1</v>
      </c>
      <c r="G2052" s="20">
        <v>4900</v>
      </c>
      <c r="H2052" s="18">
        <v>0</v>
      </c>
      <c r="I2052" s="20">
        <v>1330</v>
      </c>
      <c r="J2052" s="8">
        <f t="shared" si="96"/>
        <v>3570</v>
      </c>
      <c r="K2052" s="10">
        <f t="shared" si="97"/>
        <v>0.72857142857142854</v>
      </c>
      <c r="L2052" s="17">
        <f t="shared" si="98"/>
        <v>0</v>
      </c>
      <c r="M2052" t="str">
        <f>VLOOKUP(D2052,'Jer-Tip-Emp'!B:E,4,0)</f>
        <v>Bebidas</v>
      </c>
      <c r="N2052" t="str">
        <f>VLOOKUP(D2052,'Jer-Tip-Emp'!B:F,5,0)</f>
        <v>Bebidas</v>
      </c>
      <c r="O2052" t="str">
        <f>VLOOKUP(D2052,'Jer-Tip-Emp'!B:G,6,0)</f>
        <v>Bebidas</v>
      </c>
    </row>
    <row r="2053" spans="1:15" ht="27.5" hidden="1" customHeight="1" x14ac:dyDescent="0.2">
      <c r="A2053">
        <v>2025</v>
      </c>
      <c r="B2053" t="s">
        <v>619</v>
      </c>
      <c r="C2053" t="s">
        <v>609</v>
      </c>
      <c r="D2053" s="19" t="s">
        <v>494</v>
      </c>
      <c r="E2053" s="18" t="s">
        <v>568</v>
      </c>
      <c r="F2053" s="18">
        <v>1</v>
      </c>
      <c r="G2053" s="20">
        <v>1400</v>
      </c>
      <c r="H2053" s="18">
        <v>0</v>
      </c>
      <c r="I2053" s="20">
        <v>2139</v>
      </c>
      <c r="J2053" s="8">
        <f t="shared" si="96"/>
        <v>-739</v>
      </c>
      <c r="K2053" s="10">
        <f t="shared" si="97"/>
        <v>-0.5278571428571428</v>
      </c>
      <c r="L2053" s="17">
        <f t="shared" si="98"/>
        <v>0</v>
      </c>
      <c r="M2053" t="str">
        <f>VLOOKUP(D2053,'Jer-Tip-Emp'!B:E,4,0)</f>
        <v>Bebidas</v>
      </c>
      <c r="N2053" t="str">
        <f>VLOOKUP(D2053,'Jer-Tip-Emp'!B:F,5,0)</f>
        <v>Bebidas Cambio de bebida</v>
      </c>
      <c r="O2053" t="str">
        <f>VLOOKUP(D2053,'Jer-Tip-Emp'!B:G,6,0)</f>
        <v>Bebidas</v>
      </c>
    </row>
    <row r="2054" spans="1:15" ht="27.5" customHeight="1" x14ac:dyDescent="0.2">
      <c r="A2054">
        <v>2025</v>
      </c>
      <c r="B2054" t="s">
        <v>619</v>
      </c>
      <c r="C2054" t="s">
        <v>609</v>
      </c>
      <c r="D2054" s="19" t="s">
        <v>274</v>
      </c>
      <c r="E2054" s="18" t="s">
        <v>91</v>
      </c>
      <c r="F2054" s="18">
        <v>1</v>
      </c>
      <c r="G2054" s="20">
        <v>75896</v>
      </c>
      <c r="H2054" s="20">
        <v>-4004</v>
      </c>
      <c r="I2054" s="20">
        <v>28815</v>
      </c>
      <c r="J2054" s="8">
        <f t="shared" si="96"/>
        <v>47081</v>
      </c>
      <c r="K2054" s="10">
        <f t="shared" si="97"/>
        <v>0.62033572256772429</v>
      </c>
      <c r="L2054" s="17">
        <f t="shared" si="98"/>
        <v>5.2756403499525664E-2</v>
      </c>
      <c r="M2054" t="str">
        <f>VLOOKUP(D2054,'Jer-Tip-Emp'!B:E,4,0)</f>
        <v>Platos mong</v>
      </c>
      <c r="N2054" t="str">
        <f>VLOOKUP(D2054,'Jer-Tip-Emp'!B:F,5,0)</f>
        <v>No Personal</v>
      </c>
      <c r="O2054" t="str">
        <f>VLOOKUP(D2054,'Jer-Tip-Emp'!B:G,6,0)</f>
        <v>Caja</v>
      </c>
    </row>
    <row r="2055" spans="1:15" ht="27.5" customHeight="1" x14ac:dyDescent="0.2">
      <c r="A2055">
        <v>2025</v>
      </c>
      <c r="B2055" t="s">
        <v>619</v>
      </c>
      <c r="C2055" t="s">
        <v>609</v>
      </c>
      <c r="D2055" s="19" t="s">
        <v>251</v>
      </c>
      <c r="E2055" s="18" t="s">
        <v>123</v>
      </c>
      <c r="F2055" s="18">
        <v>1</v>
      </c>
      <c r="G2055" s="20">
        <v>75896</v>
      </c>
      <c r="H2055" s="20">
        <v>-4004</v>
      </c>
      <c r="I2055" s="20">
        <v>33677</v>
      </c>
      <c r="J2055" s="8">
        <f t="shared" si="96"/>
        <v>42219</v>
      </c>
      <c r="K2055" s="10">
        <f t="shared" si="97"/>
        <v>0.55627437546115732</v>
      </c>
      <c r="L2055" s="17">
        <f t="shared" si="98"/>
        <v>5.2756403499525664E-2</v>
      </c>
      <c r="M2055" t="str">
        <f>VLOOKUP(D2055,'Jer-Tip-Emp'!B:E,4,0)</f>
        <v>Platos mong</v>
      </c>
      <c r="N2055" t="str">
        <f>VLOOKUP(D2055,'Jer-Tip-Emp'!B:F,5,0)</f>
        <v>No Personal</v>
      </c>
      <c r="O2055" t="str">
        <f>VLOOKUP(D2055,'Jer-Tip-Emp'!B:G,6,0)</f>
        <v>Caja</v>
      </c>
    </row>
    <row r="2056" spans="1:15" ht="27.5" hidden="1" customHeight="1" x14ac:dyDescent="0.2">
      <c r="A2056">
        <v>2025</v>
      </c>
      <c r="B2056" t="s">
        <v>619</v>
      </c>
      <c r="C2056" t="s">
        <v>594</v>
      </c>
      <c r="D2056" s="19" t="s">
        <v>346</v>
      </c>
      <c r="E2056" s="18" t="s">
        <v>551</v>
      </c>
      <c r="F2056" s="18">
        <v>95</v>
      </c>
      <c r="G2056" s="18">
        <v>0</v>
      </c>
      <c r="H2056" s="18">
        <v>0</v>
      </c>
      <c r="I2056" s="18">
        <v>0</v>
      </c>
      <c r="J2056" s="8">
        <f t="shared" si="96"/>
        <v>0</v>
      </c>
      <c r="K2056" s="10">
        <f t="shared" si="97"/>
        <v>0</v>
      </c>
      <c r="L2056" s="17">
        <f t="shared" si="98"/>
        <v>0</v>
      </c>
      <c r="M2056" t="str">
        <f>VLOOKUP(D2056,'Jer-Tip-Emp'!B:E,4,0)</f>
        <v>Adición</v>
      </c>
      <c r="N2056" t="str">
        <f>VLOOKUP(D2056,'Jer-Tip-Emp'!B:F,5,0)</f>
        <v>Adición</v>
      </c>
      <c r="O2056" t="str">
        <f>VLOOKUP(D2056,'Jer-Tip-Emp'!B:G,6,0)</f>
        <v>Adición</v>
      </c>
    </row>
    <row r="2057" spans="1:15" ht="27.5" hidden="1" customHeight="1" x14ac:dyDescent="0.2">
      <c r="A2057">
        <v>2025</v>
      </c>
      <c r="B2057" t="s">
        <v>619</v>
      </c>
      <c r="C2057" t="s">
        <v>594</v>
      </c>
      <c r="D2057" s="19" t="s">
        <v>173</v>
      </c>
      <c r="E2057" s="18" t="s">
        <v>542</v>
      </c>
      <c r="F2057" s="18">
        <v>85</v>
      </c>
      <c r="G2057" s="18">
        <v>0</v>
      </c>
      <c r="H2057" s="18">
        <v>0</v>
      </c>
      <c r="I2057" s="18">
        <v>0</v>
      </c>
      <c r="J2057" s="8">
        <f t="shared" si="96"/>
        <v>0</v>
      </c>
      <c r="K2057" s="10">
        <f t="shared" si="97"/>
        <v>0</v>
      </c>
      <c r="L2057" s="17">
        <f t="shared" si="98"/>
        <v>0</v>
      </c>
      <c r="M2057" t="str">
        <f>VLOOKUP(D2057,'Jer-Tip-Emp'!B:E,4,0)</f>
        <v>Bebidas</v>
      </c>
      <c r="N2057" t="str">
        <f>VLOOKUP(D2057,'Jer-Tip-Emp'!B:F,5,0)</f>
        <v>Bebidas Cambio de bebida</v>
      </c>
      <c r="O2057" t="str">
        <f>VLOOKUP(D2057,'Jer-Tip-Emp'!B:G,6,0)</f>
        <v>Bebidas</v>
      </c>
    </row>
    <row r="2058" spans="1:15" ht="27.5" customHeight="1" x14ac:dyDescent="0.2">
      <c r="A2058">
        <v>2025</v>
      </c>
      <c r="B2058" t="s">
        <v>619</v>
      </c>
      <c r="C2058" t="s">
        <v>594</v>
      </c>
      <c r="D2058" s="19" t="s">
        <v>207</v>
      </c>
      <c r="E2058" s="18" t="s">
        <v>92</v>
      </c>
      <c r="F2058" s="18">
        <v>67</v>
      </c>
      <c r="G2058" s="20">
        <v>1517000</v>
      </c>
      <c r="H2058" s="20">
        <v>-440300</v>
      </c>
      <c r="I2058" s="20">
        <v>645009</v>
      </c>
      <c r="J2058" s="8">
        <f t="shared" si="96"/>
        <v>871991</v>
      </c>
      <c r="K2058" s="10">
        <f t="shared" si="97"/>
        <v>0.57481278839815431</v>
      </c>
      <c r="L2058" s="17">
        <f t="shared" si="98"/>
        <v>0.29024390243902437</v>
      </c>
      <c r="M2058" t="str">
        <f>VLOOKUP(D2058,'Jer-Tip-Emp'!B:E,4,0)</f>
        <v>Combos personales</v>
      </c>
      <c r="N2058" t="str">
        <f>VLOOKUP(D2058,'Jer-Tip-Emp'!B:F,5,0)</f>
        <v>Personal</v>
      </c>
      <c r="O2058" t="str">
        <f>VLOOKUP(D2058,'Jer-Tip-Emp'!B:G,6,0)</f>
        <v>Combo</v>
      </c>
    </row>
    <row r="2059" spans="1:15" ht="27.5" customHeight="1" x14ac:dyDescent="0.2">
      <c r="A2059">
        <v>2025</v>
      </c>
      <c r="B2059" t="s">
        <v>619</v>
      </c>
      <c r="C2059" t="s">
        <v>594</v>
      </c>
      <c r="D2059" s="19" t="s">
        <v>184</v>
      </c>
      <c r="E2059" s="18" t="s">
        <v>162</v>
      </c>
      <c r="F2059" s="18">
        <v>52</v>
      </c>
      <c r="G2059" s="20">
        <v>1027300</v>
      </c>
      <c r="H2059" s="20">
        <v>-299500</v>
      </c>
      <c r="I2059" s="18">
        <v>0</v>
      </c>
      <c r="J2059" s="8">
        <f t="shared" si="96"/>
        <v>1027300</v>
      </c>
      <c r="K2059" s="10">
        <f t="shared" si="97"/>
        <v>1</v>
      </c>
      <c r="L2059" s="17">
        <f t="shared" si="98"/>
        <v>0.29154093254161395</v>
      </c>
      <c r="M2059" t="str">
        <f>VLOOKUP(D2059,'Jer-Tip-Emp'!B:E,4,0)</f>
        <v>Combos personales</v>
      </c>
      <c r="N2059" t="str">
        <f>VLOOKUP(D2059,'Jer-Tip-Emp'!B:F,5,0)</f>
        <v>Personal</v>
      </c>
      <c r="O2059" t="str">
        <f>VLOOKUP(D2059,'Jer-Tip-Emp'!B:G,6,0)</f>
        <v>Caja</v>
      </c>
    </row>
    <row r="2060" spans="1:15" ht="27.5" customHeight="1" x14ac:dyDescent="0.2">
      <c r="A2060">
        <v>2025</v>
      </c>
      <c r="B2060" t="s">
        <v>619</v>
      </c>
      <c r="C2060" t="s">
        <v>594</v>
      </c>
      <c r="D2060" s="19" t="s">
        <v>196</v>
      </c>
      <c r="E2060" s="18" t="s">
        <v>159</v>
      </c>
      <c r="F2060" s="18">
        <v>29</v>
      </c>
      <c r="G2060" s="20">
        <v>714650</v>
      </c>
      <c r="H2060" s="20">
        <v>-213450</v>
      </c>
      <c r="I2060" s="20">
        <v>275529</v>
      </c>
      <c r="J2060" s="8">
        <f t="shared" si="96"/>
        <v>439121</v>
      </c>
      <c r="K2060" s="10">
        <f t="shared" si="97"/>
        <v>0.61445602742601269</v>
      </c>
      <c r="L2060" s="17">
        <f t="shared" si="98"/>
        <v>0.29867767438606313</v>
      </c>
      <c r="M2060" t="str">
        <f>VLOOKUP(D2060,'Jer-Tip-Emp'!B:E,4,0)</f>
        <v>Combos personales</v>
      </c>
      <c r="N2060" t="str">
        <f>VLOOKUP(D2060,'Jer-Tip-Emp'!B:F,5,0)</f>
        <v>Personal</v>
      </c>
      <c r="O2060" t="str">
        <f>VLOOKUP(D2060,'Jer-Tip-Emp'!B:G,6,0)</f>
        <v>Combo</v>
      </c>
    </row>
    <row r="2061" spans="1:15" ht="27.5" hidden="1" customHeight="1" x14ac:dyDescent="0.2">
      <c r="A2061">
        <v>2025</v>
      </c>
      <c r="B2061" t="s">
        <v>619</v>
      </c>
      <c r="C2061" t="s">
        <v>594</v>
      </c>
      <c r="D2061" s="19" t="s">
        <v>490</v>
      </c>
      <c r="E2061" s="18" t="s">
        <v>554</v>
      </c>
      <c r="F2061" s="18">
        <v>24</v>
      </c>
      <c r="G2061" s="18">
        <v>0</v>
      </c>
      <c r="H2061" s="18">
        <v>0</v>
      </c>
      <c r="I2061" s="20">
        <v>49176</v>
      </c>
      <c r="J2061" s="8">
        <f t="shared" si="96"/>
        <v>-49176</v>
      </c>
      <c r="K2061" s="10">
        <f t="shared" si="97"/>
        <v>0</v>
      </c>
      <c r="L2061" s="17">
        <f t="shared" si="98"/>
        <v>0</v>
      </c>
      <c r="M2061" t="str">
        <f>VLOOKUP(D2061,'Jer-Tip-Emp'!B:E,4,0)</f>
        <v>Adición</v>
      </c>
      <c r="N2061" t="str">
        <f>VLOOKUP(D2061,'Jer-Tip-Emp'!B:F,5,0)</f>
        <v>Otro</v>
      </c>
      <c r="O2061" t="str">
        <f>VLOOKUP(D2061,'Jer-Tip-Emp'!B:G,6,0)</f>
        <v>Otro</v>
      </c>
    </row>
    <row r="2062" spans="1:15" ht="27.5" hidden="1" customHeight="1" x14ac:dyDescent="0.2">
      <c r="A2062">
        <v>2025</v>
      </c>
      <c r="B2062" t="s">
        <v>619</v>
      </c>
      <c r="C2062" t="s">
        <v>594</v>
      </c>
      <c r="D2062" s="19" t="s">
        <v>365</v>
      </c>
      <c r="E2062" s="18" t="s">
        <v>558</v>
      </c>
      <c r="F2062" s="18">
        <v>12</v>
      </c>
      <c r="G2062" s="20">
        <v>10000</v>
      </c>
      <c r="H2062" s="18">
        <v>0</v>
      </c>
      <c r="I2062" s="20">
        <v>18828</v>
      </c>
      <c r="J2062" s="8">
        <f t="shared" si="96"/>
        <v>-8828</v>
      </c>
      <c r="K2062" s="10">
        <f t="shared" si="97"/>
        <v>-0.88280000000000003</v>
      </c>
      <c r="L2062" s="17">
        <f t="shared" si="98"/>
        <v>0</v>
      </c>
      <c r="M2062" t="str">
        <f>VLOOKUP(D2062,'Jer-Tip-Emp'!B:E,4,0)</f>
        <v>Adición</v>
      </c>
      <c r="N2062" t="str">
        <f>VLOOKUP(D2062,'Jer-Tip-Emp'!B:F,5,0)</f>
        <v>Otro</v>
      </c>
      <c r="O2062" t="str">
        <f>VLOOKUP(D2062,'Jer-Tip-Emp'!B:G,6,0)</f>
        <v>Otro</v>
      </c>
    </row>
    <row r="2063" spans="1:15" ht="27.5" customHeight="1" x14ac:dyDescent="0.2">
      <c r="A2063">
        <v>2025</v>
      </c>
      <c r="B2063" t="s">
        <v>619</v>
      </c>
      <c r="C2063" t="s">
        <v>594</v>
      </c>
      <c r="D2063" s="19" t="s">
        <v>177</v>
      </c>
      <c r="E2063" s="18" t="s">
        <v>99</v>
      </c>
      <c r="F2063" s="18">
        <v>12</v>
      </c>
      <c r="G2063" s="20">
        <v>312500</v>
      </c>
      <c r="H2063" s="20">
        <v>-91300</v>
      </c>
      <c r="I2063" s="18">
        <v>0</v>
      </c>
      <c r="J2063" s="8">
        <f t="shared" si="96"/>
        <v>312500</v>
      </c>
      <c r="K2063" s="10">
        <f t="shared" si="97"/>
        <v>1</v>
      </c>
      <c r="L2063" s="17">
        <f t="shared" si="98"/>
        <v>0.29215999999999998</v>
      </c>
      <c r="M2063" t="str">
        <f>VLOOKUP(D2063,'Jer-Tip-Emp'!B:E,4,0)</f>
        <v>Combos personales</v>
      </c>
      <c r="N2063" t="str">
        <f>VLOOKUP(D2063,'Jer-Tip-Emp'!B:F,5,0)</f>
        <v>Personal</v>
      </c>
      <c r="O2063" t="str">
        <f>VLOOKUP(D2063,'Jer-Tip-Emp'!B:G,6,0)</f>
        <v>Combo</v>
      </c>
    </row>
    <row r="2064" spans="1:15" ht="27.5" hidden="1" customHeight="1" x14ac:dyDescent="0.2">
      <c r="A2064">
        <v>2025</v>
      </c>
      <c r="B2064" t="s">
        <v>619</v>
      </c>
      <c r="C2064" t="s">
        <v>594</v>
      </c>
      <c r="D2064" s="19" t="s">
        <v>500</v>
      </c>
      <c r="E2064" s="18" t="s">
        <v>546</v>
      </c>
      <c r="F2064" s="18">
        <v>11</v>
      </c>
      <c r="G2064" s="18">
        <v>0</v>
      </c>
      <c r="H2064" s="18">
        <v>0</v>
      </c>
      <c r="I2064" s="20">
        <v>9548</v>
      </c>
      <c r="J2064" s="8">
        <f t="shared" si="96"/>
        <v>-9548</v>
      </c>
      <c r="K2064" s="10">
        <f t="shared" si="97"/>
        <v>0</v>
      </c>
      <c r="L2064" s="17">
        <f t="shared" si="98"/>
        <v>0</v>
      </c>
      <c r="M2064" t="str">
        <f>VLOOKUP(D2064,'Jer-Tip-Emp'!B:E,4,0)</f>
        <v>Bebidas</v>
      </c>
      <c r="N2064" t="str">
        <f>VLOOKUP(D2064,'Jer-Tip-Emp'!B:F,5,0)</f>
        <v>Bebidas Cambio de bebida</v>
      </c>
      <c r="O2064" t="str">
        <f>VLOOKUP(D2064,'Jer-Tip-Emp'!B:G,6,0)</f>
        <v>Bebidas</v>
      </c>
    </row>
    <row r="2065" spans="1:15" ht="27.5" hidden="1" customHeight="1" x14ac:dyDescent="0.2">
      <c r="A2065">
        <v>2025</v>
      </c>
      <c r="B2065" t="s">
        <v>619</v>
      </c>
      <c r="C2065" t="s">
        <v>594</v>
      </c>
      <c r="D2065" s="19" t="s">
        <v>438</v>
      </c>
      <c r="E2065" s="18" t="s">
        <v>563</v>
      </c>
      <c r="F2065" s="18">
        <v>10</v>
      </c>
      <c r="G2065" s="20">
        <v>76000</v>
      </c>
      <c r="H2065" s="18">
        <v>0</v>
      </c>
      <c r="I2065" s="20">
        <v>28490</v>
      </c>
      <c r="J2065" s="8">
        <f t="shared" si="96"/>
        <v>47510</v>
      </c>
      <c r="K2065" s="10">
        <f t="shared" si="97"/>
        <v>0.62513157894736837</v>
      </c>
      <c r="L2065" s="17">
        <f t="shared" si="98"/>
        <v>0</v>
      </c>
      <c r="M2065" t="str">
        <f>VLOOKUP(D2065,'Jer-Tip-Emp'!B:E,4,0)</f>
        <v>Adición</v>
      </c>
      <c r="N2065" t="str">
        <f>VLOOKUP(D2065,'Jer-Tip-Emp'!B:F,5,0)</f>
        <v>Adición</v>
      </c>
      <c r="O2065" t="str">
        <f>VLOOKUP(D2065,'Jer-Tip-Emp'!B:G,6,0)</f>
        <v>Adición</v>
      </c>
    </row>
    <row r="2066" spans="1:15" ht="27.5" hidden="1" customHeight="1" x14ac:dyDescent="0.2">
      <c r="A2066">
        <v>2025</v>
      </c>
      <c r="B2066" t="s">
        <v>619</v>
      </c>
      <c r="C2066" t="s">
        <v>594</v>
      </c>
      <c r="D2066" s="19" t="s">
        <v>236</v>
      </c>
      <c r="E2066" s="18" t="s">
        <v>621</v>
      </c>
      <c r="F2066" s="18">
        <v>10</v>
      </c>
      <c r="G2066" s="18">
        <v>0</v>
      </c>
      <c r="H2066" s="18">
        <v>0</v>
      </c>
      <c r="I2066" s="18">
        <v>0</v>
      </c>
      <c r="J2066" s="8">
        <f t="shared" si="96"/>
        <v>0</v>
      </c>
      <c r="K2066" s="10">
        <f t="shared" si="97"/>
        <v>0</v>
      </c>
      <c r="L2066" s="17">
        <f t="shared" si="98"/>
        <v>0</v>
      </c>
      <c r="M2066" t="str">
        <f>VLOOKUP(D2066,'Jer-Tip-Emp'!B:E,4,0)</f>
        <v>Otro</v>
      </c>
      <c r="N2066" t="str">
        <f>VLOOKUP(D2066,'Jer-Tip-Emp'!B:F,5,0)</f>
        <v>Otro</v>
      </c>
      <c r="O2066" t="str">
        <f>VLOOKUP(D2066,'Jer-Tip-Emp'!B:G,6,0)</f>
        <v>Otro</v>
      </c>
    </row>
    <row r="2067" spans="1:15" ht="27.5" customHeight="1" x14ac:dyDescent="0.2">
      <c r="A2067">
        <v>2025</v>
      </c>
      <c r="B2067" t="s">
        <v>619</v>
      </c>
      <c r="C2067" t="s">
        <v>594</v>
      </c>
      <c r="D2067" s="19" t="s">
        <v>186</v>
      </c>
      <c r="E2067" s="18" t="s">
        <v>95</v>
      </c>
      <c r="F2067" s="18">
        <v>9</v>
      </c>
      <c r="G2067" s="20">
        <v>238950</v>
      </c>
      <c r="H2067" s="20">
        <v>-75150</v>
      </c>
      <c r="I2067" s="20">
        <v>86130</v>
      </c>
      <c r="J2067" s="8">
        <f t="shared" si="96"/>
        <v>152820</v>
      </c>
      <c r="K2067" s="10">
        <f t="shared" si="97"/>
        <v>0.63954802259887</v>
      </c>
      <c r="L2067" s="17">
        <f t="shared" si="98"/>
        <v>0.31450094161958569</v>
      </c>
      <c r="M2067" t="str">
        <f>VLOOKUP(D2067,'Jer-Tip-Emp'!B:E,4,0)</f>
        <v>Combos personales</v>
      </c>
      <c r="N2067" t="str">
        <f>VLOOKUP(D2067,'Jer-Tip-Emp'!B:F,5,0)</f>
        <v>Personal</v>
      </c>
      <c r="O2067" t="str">
        <f>VLOOKUP(D2067,'Jer-Tip-Emp'!B:G,6,0)</f>
        <v>Combo</v>
      </c>
    </row>
    <row r="2068" spans="1:15" ht="27.5" hidden="1" customHeight="1" x14ac:dyDescent="0.2">
      <c r="A2068">
        <v>2025</v>
      </c>
      <c r="B2068" t="s">
        <v>619</v>
      </c>
      <c r="C2068" t="s">
        <v>594</v>
      </c>
      <c r="D2068" s="19" t="s">
        <v>338</v>
      </c>
      <c r="E2068" s="18" t="s">
        <v>579</v>
      </c>
      <c r="F2068" s="18">
        <v>9</v>
      </c>
      <c r="G2068" s="20">
        <v>3600</v>
      </c>
      <c r="H2068" s="18">
        <v>0</v>
      </c>
      <c r="I2068" s="20">
        <v>2889</v>
      </c>
      <c r="J2068" s="8">
        <f t="shared" si="96"/>
        <v>711</v>
      </c>
      <c r="K2068" s="10">
        <f t="shared" si="97"/>
        <v>0.19750000000000001</v>
      </c>
      <c r="L2068" s="17">
        <f t="shared" si="98"/>
        <v>0</v>
      </c>
      <c r="M2068" t="str">
        <f>VLOOKUP(D2068,'Jer-Tip-Emp'!B:E,4,0)</f>
        <v>Adición</v>
      </c>
      <c r="N2068" t="str">
        <f>VLOOKUP(D2068,'Jer-Tip-Emp'!B:F,5,0)</f>
        <v>Adición</v>
      </c>
      <c r="O2068" t="str">
        <f>VLOOKUP(D2068,'Jer-Tip-Emp'!B:G,6,0)</f>
        <v>Adición</v>
      </c>
    </row>
    <row r="2069" spans="1:15" ht="27.5" hidden="1" customHeight="1" x14ac:dyDescent="0.2">
      <c r="A2069">
        <v>2025</v>
      </c>
      <c r="B2069" t="s">
        <v>619</v>
      </c>
      <c r="C2069" t="s">
        <v>594</v>
      </c>
      <c r="D2069" s="19" t="s">
        <v>328</v>
      </c>
      <c r="E2069" s="18" t="s">
        <v>555</v>
      </c>
      <c r="F2069" s="18">
        <v>7</v>
      </c>
      <c r="G2069" s="20">
        <v>7000</v>
      </c>
      <c r="H2069" s="18">
        <v>0</v>
      </c>
      <c r="I2069" s="18">
        <v>413</v>
      </c>
      <c r="J2069" s="8">
        <f t="shared" si="96"/>
        <v>6587</v>
      </c>
      <c r="K2069" s="10">
        <f t="shared" si="97"/>
        <v>0.94099999999999995</v>
      </c>
      <c r="L2069" s="17">
        <f t="shared" si="98"/>
        <v>0</v>
      </c>
      <c r="M2069" t="str">
        <f>VLOOKUP(D2069,'Jer-Tip-Emp'!B:E,4,0)</f>
        <v>Adición</v>
      </c>
      <c r="N2069" t="str">
        <f>VLOOKUP(D2069,'Jer-Tip-Emp'!B:F,5,0)</f>
        <v>Adición</v>
      </c>
      <c r="O2069" t="str">
        <f>VLOOKUP(D2069,'Jer-Tip-Emp'!B:G,6,0)</f>
        <v>Adición</v>
      </c>
    </row>
    <row r="2070" spans="1:15" ht="27.5" customHeight="1" x14ac:dyDescent="0.2">
      <c r="A2070">
        <v>2025</v>
      </c>
      <c r="B2070" t="s">
        <v>619</v>
      </c>
      <c r="C2070" t="s">
        <v>594</v>
      </c>
      <c r="D2070" s="19" t="s">
        <v>294</v>
      </c>
      <c r="E2070" s="18" t="s">
        <v>108</v>
      </c>
      <c r="F2070" s="18">
        <v>7</v>
      </c>
      <c r="G2070" s="20">
        <v>144150</v>
      </c>
      <c r="H2070" s="20">
        <v>-41150</v>
      </c>
      <c r="I2070" s="20">
        <v>57281</v>
      </c>
      <c r="J2070" s="8">
        <f t="shared" si="96"/>
        <v>86869</v>
      </c>
      <c r="K2070" s="10">
        <f t="shared" si="97"/>
        <v>0.60262920568851885</v>
      </c>
      <c r="L2070" s="17">
        <f t="shared" si="98"/>
        <v>0.28546652792230315</v>
      </c>
      <c r="M2070" t="str">
        <f>VLOOKUP(D2070,'Jer-Tip-Emp'!B:E,4,0)</f>
        <v>Mong Express</v>
      </c>
      <c r="N2070" t="str">
        <f>VLOOKUP(D2070,'Jer-Tip-Emp'!B:F,5,0)</f>
        <v>Personal</v>
      </c>
      <c r="O2070" t="str">
        <f>VLOOKUP(D2070,'Jer-Tip-Emp'!B:G,6,0)</f>
        <v>Caja</v>
      </c>
    </row>
    <row r="2071" spans="1:15" ht="27.5" customHeight="1" x14ac:dyDescent="0.2">
      <c r="A2071">
        <v>2025</v>
      </c>
      <c r="B2071" t="s">
        <v>619</v>
      </c>
      <c r="C2071" t="s">
        <v>594</v>
      </c>
      <c r="D2071" s="19" t="s">
        <v>212</v>
      </c>
      <c r="E2071" s="18" t="s">
        <v>160</v>
      </c>
      <c r="F2071" s="18">
        <v>7</v>
      </c>
      <c r="G2071" s="20">
        <v>190400</v>
      </c>
      <c r="H2071" s="20">
        <v>-51900</v>
      </c>
      <c r="I2071" s="20">
        <v>78771</v>
      </c>
      <c r="J2071" s="8">
        <f t="shared" si="96"/>
        <v>111629</v>
      </c>
      <c r="K2071" s="10">
        <f t="shared" si="97"/>
        <v>0.58628676470588237</v>
      </c>
      <c r="L2071" s="17">
        <f t="shared" si="98"/>
        <v>0.27258403361344535</v>
      </c>
      <c r="M2071" t="str">
        <f>VLOOKUP(D2071,'Jer-Tip-Emp'!B:E,4,0)</f>
        <v>Combos personales</v>
      </c>
      <c r="N2071" t="str">
        <f>VLOOKUP(D2071,'Jer-Tip-Emp'!B:F,5,0)</f>
        <v>Personal</v>
      </c>
      <c r="O2071" t="str">
        <f>VLOOKUP(D2071,'Jer-Tip-Emp'!B:G,6,0)</f>
        <v>Combo</v>
      </c>
    </row>
    <row r="2072" spans="1:15" ht="27.5" customHeight="1" x14ac:dyDescent="0.2">
      <c r="A2072">
        <v>2025</v>
      </c>
      <c r="B2072" t="s">
        <v>619</v>
      </c>
      <c r="C2072" t="s">
        <v>594</v>
      </c>
      <c r="D2072" s="19" t="s">
        <v>354</v>
      </c>
      <c r="E2072" s="18" t="s">
        <v>548</v>
      </c>
      <c r="F2072" s="18">
        <v>7</v>
      </c>
      <c r="G2072" s="18">
        <v>0</v>
      </c>
      <c r="H2072" s="18">
        <v>0</v>
      </c>
      <c r="I2072" s="20">
        <v>18438</v>
      </c>
      <c r="J2072" s="8">
        <f t="shared" si="96"/>
        <v>-18438</v>
      </c>
      <c r="K2072" s="10">
        <f t="shared" si="97"/>
        <v>0</v>
      </c>
      <c r="L2072" s="17">
        <f t="shared" si="98"/>
        <v>0</v>
      </c>
      <c r="M2072" t="str">
        <f>VLOOKUP(D2072,'Jer-Tip-Emp'!B:E,4,0)</f>
        <v>Arma tu plato</v>
      </c>
      <c r="N2072" t="str">
        <f>VLOOKUP(D2072,'Jer-Tip-Emp'!B:F,5,0)</f>
        <v>Personal</v>
      </c>
      <c r="O2072" t="str">
        <f>VLOOKUP(D2072,'Jer-Tip-Emp'!B:G,6,0)</f>
        <v>Caja</v>
      </c>
    </row>
    <row r="2073" spans="1:15" ht="27.5" hidden="1" customHeight="1" x14ac:dyDescent="0.2">
      <c r="A2073">
        <v>2025</v>
      </c>
      <c r="B2073" t="s">
        <v>619</v>
      </c>
      <c r="C2073" t="s">
        <v>594</v>
      </c>
      <c r="D2073" s="19" t="s">
        <v>342</v>
      </c>
      <c r="E2073" s="18" t="s">
        <v>556</v>
      </c>
      <c r="F2073" s="18">
        <v>6</v>
      </c>
      <c r="G2073" s="20">
        <v>45600</v>
      </c>
      <c r="H2073" s="18">
        <v>0</v>
      </c>
      <c r="I2073" s="20">
        <v>18648</v>
      </c>
      <c r="J2073" s="8">
        <f t="shared" si="96"/>
        <v>26952</v>
      </c>
      <c r="K2073" s="10">
        <f t="shared" si="97"/>
        <v>0.59105263157894739</v>
      </c>
      <c r="L2073" s="17">
        <f t="shared" si="98"/>
        <v>0</v>
      </c>
      <c r="M2073" t="str">
        <f>VLOOKUP(D2073,'Jer-Tip-Emp'!B:E,4,0)</f>
        <v>Adición</v>
      </c>
      <c r="N2073" t="str">
        <f>VLOOKUP(D2073,'Jer-Tip-Emp'!B:F,5,0)</f>
        <v>Adición</v>
      </c>
      <c r="O2073" t="str">
        <f>VLOOKUP(D2073,'Jer-Tip-Emp'!B:G,6,0)</f>
        <v>Adición</v>
      </c>
    </row>
    <row r="2074" spans="1:15" ht="27.5" hidden="1" customHeight="1" x14ac:dyDescent="0.2">
      <c r="A2074">
        <v>2025</v>
      </c>
      <c r="B2074" t="s">
        <v>619</v>
      </c>
      <c r="C2074" t="s">
        <v>594</v>
      </c>
      <c r="D2074" s="19" t="s">
        <v>176</v>
      </c>
      <c r="E2074" s="18" t="s">
        <v>544</v>
      </c>
      <c r="F2074" s="18">
        <v>5</v>
      </c>
      <c r="G2074" s="20">
        <v>5000</v>
      </c>
      <c r="H2074" s="18">
        <v>0</v>
      </c>
      <c r="I2074" s="20">
        <v>9725</v>
      </c>
      <c r="J2074" s="8">
        <f t="shared" si="96"/>
        <v>-4725</v>
      </c>
      <c r="K2074" s="10">
        <f t="shared" si="97"/>
        <v>-0.94499999999999995</v>
      </c>
      <c r="L2074" s="17">
        <f t="shared" si="98"/>
        <v>0</v>
      </c>
      <c r="M2074" t="str">
        <f>VLOOKUP(D2074,'Jer-Tip-Emp'!B:E,4,0)</f>
        <v>Bebidas</v>
      </c>
      <c r="N2074" t="str">
        <f>VLOOKUP(D2074,'Jer-Tip-Emp'!B:F,5,0)</f>
        <v>Bebidas Cambio de bebida</v>
      </c>
      <c r="O2074" t="str">
        <f>VLOOKUP(D2074,'Jer-Tip-Emp'!B:G,6,0)</f>
        <v>Bebidas</v>
      </c>
    </row>
    <row r="2075" spans="1:15" ht="27.5" customHeight="1" x14ac:dyDescent="0.2">
      <c r="A2075">
        <v>2025</v>
      </c>
      <c r="B2075" t="s">
        <v>619</v>
      </c>
      <c r="C2075" t="s">
        <v>594</v>
      </c>
      <c r="D2075" s="19" t="s">
        <v>333</v>
      </c>
      <c r="E2075" s="18" t="s">
        <v>547</v>
      </c>
      <c r="F2075" s="18">
        <v>5</v>
      </c>
      <c r="G2075" s="18">
        <v>0</v>
      </c>
      <c r="H2075" s="18">
        <v>0</v>
      </c>
      <c r="I2075" s="20">
        <v>16610</v>
      </c>
      <c r="J2075" s="8">
        <f t="shared" si="96"/>
        <v>-16610</v>
      </c>
      <c r="K2075" s="10">
        <f t="shared" si="97"/>
        <v>0</v>
      </c>
      <c r="L2075" s="17">
        <f t="shared" si="98"/>
        <v>0</v>
      </c>
      <c r="M2075" t="str">
        <f>VLOOKUP(D2075,'Jer-Tip-Emp'!B:E,4,0)</f>
        <v>Arma tu plato</v>
      </c>
      <c r="N2075" t="str">
        <f>VLOOKUP(D2075,'Jer-Tip-Emp'!B:F,5,0)</f>
        <v>Personal</v>
      </c>
      <c r="O2075" t="str">
        <f>VLOOKUP(D2075,'Jer-Tip-Emp'!B:G,6,0)</f>
        <v>Caja</v>
      </c>
    </row>
    <row r="2076" spans="1:15" ht="27.5" customHeight="1" x14ac:dyDescent="0.2">
      <c r="A2076">
        <v>2025</v>
      </c>
      <c r="B2076" t="s">
        <v>619</v>
      </c>
      <c r="C2076" t="s">
        <v>594</v>
      </c>
      <c r="D2076" s="19" t="s">
        <v>448</v>
      </c>
      <c r="E2076" s="18" t="s">
        <v>552</v>
      </c>
      <c r="F2076" s="18">
        <v>5</v>
      </c>
      <c r="G2076" s="18">
        <v>0</v>
      </c>
      <c r="H2076" s="18">
        <v>0</v>
      </c>
      <c r="I2076" s="20">
        <v>26315</v>
      </c>
      <c r="J2076" s="8">
        <f t="shared" si="96"/>
        <v>-26315</v>
      </c>
      <c r="K2076" s="10">
        <f t="shared" si="97"/>
        <v>0</v>
      </c>
      <c r="L2076" s="17">
        <f t="shared" si="98"/>
        <v>0</v>
      </c>
      <c r="M2076" t="str">
        <f>VLOOKUP(D2076,'Jer-Tip-Emp'!B:E,4,0)</f>
        <v>Arma tu plato</v>
      </c>
      <c r="N2076" t="str">
        <f>VLOOKUP(D2076,'Jer-Tip-Emp'!B:F,5,0)</f>
        <v>Personal</v>
      </c>
      <c r="O2076" t="str">
        <f>VLOOKUP(D2076,'Jer-Tip-Emp'!B:G,6,0)</f>
        <v>Caja</v>
      </c>
    </row>
    <row r="2077" spans="1:15" ht="27.5" customHeight="1" x14ac:dyDescent="0.2">
      <c r="A2077">
        <v>2025</v>
      </c>
      <c r="B2077" t="s">
        <v>619</v>
      </c>
      <c r="C2077" t="s">
        <v>594</v>
      </c>
      <c r="D2077" s="19" t="s">
        <v>266</v>
      </c>
      <c r="E2077" s="18" t="s">
        <v>85</v>
      </c>
      <c r="F2077" s="18">
        <v>4</v>
      </c>
      <c r="G2077" s="20">
        <v>346800</v>
      </c>
      <c r="H2077" s="20">
        <v>-100800</v>
      </c>
      <c r="I2077" s="20">
        <v>156884</v>
      </c>
      <c r="J2077" s="8">
        <f t="shared" si="96"/>
        <v>189916</v>
      </c>
      <c r="K2077" s="10">
        <f t="shared" si="97"/>
        <v>0.54762399077277968</v>
      </c>
      <c r="L2077" s="17">
        <f t="shared" si="98"/>
        <v>0.29065743944636679</v>
      </c>
      <c r="M2077" t="str">
        <f>VLOOKUP(D2077,'Jer-Tip-Emp'!B:E,4,0)</f>
        <v>Combos para compartir</v>
      </c>
      <c r="N2077" t="str">
        <f>VLOOKUP(D2077,'Jer-Tip-Emp'!B:F,5,0)</f>
        <v>No Personal</v>
      </c>
      <c r="O2077" t="str">
        <f>VLOOKUP(D2077,'Jer-Tip-Emp'!B:G,6,0)</f>
        <v>Combo</v>
      </c>
    </row>
    <row r="2078" spans="1:15" ht="27.5" hidden="1" customHeight="1" x14ac:dyDescent="0.2">
      <c r="A2078">
        <v>2025</v>
      </c>
      <c r="B2078" t="s">
        <v>619</v>
      </c>
      <c r="C2078" t="s">
        <v>594</v>
      </c>
      <c r="D2078" s="19" t="s">
        <v>236</v>
      </c>
      <c r="E2078" s="18" t="s">
        <v>622</v>
      </c>
      <c r="F2078" s="18">
        <v>4</v>
      </c>
      <c r="G2078" s="20">
        <v>8000</v>
      </c>
      <c r="H2078" s="18">
        <v>0</v>
      </c>
      <c r="I2078" s="18">
        <v>0</v>
      </c>
      <c r="J2078" s="8">
        <f t="shared" si="96"/>
        <v>8000</v>
      </c>
      <c r="K2078" s="10">
        <f t="shared" si="97"/>
        <v>1</v>
      </c>
      <c r="L2078" s="17">
        <f t="shared" si="98"/>
        <v>0</v>
      </c>
      <c r="M2078" t="str">
        <f>VLOOKUP(D2078,'Jer-Tip-Emp'!B:E,4,0)</f>
        <v>Otro</v>
      </c>
      <c r="N2078" t="str">
        <f>VLOOKUP(D2078,'Jer-Tip-Emp'!B:F,5,0)</f>
        <v>Otro</v>
      </c>
      <c r="O2078" t="str">
        <f>VLOOKUP(D2078,'Jer-Tip-Emp'!B:G,6,0)</f>
        <v>Otro</v>
      </c>
    </row>
    <row r="2079" spans="1:15" ht="27.5" customHeight="1" x14ac:dyDescent="0.2">
      <c r="A2079">
        <v>2025</v>
      </c>
      <c r="B2079" t="s">
        <v>619</v>
      </c>
      <c r="C2079" t="s">
        <v>594</v>
      </c>
      <c r="D2079" s="19" t="s">
        <v>313</v>
      </c>
      <c r="E2079" s="18" t="s">
        <v>540</v>
      </c>
      <c r="F2079" s="18">
        <v>4</v>
      </c>
      <c r="G2079" s="18">
        <v>0</v>
      </c>
      <c r="H2079" s="18">
        <v>0</v>
      </c>
      <c r="I2079" s="20">
        <v>21964</v>
      </c>
      <c r="J2079" s="8">
        <f t="shared" si="96"/>
        <v>-21964</v>
      </c>
      <c r="K2079" s="10">
        <f t="shared" si="97"/>
        <v>0</v>
      </c>
      <c r="L2079" s="17">
        <f t="shared" si="98"/>
        <v>0</v>
      </c>
      <c r="M2079" t="str">
        <f>VLOOKUP(D2079,'Jer-Tip-Emp'!B:E,4,0)</f>
        <v>Arma tu plato</v>
      </c>
      <c r="N2079" t="str">
        <f>VLOOKUP(D2079,'Jer-Tip-Emp'!B:F,5,0)</f>
        <v>Personal</v>
      </c>
      <c r="O2079" t="str">
        <f>VLOOKUP(D2079,'Jer-Tip-Emp'!B:G,6,0)</f>
        <v>Caja</v>
      </c>
    </row>
    <row r="2080" spans="1:15" ht="27.5" customHeight="1" x14ac:dyDescent="0.2">
      <c r="A2080">
        <v>2025</v>
      </c>
      <c r="B2080" t="s">
        <v>619</v>
      </c>
      <c r="C2080" t="s">
        <v>594</v>
      </c>
      <c r="D2080" s="19" t="s">
        <v>389</v>
      </c>
      <c r="E2080" s="18" t="s">
        <v>541</v>
      </c>
      <c r="F2080" s="18">
        <v>4</v>
      </c>
      <c r="G2080" s="18">
        <v>0</v>
      </c>
      <c r="H2080" s="18">
        <v>0</v>
      </c>
      <c r="I2080" s="20">
        <v>21868</v>
      </c>
      <c r="J2080" s="8">
        <f t="shared" si="96"/>
        <v>-21868</v>
      </c>
      <c r="K2080" s="10">
        <f t="shared" si="97"/>
        <v>0</v>
      </c>
      <c r="L2080" s="17">
        <f t="shared" si="98"/>
        <v>0</v>
      </c>
      <c r="M2080" t="str">
        <f>VLOOKUP(D2080,'Jer-Tip-Emp'!B:E,4,0)</f>
        <v>Arma tu plato</v>
      </c>
      <c r="N2080" t="str">
        <f>VLOOKUP(D2080,'Jer-Tip-Emp'!B:F,5,0)</f>
        <v>Personal</v>
      </c>
      <c r="O2080" t="str">
        <f>VLOOKUP(D2080,'Jer-Tip-Emp'!B:G,6,0)</f>
        <v>Caja</v>
      </c>
    </row>
    <row r="2081" spans="1:15" ht="27.5" hidden="1" customHeight="1" x14ac:dyDescent="0.2">
      <c r="A2081">
        <v>2025</v>
      </c>
      <c r="B2081" t="s">
        <v>619</v>
      </c>
      <c r="C2081" t="s">
        <v>594</v>
      </c>
      <c r="D2081" s="19" t="s">
        <v>284</v>
      </c>
      <c r="E2081" s="18" t="s">
        <v>106</v>
      </c>
      <c r="F2081" s="18">
        <v>3</v>
      </c>
      <c r="G2081" s="20">
        <v>38700</v>
      </c>
      <c r="H2081" s="18">
        <v>0</v>
      </c>
      <c r="I2081" s="20">
        <v>9417</v>
      </c>
      <c r="J2081" s="8">
        <f t="shared" si="96"/>
        <v>29283</v>
      </c>
      <c r="K2081" s="10">
        <f t="shared" si="97"/>
        <v>0.75666666666666671</v>
      </c>
      <c r="L2081" s="17">
        <f t="shared" si="98"/>
        <v>0</v>
      </c>
      <c r="M2081" t="str">
        <f>VLOOKUP(D2081,'Jer-Tip-Emp'!B:E,4,0)</f>
        <v>Entradas</v>
      </c>
      <c r="N2081" t="str">
        <f>VLOOKUP(D2081,'Jer-Tip-Emp'!B:F,5,0)</f>
        <v>Otro</v>
      </c>
      <c r="O2081" t="str">
        <f>VLOOKUP(D2081,'Jer-Tip-Emp'!B:G,6,0)</f>
        <v>Otro</v>
      </c>
    </row>
    <row r="2082" spans="1:15" ht="27.5" hidden="1" customHeight="1" x14ac:dyDescent="0.2">
      <c r="A2082">
        <v>2025</v>
      </c>
      <c r="B2082" t="s">
        <v>619</v>
      </c>
      <c r="C2082" t="s">
        <v>594</v>
      </c>
      <c r="D2082" s="19" t="s">
        <v>410</v>
      </c>
      <c r="E2082" s="18" t="s">
        <v>559</v>
      </c>
      <c r="F2082" s="18">
        <v>3</v>
      </c>
      <c r="G2082" s="20">
        <v>7800</v>
      </c>
      <c r="H2082" s="18">
        <v>0</v>
      </c>
      <c r="I2082" s="20">
        <v>6705</v>
      </c>
      <c r="J2082" s="8">
        <f t="shared" si="96"/>
        <v>1095</v>
      </c>
      <c r="K2082" s="10">
        <f t="shared" si="97"/>
        <v>0.14038461538461539</v>
      </c>
      <c r="L2082" s="17">
        <f t="shared" si="98"/>
        <v>0</v>
      </c>
      <c r="M2082" t="str">
        <f>VLOOKUP(D2082,'Jer-Tip-Emp'!B:E,4,0)</f>
        <v>Bebidas</v>
      </c>
      <c r="N2082" t="str">
        <f>VLOOKUP(D2082,'Jer-Tip-Emp'!B:F,5,0)</f>
        <v>Bebidas Cambio de bebida</v>
      </c>
      <c r="O2082" t="str">
        <f>VLOOKUP(D2082,'Jer-Tip-Emp'!B:G,6,0)</f>
        <v>Bebidas</v>
      </c>
    </row>
    <row r="2083" spans="1:15" ht="27.5" hidden="1" customHeight="1" x14ac:dyDescent="0.2">
      <c r="A2083">
        <v>2025</v>
      </c>
      <c r="B2083" t="s">
        <v>619</v>
      </c>
      <c r="C2083" t="s">
        <v>594</v>
      </c>
      <c r="D2083" s="19" t="s">
        <v>367</v>
      </c>
      <c r="E2083" s="18" t="s">
        <v>566</v>
      </c>
      <c r="F2083" s="18">
        <v>3</v>
      </c>
      <c r="G2083" s="20">
        <v>3000</v>
      </c>
      <c r="H2083" s="18">
        <v>0</v>
      </c>
      <c r="I2083" s="18">
        <v>0</v>
      </c>
      <c r="J2083" s="8">
        <f t="shared" si="96"/>
        <v>3000</v>
      </c>
      <c r="K2083" s="10">
        <f t="shared" si="97"/>
        <v>1</v>
      </c>
      <c r="L2083" s="17">
        <f t="shared" si="98"/>
        <v>0</v>
      </c>
      <c r="M2083" t="str">
        <f>VLOOKUP(D2083,'Jer-Tip-Emp'!B:E,4,0)</f>
        <v>Adición</v>
      </c>
      <c r="N2083" t="str">
        <f>VLOOKUP(D2083,'Jer-Tip-Emp'!B:F,5,0)</f>
        <v>Adición</v>
      </c>
      <c r="O2083" t="str">
        <f>VLOOKUP(D2083,'Jer-Tip-Emp'!B:G,6,0)</f>
        <v>Adición</v>
      </c>
    </row>
    <row r="2084" spans="1:15" ht="27.5" hidden="1" customHeight="1" x14ac:dyDescent="0.2">
      <c r="A2084">
        <v>2025</v>
      </c>
      <c r="B2084" t="s">
        <v>619</v>
      </c>
      <c r="C2084" t="s">
        <v>594</v>
      </c>
      <c r="D2084" s="19" t="s">
        <v>189</v>
      </c>
      <c r="E2084" s="18" t="s">
        <v>21</v>
      </c>
      <c r="F2084" s="18">
        <v>3</v>
      </c>
      <c r="G2084" s="20">
        <v>23700</v>
      </c>
      <c r="H2084" s="18">
        <v>0</v>
      </c>
      <c r="I2084" s="20">
        <v>7392</v>
      </c>
      <c r="J2084" s="8">
        <f t="shared" si="96"/>
        <v>16308</v>
      </c>
      <c r="K2084" s="10">
        <f t="shared" si="97"/>
        <v>0.68810126582278486</v>
      </c>
      <c r="L2084" s="17">
        <f t="shared" si="98"/>
        <v>0</v>
      </c>
      <c r="M2084" t="str">
        <f>VLOOKUP(D2084,'Jer-Tip-Emp'!B:E,4,0)</f>
        <v>Adición</v>
      </c>
      <c r="N2084" t="str">
        <f>VLOOKUP(D2084,'Jer-Tip-Emp'!B:F,5,0)</f>
        <v>Adición</v>
      </c>
      <c r="O2084" t="str">
        <f>VLOOKUP(D2084,'Jer-Tip-Emp'!B:G,6,0)</f>
        <v>Adición</v>
      </c>
    </row>
    <row r="2085" spans="1:15" ht="27.5" customHeight="1" x14ac:dyDescent="0.2">
      <c r="A2085">
        <v>2025</v>
      </c>
      <c r="B2085" t="s">
        <v>619</v>
      </c>
      <c r="C2085" t="s">
        <v>594</v>
      </c>
      <c r="D2085" s="19" t="s">
        <v>214</v>
      </c>
      <c r="E2085" s="18" t="s">
        <v>81</v>
      </c>
      <c r="F2085" s="18">
        <v>3</v>
      </c>
      <c r="G2085" s="20">
        <v>184050</v>
      </c>
      <c r="H2085" s="20">
        <v>-50650</v>
      </c>
      <c r="I2085" s="20">
        <v>70914</v>
      </c>
      <c r="J2085" s="8">
        <f t="shared" si="96"/>
        <v>113136</v>
      </c>
      <c r="K2085" s="10">
        <f t="shared" si="97"/>
        <v>0.61470252648736756</v>
      </c>
      <c r="L2085" s="17">
        <f t="shared" si="98"/>
        <v>0.2751969573485466</v>
      </c>
      <c r="M2085" t="str">
        <f>VLOOKUP(D2085,'Jer-Tip-Emp'!B:E,4,0)</f>
        <v>Combos para compartir</v>
      </c>
      <c r="N2085" t="str">
        <f>VLOOKUP(D2085,'Jer-Tip-Emp'!B:F,5,0)</f>
        <v>No Personal</v>
      </c>
      <c r="O2085" t="str">
        <f>VLOOKUP(D2085,'Jer-Tip-Emp'!B:G,6,0)</f>
        <v>Combo</v>
      </c>
    </row>
    <row r="2086" spans="1:15" ht="27.5" customHeight="1" x14ac:dyDescent="0.2">
      <c r="A2086">
        <v>2025</v>
      </c>
      <c r="B2086" t="s">
        <v>619</v>
      </c>
      <c r="C2086" t="s">
        <v>594</v>
      </c>
      <c r="D2086" s="19" t="s">
        <v>322</v>
      </c>
      <c r="E2086" s="18" t="s">
        <v>545</v>
      </c>
      <c r="F2086" s="18">
        <v>3</v>
      </c>
      <c r="G2086" s="20">
        <v>6000</v>
      </c>
      <c r="H2086" s="18">
        <v>0</v>
      </c>
      <c r="I2086" s="20">
        <v>9324</v>
      </c>
      <c r="J2086" s="8">
        <f t="shared" si="96"/>
        <v>-3324</v>
      </c>
      <c r="K2086" s="10">
        <f t="shared" si="97"/>
        <v>-0.55400000000000005</v>
      </c>
      <c r="L2086" s="17">
        <f t="shared" si="98"/>
        <v>0</v>
      </c>
      <c r="M2086" t="str">
        <f>VLOOKUP(D2086,'Jer-Tip-Emp'!B:E,4,0)</f>
        <v>Arma tu plato</v>
      </c>
      <c r="N2086" t="str">
        <f>VLOOKUP(D2086,'Jer-Tip-Emp'!B:F,5,0)</f>
        <v>Personal</v>
      </c>
      <c r="O2086" t="str">
        <f>VLOOKUP(D2086,'Jer-Tip-Emp'!B:G,6,0)</f>
        <v>Caja</v>
      </c>
    </row>
    <row r="2087" spans="1:15" ht="27.5" hidden="1" customHeight="1" x14ac:dyDescent="0.2">
      <c r="A2087">
        <v>2025</v>
      </c>
      <c r="B2087" t="s">
        <v>619</v>
      </c>
      <c r="C2087" t="s">
        <v>594</v>
      </c>
      <c r="D2087" s="19" t="s">
        <v>360</v>
      </c>
      <c r="E2087" s="18" t="s">
        <v>620</v>
      </c>
      <c r="F2087" s="18">
        <v>3</v>
      </c>
      <c r="G2087" s="20">
        <v>13500</v>
      </c>
      <c r="H2087" s="18">
        <v>0</v>
      </c>
      <c r="I2087" s="20">
        <v>4707</v>
      </c>
      <c r="J2087" s="8">
        <f t="shared" si="96"/>
        <v>8793</v>
      </c>
      <c r="K2087" s="10">
        <f t="shared" si="97"/>
        <v>0.65133333333333332</v>
      </c>
      <c r="L2087" s="17">
        <f t="shared" si="98"/>
        <v>0</v>
      </c>
      <c r="M2087" t="str">
        <f>VLOOKUP(D2087,'Jer-Tip-Emp'!B:E,4,0)</f>
        <v>Adición</v>
      </c>
      <c r="N2087" t="str">
        <f>VLOOKUP(D2087,'Jer-Tip-Emp'!B:F,5,0)</f>
        <v>Adición</v>
      </c>
      <c r="O2087" t="str">
        <f>VLOOKUP(D2087,'Jer-Tip-Emp'!B:G,6,0)</f>
        <v>Adición</v>
      </c>
    </row>
    <row r="2088" spans="1:15" ht="27.5" hidden="1" customHeight="1" x14ac:dyDescent="0.2">
      <c r="A2088">
        <v>2025</v>
      </c>
      <c r="B2088" t="s">
        <v>619</v>
      </c>
      <c r="C2088" t="s">
        <v>594</v>
      </c>
      <c r="D2088" s="19" t="s">
        <v>418</v>
      </c>
      <c r="E2088" s="18" t="s">
        <v>557</v>
      </c>
      <c r="F2088" s="18">
        <v>3</v>
      </c>
      <c r="G2088" s="20">
        <v>3000</v>
      </c>
      <c r="H2088" s="18">
        <v>0</v>
      </c>
      <c r="I2088" s="18">
        <v>0</v>
      </c>
      <c r="J2088" s="8">
        <f t="shared" si="96"/>
        <v>3000</v>
      </c>
      <c r="K2088" s="10">
        <f t="shared" si="97"/>
        <v>1</v>
      </c>
      <c r="L2088" s="17">
        <f t="shared" si="98"/>
        <v>0</v>
      </c>
      <c r="M2088" t="str">
        <f>VLOOKUP(D2088,'Jer-Tip-Emp'!B:E,4,0)</f>
        <v>Adición</v>
      </c>
      <c r="N2088" t="str">
        <f>VLOOKUP(D2088,'Jer-Tip-Emp'!B:F,5,0)</f>
        <v>Adición</v>
      </c>
      <c r="O2088" t="str">
        <f>VLOOKUP(D2088,'Jer-Tip-Emp'!B:G,6,0)</f>
        <v>Adición</v>
      </c>
    </row>
    <row r="2089" spans="1:15" ht="27.5" hidden="1" customHeight="1" x14ac:dyDescent="0.2">
      <c r="A2089">
        <v>2025</v>
      </c>
      <c r="B2089" t="s">
        <v>619</v>
      </c>
      <c r="C2089" t="s">
        <v>594</v>
      </c>
      <c r="D2089" s="19" t="s">
        <v>461</v>
      </c>
      <c r="E2089" s="18" t="s">
        <v>571</v>
      </c>
      <c r="F2089" s="18">
        <v>2</v>
      </c>
      <c r="G2089" s="20">
        <v>4000</v>
      </c>
      <c r="H2089" s="18">
        <v>0</v>
      </c>
      <c r="I2089" s="20">
        <v>1900</v>
      </c>
      <c r="J2089" s="8">
        <f t="shared" si="96"/>
        <v>2100</v>
      </c>
      <c r="K2089" s="10">
        <f t="shared" si="97"/>
        <v>0.52500000000000002</v>
      </c>
      <c r="L2089" s="17">
        <f t="shared" si="98"/>
        <v>0</v>
      </c>
      <c r="M2089" t="str">
        <f>VLOOKUP(D2089,'Jer-Tip-Emp'!B:E,4,0)</f>
        <v>Bebidas</v>
      </c>
      <c r="N2089" t="str">
        <f>VLOOKUP(D2089,'Jer-Tip-Emp'!B:F,5,0)</f>
        <v>Bebidas Cambio de bebida</v>
      </c>
      <c r="O2089" t="str">
        <f>VLOOKUP(D2089,'Jer-Tip-Emp'!B:G,6,0)</f>
        <v>Bebidas</v>
      </c>
    </row>
    <row r="2090" spans="1:15" ht="27.5" hidden="1" customHeight="1" x14ac:dyDescent="0.2">
      <c r="A2090">
        <v>2025</v>
      </c>
      <c r="B2090" t="s">
        <v>619</v>
      </c>
      <c r="C2090" t="s">
        <v>594</v>
      </c>
      <c r="D2090" s="19" t="s">
        <v>452</v>
      </c>
      <c r="E2090" s="18" t="s">
        <v>573</v>
      </c>
      <c r="F2090" s="18">
        <v>2</v>
      </c>
      <c r="G2090" s="20">
        <v>4000</v>
      </c>
      <c r="H2090" s="18">
        <v>0</v>
      </c>
      <c r="I2090" s="20">
        <v>3748</v>
      </c>
      <c r="J2090" s="8">
        <f t="shared" si="96"/>
        <v>252</v>
      </c>
      <c r="K2090" s="10">
        <f t="shared" si="97"/>
        <v>6.3E-2</v>
      </c>
      <c r="L2090" s="17">
        <f t="shared" si="98"/>
        <v>0</v>
      </c>
      <c r="M2090" t="str">
        <f>VLOOKUP(D2090,'Jer-Tip-Emp'!B:E,4,0)</f>
        <v>Bebidas</v>
      </c>
      <c r="N2090" t="str">
        <f>VLOOKUP(D2090,'Jer-Tip-Emp'!B:F,5,0)</f>
        <v>Bebidas Cambio de bebida</v>
      </c>
      <c r="O2090" t="str">
        <f>VLOOKUP(D2090,'Jer-Tip-Emp'!B:G,6,0)</f>
        <v>Bebidas</v>
      </c>
    </row>
    <row r="2091" spans="1:15" ht="27.5" customHeight="1" x14ac:dyDescent="0.2">
      <c r="A2091">
        <v>2025</v>
      </c>
      <c r="B2091" t="s">
        <v>619</v>
      </c>
      <c r="C2091" t="s">
        <v>594</v>
      </c>
      <c r="D2091" s="19" t="s">
        <v>470</v>
      </c>
      <c r="E2091" s="18" t="s">
        <v>550</v>
      </c>
      <c r="F2091" s="18">
        <v>2</v>
      </c>
      <c r="G2091" s="18">
        <v>0</v>
      </c>
      <c r="H2091" s="18">
        <v>0</v>
      </c>
      <c r="I2091" s="20">
        <v>6194</v>
      </c>
      <c r="J2091" s="8">
        <f t="shared" si="96"/>
        <v>-6194</v>
      </c>
      <c r="K2091" s="10">
        <f t="shared" si="97"/>
        <v>0</v>
      </c>
      <c r="L2091" s="17">
        <f t="shared" si="98"/>
        <v>0</v>
      </c>
      <c r="M2091" t="str">
        <f>VLOOKUP(D2091,'Jer-Tip-Emp'!B:E,4,0)</f>
        <v>Arma tu plato</v>
      </c>
      <c r="N2091" t="str">
        <f>VLOOKUP(D2091,'Jer-Tip-Emp'!B:F,5,0)</f>
        <v>Personal</v>
      </c>
      <c r="O2091" t="str">
        <f>VLOOKUP(D2091,'Jer-Tip-Emp'!B:G,6,0)</f>
        <v>Caja</v>
      </c>
    </row>
    <row r="2092" spans="1:15" ht="27.5" customHeight="1" x14ac:dyDescent="0.2">
      <c r="A2092">
        <v>2025</v>
      </c>
      <c r="B2092" t="s">
        <v>619</v>
      </c>
      <c r="C2092" t="s">
        <v>594</v>
      </c>
      <c r="D2092" s="19" t="s">
        <v>376</v>
      </c>
      <c r="E2092" s="18" t="s">
        <v>543</v>
      </c>
      <c r="F2092" s="18">
        <v>2</v>
      </c>
      <c r="G2092" s="18">
        <v>0</v>
      </c>
      <c r="H2092" s="18">
        <v>0</v>
      </c>
      <c r="I2092" s="20">
        <v>2564</v>
      </c>
      <c r="J2092" s="8">
        <f t="shared" si="96"/>
        <v>-2564</v>
      </c>
      <c r="K2092" s="10">
        <f t="shared" si="97"/>
        <v>0</v>
      </c>
      <c r="L2092" s="17">
        <f t="shared" si="98"/>
        <v>0</v>
      </c>
      <c r="M2092" t="str">
        <f>VLOOKUP(D2092,'Jer-Tip-Emp'!B:E,4,0)</f>
        <v>Arma tu plato</v>
      </c>
      <c r="N2092" t="str">
        <f>VLOOKUP(D2092,'Jer-Tip-Emp'!B:F,5,0)</f>
        <v>Personal</v>
      </c>
      <c r="O2092" t="str">
        <f>VLOOKUP(D2092,'Jer-Tip-Emp'!B:G,6,0)</f>
        <v>Caja</v>
      </c>
    </row>
    <row r="2093" spans="1:15" ht="27.5" hidden="1" customHeight="1" x14ac:dyDescent="0.2">
      <c r="A2093">
        <v>2025</v>
      </c>
      <c r="B2093" t="s">
        <v>619</v>
      </c>
      <c r="C2093" t="s">
        <v>594</v>
      </c>
      <c r="D2093" s="19" t="s">
        <v>457</v>
      </c>
      <c r="E2093" s="18" t="s">
        <v>602</v>
      </c>
      <c r="F2093" s="18">
        <v>2</v>
      </c>
      <c r="G2093" s="20">
        <v>13400</v>
      </c>
      <c r="H2093" s="18">
        <v>0</v>
      </c>
      <c r="I2093" s="18">
        <v>14</v>
      </c>
      <c r="J2093" s="8">
        <f t="shared" si="96"/>
        <v>13386</v>
      </c>
      <c r="K2093" s="10">
        <f t="shared" si="97"/>
        <v>0.99895522388059699</v>
      </c>
      <c r="L2093" s="17">
        <f t="shared" si="98"/>
        <v>0</v>
      </c>
      <c r="M2093" t="str">
        <f>VLOOKUP(D2093,'Jer-Tip-Emp'!B:E,4,0)</f>
        <v>Adición</v>
      </c>
      <c r="N2093" t="str">
        <f>VLOOKUP(D2093,'Jer-Tip-Emp'!B:F,5,0)</f>
        <v>Adición</v>
      </c>
      <c r="O2093" t="str">
        <f>VLOOKUP(D2093,'Jer-Tip-Emp'!B:G,6,0)</f>
        <v>Adición</v>
      </c>
    </row>
    <row r="2094" spans="1:15" ht="27.5" customHeight="1" x14ac:dyDescent="0.2">
      <c r="A2094">
        <v>2025</v>
      </c>
      <c r="B2094" t="s">
        <v>619</v>
      </c>
      <c r="C2094" t="s">
        <v>594</v>
      </c>
      <c r="D2094" s="19" t="s">
        <v>206</v>
      </c>
      <c r="E2094" s="18" t="s">
        <v>117</v>
      </c>
      <c r="F2094" s="18">
        <v>2</v>
      </c>
      <c r="G2094" s="20">
        <v>39800</v>
      </c>
      <c r="H2094" s="18">
        <v>0</v>
      </c>
      <c r="I2094" s="20">
        <v>14250</v>
      </c>
      <c r="J2094" s="8">
        <f t="shared" si="96"/>
        <v>25550</v>
      </c>
      <c r="K2094" s="10">
        <f t="shared" si="97"/>
        <v>0.64195979899497491</v>
      </c>
      <c r="L2094" s="17">
        <f t="shared" si="98"/>
        <v>0</v>
      </c>
      <c r="M2094" t="str">
        <f>VLOOKUP(D2094,'Jer-Tip-Emp'!B:E,4,0)</f>
        <v>Platos especiales</v>
      </c>
      <c r="N2094" t="str">
        <f>VLOOKUP(D2094,'Jer-Tip-Emp'!B:F,5,0)</f>
        <v>Personal</v>
      </c>
      <c r="O2094" t="str">
        <f>VLOOKUP(D2094,'Jer-Tip-Emp'!B:G,6,0)</f>
        <v>Platos especiales</v>
      </c>
    </row>
    <row r="2095" spans="1:15" ht="27.5" customHeight="1" x14ac:dyDescent="0.2">
      <c r="A2095">
        <v>2025</v>
      </c>
      <c r="B2095" t="s">
        <v>619</v>
      </c>
      <c r="C2095" t="s">
        <v>594</v>
      </c>
      <c r="D2095" s="19" t="s">
        <v>474</v>
      </c>
      <c r="E2095" s="18" t="s">
        <v>553</v>
      </c>
      <c r="F2095" s="18">
        <v>1</v>
      </c>
      <c r="G2095" s="18">
        <v>0</v>
      </c>
      <c r="H2095" s="18">
        <v>0</v>
      </c>
      <c r="I2095" s="20">
        <v>2849</v>
      </c>
      <c r="J2095" s="8">
        <f t="shared" si="96"/>
        <v>-2849</v>
      </c>
      <c r="K2095" s="10">
        <f t="shared" si="97"/>
        <v>0</v>
      </c>
      <c r="L2095" s="17">
        <f t="shared" si="98"/>
        <v>0</v>
      </c>
      <c r="M2095" t="str">
        <f>VLOOKUP(D2095,'Jer-Tip-Emp'!B:E,4,0)</f>
        <v>Arma tu plato</v>
      </c>
      <c r="N2095" t="str">
        <f>VLOOKUP(D2095,'Jer-Tip-Emp'!B:F,5,0)</f>
        <v>Personal</v>
      </c>
      <c r="O2095" t="str">
        <f>VLOOKUP(D2095,'Jer-Tip-Emp'!B:G,6,0)</f>
        <v>Caja</v>
      </c>
    </row>
    <row r="2096" spans="1:15" ht="27.5" hidden="1" customHeight="1" x14ac:dyDescent="0.2">
      <c r="A2096">
        <v>2025</v>
      </c>
      <c r="B2096" t="s">
        <v>619</v>
      </c>
      <c r="C2096" t="s">
        <v>594</v>
      </c>
      <c r="D2096" s="19" t="s">
        <v>218</v>
      </c>
      <c r="E2096" s="18" t="s">
        <v>33</v>
      </c>
      <c r="F2096" s="18">
        <v>1</v>
      </c>
      <c r="G2096" s="20">
        <v>9900</v>
      </c>
      <c r="H2096" s="18">
        <v>0</v>
      </c>
      <c r="I2096" s="18">
        <v>0</v>
      </c>
      <c r="J2096" s="8">
        <f t="shared" si="96"/>
        <v>9900</v>
      </c>
      <c r="K2096" s="10">
        <f t="shared" si="97"/>
        <v>1</v>
      </c>
      <c r="L2096" s="17">
        <f t="shared" si="98"/>
        <v>0</v>
      </c>
      <c r="M2096" t="str">
        <f>VLOOKUP(D2096,'Jer-Tip-Emp'!B:E,4,0)</f>
        <v>Adición</v>
      </c>
      <c r="N2096" t="str">
        <f>VLOOKUP(D2096,'Jer-Tip-Emp'!B:F,5,0)</f>
        <v>Adición</v>
      </c>
      <c r="O2096" t="str">
        <f>VLOOKUP(D2096,'Jer-Tip-Emp'!B:G,6,0)</f>
        <v>Adición</v>
      </c>
    </row>
    <row r="2097" spans="1:15" ht="27.5" hidden="1" customHeight="1" x14ac:dyDescent="0.2">
      <c r="A2097">
        <v>2025</v>
      </c>
      <c r="B2097" t="s">
        <v>619</v>
      </c>
      <c r="C2097" t="s">
        <v>594</v>
      </c>
      <c r="D2097" s="19" t="s">
        <v>282</v>
      </c>
      <c r="E2097" s="18" t="s">
        <v>19</v>
      </c>
      <c r="F2097" s="18">
        <v>1</v>
      </c>
      <c r="G2097" s="20">
        <v>7900</v>
      </c>
      <c r="H2097" s="18">
        <v>0</v>
      </c>
      <c r="I2097" s="20">
        <v>4098</v>
      </c>
      <c r="J2097" s="8">
        <f t="shared" si="96"/>
        <v>3802</v>
      </c>
      <c r="K2097" s="10">
        <f t="shared" si="97"/>
        <v>0.48126582278481012</v>
      </c>
      <c r="L2097" s="17">
        <f t="shared" si="98"/>
        <v>0</v>
      </c>
      <c r="M2097" t="str">
        <f>VLOOKUP(D2097,'Jer-Tip-Emp'!B:E,4,0)</f>
        <v>Adición</v>
      </c>
      <c r="N2097" t="str">
        <f>VLOOKUP(D2097,'Jer-Tip-Emp'!B:F,5,0)</f>
        <v>Adición</v>
      </c>
      <c r="O2097" t="str">
        <f>VLOOKUP(D2097,'Jer-Tip-Emp'!B:G,6,0)</f>
        <v>Adición</v>
      </c>
    </row>
    <row r="2098" spans="1:15" ht="27.5" customHeight="1" x14ac:dyDescent="0.2">
      <c r="A2098">
        <v>2025</v>
      </c>
      <c r="B2098" t="s">
        <v>619</v>
      </c>
      <c r="C2098" t="s">
        <v>594</v>
      </c>
      <c r="D2098" s="19" t="s">
        <v>290</v>
      </c>
      <c r="E2098" s="18" t="s">
        <v>86</v>
      </c>
      <c r="F2098" s="18">
        <v>1</v>
      </c>
      <c r="G2098" s="20">
        <v>104700</v>
      </c>
      <c r="H2098" s="20">
        <v>-26200</v>
      </c>
      <c r="I2098" s="20">
        <v>46780</v>
      </c>
      <c r="J2098" s="8">
        <f t="shared" si="96"/>
        <v>57920</v>
      </c>
      <c r="K2098" s="10">
        <f t="shared" si="97"/>
        <v>0.55319961795606498</v>
      </c>
      <c r="L2098" s="17">
        <f t="shared" si="98"/>
        <v>0.25023877745940781</v>
      </c>
      <c r="M2098" t="str">
        <f>VLOOKUP(D2098,'Jer-Tip-Emp'!B:E,4,0)</f>
        <v>Combos para compartir</v>
      </c>
      <c r="N2098" t="str">
        <f>VLOOKUP(D2098,'Jer-Tip-Emp'!B:F,5,0)</f>
        <v>No Personal</v>
      </c>
      <c r="O2098" t="str">
        <f>VLOOKUP(D2098,'Jer-Tip-Emp'!B:G,6,0)</f>
        <v>Combo</v>
      </c>
    </row>
    <row r="2099" spans="1:15" ht="27.5" hidden="1" customHeight="1" x14ac:dyDescent="0.2">
      <c r="A2099">
        <v>2025</v>
      </c>
      <c r="B2099" t="s">
        <v>619</v>
      </c>
      <c r="C2099" t="s">
        <v>594</v>
      </c>
      <c r="D2099" s="19" t="s">
        <v>400</v>
      </c>
      <c r="E2099" s="18" t="s">
        <v>564</v>
      </c>
      <c r="F2099" s="18">
        <v>1</v>
      </c>
      <c r="G2099" s="20">
        <v>4800</v>
      </c>
      <c r="H2099" s="18">
        <v>0</v>
      </c>
      <c r="I2099" s="20">
        <v>1282</v>
      </c>
      <c r="J2099" s="8">
        <f t="shared" si="96"/>
        <v>3518</v>
      </c>
      <c r="K2099" s="10">
        <f t="shared" si="97"/>
        <v>0.73291666666666666</v>
      </c>
      <c r="L2099" s="17">
        <f t="shared" si="98"/>
        <v>0</v>
      </c>
      <c r="M2099" t="str">
        <f>VLOOKUP(D2099,'Jer-Tip-Emp'!B:E,4,0)</f>
        <v>Adición</v>
      </c>
      <c r="N2099" t="str">
        <f>VLOOKUP(D2099,'Jer-Tip-Emp'!B:F,5,0)</f>
        <v>Adición</v>
      </c>
      <c r="O2099" t="str">
        <f>VLOOKUP(D2099,'Jer-Tip-Emp'!B:G,6,0)</f>
        <v>Adición</v>
      </c>
    </row>
    <row r="2100" spans="1:15" ht="27.5" customHeight="1" x14ac:dyDescent="0.2">
      <c r="A2100">
        <v>2025</v>
      </c>
      <c r="B2100" t="s">
        <v>619</v>
      </c>
      <c r="C2100" t="s">
        <v>594</v>
      </c>
      <c r="D2100" s="19" t="s">
        <v>213</v>
      </c>
      <c r="E2100" s="18" t="s">
        <v>101</v>
      </c>
      <c r="F2100" s="18">
        <v>1</v>
      </c>
      <c r="G2100" s="20">
        <v>39900</v>
      </c>
      <c r="H2100" s="18">
        <v>0</v>
      </c>
      <c r="I2100" s="20">
        <v>32801</v>
      </c>
      <c r="J2100" s="8">
        <f t="shared" si="96"/>
        <v>7099</v>
      </c>
      <c r="K2100" s="10">
        <f t="shared" si="97"/>
        <v>0.17791979949874687</v>
      </c>
      <c r="L2100" s="17">
        <f t="shared" si="98"/>
        <v>0</v>
      </c>
      <c r="M2100" t="str">
        <f>VLOOKUP(D2100,'Jer-Tip-Emp'!B:E,4,0)</f>
        <v>Combos personales</v>
      </c>
      <c r="N2100" t="str">
        <f>VLOOKUP(D2100,'Jer-Tip-Emp'!B:F,5,0)</f>
        <v>Personal</v>
      </c>
      <c r="O2100" t="str">
        <f>VLOOKUP(D2100,'Jer-Tip-Emp'!B:G,6,0)</f>
        <v>Combo</v>
      </c>
    </row>
    <row r="2101" spans="1:15" ht="27.5" hidden="1" customHeight="1" x14ac:dyDescent="0.2">
      <c r="A2101">
        <v>2025</v>
      </c>
      <c r="B2101" t="s">
        <v>619</v>
      </c>
      <c r="C2101" t="s">
        <v>594</v>
      </c>
      <c r="D2101" s="19" t="s">
        <v>426</v>
      </c>
      <c r="E2101" s="18" t="s">
        <v>561</v>
      </c>
      <c r="F2101" s="18">
        <v>1</v>
      </c>
      <c r="G2101" s="20">
        <v>2000</v>
      </c>
      <c r="H2101" s="18">
        <v>0</v>
      </c>
      <c r="I2101" s="20">
        <v>1516</v>
      </c>
      <c r="J2101" s="8">
        <f t="shared" si="96"/>
        <v>484</v>
      </c>
      <c r="K2101" s="10">
        <f t="shared" si="97"/>
        <v>0.24199999999999999</v>
      </c>
      <c r="L2101" s="17">
        <f t="shared" si="98"/>
        <v>0</v>
      </c>
      <c r="M2101" t="str">
        <f>VLOOKUP(D2101,'Jer-Tip-Emp'!B:E,4,0)</f>
        <v>Bebidas</v>
      </c>
      <c r="N2101" t="str">
        <f>VLOOKUP(D2101,'Jer-Tip-Emp'!B:F,5,0)</f>
        <v>Bebidas Cambio de bebida</v>
      </c>
      <c r="O2101" t="str">
        <f>VLOOKUP(D2101,'Jer-Tip-Emp'!B:G,6,0)</f>
        <v>Bebidas</v>
      </c>
    </row>
    <row r="2102" spans="1:15" ht="27.5" hidden="1" customHeight="1" x14ac:dyDescent="0.2">
      <c r="A2102">
        <v>2025</v>
      </c>
      <c r="B2102" t="s">
        <v>619</v>
      </c>
      <c r="C2102" t="s">
        <v>594</v>
      </c>
      <c r="D2102" s="19" t="s">
        <v>350</v>
      </c>
      <c r="E2102" s="18" t="s">
        <v>66</v>
      </c>
      <c r="F2102" s="18">
        <v>1</v>
      </c>
      <c r="G2102" s="20">
        <v>4900</v>
      </c>
      <c r="H2102" s="18">
        <v>0</v>
      </c>
      <c r="I2102" s="20">
        <v>1560</v>
      </c>
      <c r="J2102" s="8">
        <f t="shared" si="96"/>
        <v>3340</v>
      </c>
      <c r="K2102" s="10">
        <f t="shared" si="97"/>
        <v>0.68163265306122445</v>
      </c>
      <c r="L2102" s="17">
        <f t="shared" si="98"/>
        <v>0</v>
      </c>
      <c r="M2102" t="str">
        <f>VLOOKUP(D2102,'Jer-Tip-Emp'!B:E,4,0)</f>
        <v>Bebidas</v>
      </c>
      <c r="N2102" t="str">
        <f>VLOOKUP(D2102,'Jer-Tip-Emp'!B:F,5,0)</f>
        <v>Bebidas</v>
      </c>
      <c r="O2102" t="str">
        <f>VLOOKUP(D2102,'Jer-Tip-Emp'!B:G,6,0)</f>
        <v>Bebidas</v>
      </c>
    </row>
    <row r="2103" spans="1:15" ht="27.5" hidden="1" customHeight="1" x14ac:dyDescent="0.2">
      <c r="A2103">
        <v>2025</v>
      </c>
      <c r="B2103" t="s">
        <v>619</v>
      </c>
      <c r="C2103" t="s">
        <v>594</v>
      </c>
      <c r="D2103" s="19" t="s">
        <v>236</v>
      </c>
      <c r="E2103" s="18" t="s">
        <v>623</v>
      </c>
      <c r="F2103" s="18">
        <v>1</v>
      </c>
      <c r="G2103" s="20">
        <v>2000</v>
      </c>
      <c r="H2103" s="18">
        <v>0</v>
      </c>
      <c r="I2103" s="18">
        <v>0</v>
      </c>
      <c r="J2103" s="8">
        <f t="shared" si="96"/>
        <v>2000</v>
      </c>
      <c r="K2103" s="10">
        <f t="shared" si="97"/>
        <v>1</v>
      </c>
      <c r="L2103" s="17">
        <f t="shared" si="98"/>
        <v>0</v>
      </c>
      <c r="M2103" t="str">
        <f>VLOOKUP(D2103,'Jer-Tip-Emp'!B:E,4,0)</f>
        <v>Otro</v>
      </c>
      <c r="N2103" t="str">
        <f>VLOOKUP(D2103,'Jer-Tip-Emp'!B:F,5,0)</f>
        <v>Otro</v>
      </c>
      <c r="O2103" t="str">
        <f>VLOOKUP(D2103,'Jer-Tip-Emp'!B:G,6,0)</f>
        <v>Otro</v>
      </c>
    </row>
    <row r="2104" spans="1:15" ht="27.5" hidden="1" customHeight="1" x14ac:dyDescent="0.2">
      <c r="A2104">
        <v>2025</v>
      </c>
      <c r="B2104" t="s">
        <v>619</v>
      </c>
      <c r="C2104" t="s">
        <v>594</v>
      </c>
      <c r="D2104" s="19" t="s">
        <v>348</v>
      </c>
      <c r="E2104" s="18" t="s">
        <v>567</v>
      </c>
      <c r="F2104" s="18">
        <v>1</v>
      </c>
      <c r="G2104" s="20">
        <v>8000</v>
      </c>
      <c r="H2104" s="18">
        <v>0</v>
      </c>
      <c r="I2104" s="20">
        <v>1747</v>
      </c>
      <c r="J2104" s="8">
        <f t="shared" si="96"/>
        <v>6253</v>
      </c>
      <c r="K2104" s="10">
        <f t="shared" si="97"/>
        <v>0.78162500000000001</v>
      </c>
      <c r="L2104" s="17">
        <f t="shared" si="98"/>
        <v>0</v>
      </c>
      <c r="M2104" t="str">
        <f>VLOOKUP(D2104,'Jer-Tip-Emp'!B:E,4,0)</f>
        <v>Adición</v>
      </c>
      <c r="N2104" t="str">
        <f>VLOOKUP(D2104,'Jer-Tip-Emp'!B:F,5,0)</f>
        <v>Adición</v>
      </c>
      <c r="O2104" t="str">
        <f>VLOOKUP(D2104,'Jer-Tip-Emp'!B:G,6,0)</f>
        <v>Adición</v>
      </c>
    </row>
    <row r="2105" spans="1:15" ht="27.5" hidden="1" customHeight="1" x14ac:dyDescent="0.2">
      <c r="A2105">
        <v>2025</v>
      </c>
      <c r="B2105" t="s">
        <v>619</v>
      </c>
      <c r="C2105" t="s">
        <v>594</v>
      </c>
      <c r="D2105" s="19" t="s">
        <v>236</v>
      </c>
      <c r="E2105" s="18" t="s">
        <v>624</v>
      </c>
      <c r="F2105" s="18">
        <v>1</v>
      </c>
      <c r="G2105" s="20">
        <v>1400</v>
      </c>
      <c r="H2105" s="18">
        <v>0</v>
      </c>
      <c r="I2105" s="18">
        <v>0</v>
      </c>
      <c r="J2105" s="8">
        <f t="shared" si="96"/>
        <v>1400</v>
      </c>
      <c r="K2105" s="10">
        <f t="shared" si="97"/>
        <v>1</v>
      </c>
      <c r="L2105" s="17">
        <f t="shared" si="98"/>
        <v>0</v>
      </c>
      <c r="M2105" t="str">
        <f>VLOOKUP(D2105,'Jer-Tip-Emp'!B:E,4,0)</f>
        <v>Otro</v>
      </c>
      <c r="N2105" t="str">
        <f>VLOOKUP(D2105,'Jer-Tip-Emp'!B:F,5,0)</f>
        <v>Otro</v>
      </c>
      <c r="O2105" t="str">
        <f>VLOOKUP(D2105,'Jer-Tip-Emp'!B:G,6,0)</f>
        <v>Otro</v>
      </c>
    </row>
    <row r="2106" spans="1:15" ht="27.5" hidden="1" customHeight="1" x14ac:dyDescent="0.2">
      <c r="A2106">
        <v>2025</v>
      </c>
      <c r="B2106" t="s">
        <v>619</v>
      </c>
      <c r="C2106" t="s">
        <v>594</v>
      </c>
      <c r="D2106" s="19" t="s">
        <v>311</v>
      </c>
      <c r="E2106" s="18" t="s">
        <v>625</v>
      </c>
      <c r="F2106" s="18">
        <v>1</v>
      </c>
      <c r="G2106" s="20">
        <v>5600</v>
      </c>
      <c r="H2106" s="18">
        <v>0</v>
      </c>
      <c r="I2106" s="20">
        <v>2049</v>
      </c>
      <c r="J2106" s="8">
        <f t="shared" si="96"/>
        <v>3551</v>
      </c>
      <c r="K2106" s="10">
        <f t="shared" si="97"/>
        <v>0.63410714285714287</v>
      </c>
      <c r="L2106" s="17">
        <f t="shared" si="98"/>
        <v>0</v>
      </c>
      <c r="M2106" t="str">
        <f>VLOOKUP(D2106,'Jer-Tip-Emp'!B:E,4,0)</f>
        <v>Adición</v>
      </c>
      <c r="N2106" t="str">
        <f>VLOOKUP(D2106,'Jer-Tip-Emp'!B:F,5,0)</f>
        <v>Adición</v>
      </c>
      <c r="O2106" t="str">
        <f>VLOOKUP(D2106,'Jer-Tip-Emp'!B:G,6,0)</f>
        <v>Adición</v>
      </c>
    </row>
    <row r="2107" spans="1:15" ht="27.5" customHeight="1" x14ac:dyDescent="0.2">
      <c r="A2107">
        <v>2025</v>
      </c>
      <c r="B2107" t="s">
        <v>619</v>
      </c>
      <c r="C2107" t="s">
        <v>594</v>
      </c>
      <c r="D2107" s="19" t="s">
        <v>393</v>
      </c>
      <c r="E2107" s="18" t="s">
        <v>549</v>
      </c>
      <c r="F2107" s="18">
        <v>1</v>
      </c>
      <c r="G2107" s="20">
        <v>2000</v>
      </c>
      <c r="H2107" s="18">
        <v>0</v>
      </c>
      <c r="I2107" s="20">
        <v>2035</v>
      </c>
      <c r="J2107" s="8">
        <f t="shared" si="96"/>
        <v>-35</v>
      </c>
      <c r="K2107" s="10">
        <f t="shared" si="97"/>
        <v>-1.7500000000000002E-2</v>
      </c>
      <c r="L2107" s="17">
        <f t="shared" si="98"/>
        <v>0</v>
      </c>
      <c r="M2107" t="str">
        <f>VLOOKUP(D2107,'Jer-Tip-Emp'!B:E,4,0)</f>
        <v>Arma tu plato</v>
      </c>
      <c r="N2107" t="str">
        <f>VLOOKUP(D2107,'Jer-Tip-Emp'!B:F,5,0)</f>
        <v>Personal</v>
      </c>
      <c r="O2107" t="str">
        <f>VLOOKUP(D2107,'Jer-Tip-Emp'!B:G,6,0)</f>
        <v>Caja</v>
      </c>
    </row>
    <row r="2108" spans="1:15" ht="27.5" customHeight="1" x14ac:dyDescent="0.2">
      <c r="A2108">
        <v>2025</v>
      </c>
      <c r="B2108" t="s">
        <v>619</v>
      </c>
      <c r="C2108" t="s">
        <v>595</v>
      </c>
      <c r="D2108" s="19" t="s">
        <v>207</v>
      </c>
      <c r="E2108" s="18" t="s">
        <v>92</v>
      </c>
      <c r="F2108" s="18">
        <v>15</v>
      </c>
      <c r="G2108" s="20">
        <v>358500</v>
      </c>
      <c r="H2108" s="18">
        <v>0</v>
      </c>
      <c r="I2108" s="20">
        <v>144405</v>
      </c>
      <c r="J2108" s="8">
        <f t="shared" si="96"/>
        <v>214095</v>
      </c>
      <c r="K2108" s="10">
        <f t="shared" si="97"/>
        <v>0.59719665271966527</v>
      </c>
      <c r="L2108" s="17">
        <f t="shared" si="98"/>
        <v>0</v>
      </c>
      <c r="M2108" t="str">
        <f>VLOOKUP(D2108,'Jer-Tip-Emp'!B:E,4,0)</f>
        <v>Combos personales</v>
      </c>
      <c r="N2108" t="str">
        <f>VLOOKUP(D2108,'Jer-Tip-Emp'!B:F,5,0)</f>
        <v>Personal</v>
      </c>
      <c r="O2108" t="str">
        <f>VLOOKUP(D2108,'Jer-Tip-Emp'!B:G,6,0)</f>
        <v>Combo</v>
      </c>
    </row>
    <row r="2109" spans="1:15" ht="27.5" customHeight="1" x14ac:dyDescent="0.2">
      <c r="A2109">
        <v>2025</v>
      </c>
      <c r="B2109" t="s">
        <v>619</v>
      </c>
      <c r="C2109" t="s">
        <v>595</v>
      </c>
      <c r="D2109" s="19" t="s">
        <v>273</v>
      </c>
      <c r="E2109" s="18" t="s">
        <v>23</v>
      </c>
      <c r="F2109" s="18">
        <v>13</v>
      </c>
      <c r="G2109" s="20">
        <v>323700</v>
      </c>
      <c r="H2109" s="18">
        <v>0</v>
      </c>
      <c r="I2109" s="18">
        <v>0</v>
      </c>
      <c r="J2109" s="8">
        <f t="shared" si="96"/>
        <v>323700</v>
      </c>
      <c r="K2109" s="10">
        <f t="shared" si="97"/>
        <v>1</v>
      </c>
      <c r="L2109" s="17">
        <f t="shared" si="98"/>
        <v>0</v>
      </c>
      <c r="M2109" t="str">
        <f>VLOOKUP(D2109,'Jer-Tip-Emp'!B:E,4,0)</f>
        <v>Arma tu plato</v>
      </c>
      <c r="N2109" t="str">
        <f>VLOOKUP(D2109,'Jer-Tip-Emp'!B:F,5,0)</f>
        <v>Personal</v>
      </c>
      <c r="O2109" t="str">
        <f>VLOOKUP(D2109,'Jer-Tip-Emp'!B:G,6,0)</f>
        <v>Caja</v>
      </c>
    </row>
    <row r="2110" spans="1:15" ht="27.5" customHeight="1" x14ac:dyDescent="0.2">
      <c r="A2110">
        <v>2025</v>
      </c>
      <c r="B2110" t="s">
        <v>619</v>
      </c>
      <c r="C2110" t="s">
        <v>595</v>
      </c>
      <c r="D2110" s="19" t="s">
        <v>212</v>
      </c>
      <c r="E2110" s="18" t="s">
        <v>160</v>
      </c>
      <c r="F2110" s="18">
        <v>10</v>
      </c>
      <c r="G2110" s="20">
        <v>289000</v>
      </c>
      <c r="H2110" s="18">
        <v>0</v>
      </c>
      <c r="I2110" s="20">
        <v>112530</v>
      </c>
      <c r="J2110" s="8">
        <f t="shared" si="96"/>
        <v>176470</v>
      </c>
      <c r="K2110" s="10">
        <f t="shared" si="97"/>
        <v>0.61062283737024226</v>
      </c>
      <c r="L2110" s="17">
        <f t="shared" si="98"/>
        <v>0</v>
      </c>
      <c r="M2110" t="str">
        <f>VLOOKUP(D2110,'Jer-Tip-Emp'!B:E,4,0)</f>
        <v>Combos personales</v>
      </c>
      <c r="N2110" t="str">
        <f>VLOOKUP(D2110,'Jer-Tip-Emp'!B:F,5,0)</f>
        <v>Personal</v>
      </c>
      <c r="O2110" t="str">
        <f>VLOOKUP(D2110,'Jer-Tip-Emp'!B:G,6,0)</f>
        <v>Combo</v>
      </c>
    </row>
    <row r="2111" spans="1:15" ht="27.5" customHeight="1" x14ac:dyDescent="0.2">
      <c r="A2111">
        <v>2025</v>
      </c>
      <c r="B2111" t="s">
        <v>619</v>
      </c>
      <c r="C2111" t="s">
        <v>595</v>
      </c>
      <c r="D2111" s="19" t="s">
        <v>313</v>
      </c>
      <c r="E2111" s="18" t="s">
        <v>540</v>
      </c>
      <c r="F2111" s="18">
        <v>9</v>
      </c>
      <c r="G2111" s="18">
        <v>0</v>
      </c>
      <c r="H2111" s="18">
        <v>0</v>
      </c>
      <c r="I2111" s="20">
        <v>49419</v>
      </c>
      <c r="J2111" s="8">
        <f t="shared" si="96"/>
        <v>-49419</v>
      </c>
      <c r="K2111" s="10">
        <f t="shared" si="97"/>
        <v>0</v>
      </c>
      <c r="L2111" s="17">
        <f t="shared" si="98"/>
        <v>0</v>
      </c>
      <c r="M2111" t="str">
        <f>VLOOKUP(D2111,'Jer-Tip-Emp'!B:E,4,0)</f>
        <v>Arma tu plato</v>
      </c>
      <c r="N2111" t="str">
        <f>VLOOKUP(D2111,'Jer-Tip-Emp'!B:F,5,0)</f>
        <v>Personal</v>
      </c>
      <c r="O2111" t="str">
        <f>VLOOKUP(D2111,'Jer-Tip-Emp'!B:G,6,0)</f>
        <v>Caja</v>
      </c>
    </row>
    <row r="2112" spans="1:15" ht="27.5" hidden="1" customHeight="1" x14ac:dyDescent="0.2">
      <c r="A2112">
        <v>2025</v>
      </c>
      <c r="B2112" t="s">
        <v>619</v>
      </c>
      <c r="C2112" t="s">
        <v>595</v>
      </c>
      <c r="D2112" s="19" t="s">
        <v>284</v>
      </c>
      <c r="E2112" s="18" t="s">
        <v>106</v>
      </c>
      <c r="F2112" s="18">
        <v>9</v>
      </c>
      <c r="G2112" s="20">
        <v>80100</v>
      </c>
      <c r="H2112" s="18">
        <v>0</v>
      </c>
      <c r="I2112" s="20">
        <v>28251</v>
      </c>
      <c r="J2112" s="8">
        <f t="shared" si="96"/>
        <v>51849</v>
      </c>
      <c r="K2112" s="10">
        <f t="shared" si="97"/>
        <v>0.6473033707865169</v>
      </c>
      <c r="L2112" s="17">
        <f t="shared" si="98"/>
        <v>0</v>
      </c>
      <c r="M2112" t="str">
        <f>VLOOKUP(D2112,'Jer-Tip-Emp'!B:E,4,0)</f>
        <v>Entradas</v>
      </c>
      <c r="N2112" t="str">
        <f>VLOOKUP(D2112,'Jer-Tip-Emp'!B:F,5,0)</f>
        <v>Otro</v>
      </c>
      <c r="O2112" t="str">
        <f>VLOOKUP(D2112,'Jer-Tip-Emp'!B:G,6,0)</f>
        <v>Otro</v>
      </c>
    </row>
    <row r="2113" spans="1:15" ht="27.5" customHeight="1" x14ac:dyDescent="0.2">
      <c r="A2113">
        <v>2025</v>
      </c>
      <c r="B2113" t="s">
        <v>619</v>
      </c>
      <c r="C2113" t="s">
        <v>595</v>
      </c>
      <c r="D2113" s="19" t="s">
        <v>322</v>
      </c>
      <c r="E2113" s="18" t="s">
        <v>545</v>
      </c>
      <c r="F2113" s="18">
        <v>6</v>
      </c>
      <c r="G2113" s="20">
        <v>12000</v>
      </c>
      <c r="H2113" s="18">
        <v>0</v>
      </c>
      <c r="I2113" s="20">
        <v>18648</v>
      </c>
      <c r="J2113" s="8">
        <f t="shared" ref="J2113:J2176" si="99">G2113-I2113</f>
        <v>-6648</v>
      </c>
      <c r="K2113" s="10">
        <f t="shared" ref="K2113:K2176" si="100">IFERROR(J2113/G2113,0)</f>
        <v>-0.55400000000000005</v>
      </c>
      <c r="L2113" s="17">
        <f t="shared" ref="L2113:L2176" si="101">IFERROR((H2113/G2113)*-1,0)</f>
        <v>0</v>
      </c>
      <c r="M2113" t="str">
        <f>VLOOKUP(D2113,'Jer-Tip-Emp'!B:E,4,0)</f>
        <v>Arma tu plato</v>
      </c>
      <c r="N2113" t="str">
        <f>VLOOKUP(D2113,'Jer-Tip-Emp'!B:F,5,0)</f>
        <v>Personal</v>
      </c>
      <c r="O2113" t="str">
        <f>VLOOKUP(D2113,'Jer-Tip-Emp'!B:G,6,0)</f>
        <v>Caja</v>
      </c>
    </row>
    <row r="2114" spans="1:15" ht="27.5" customHeight="1" x14ac:dyDescent="0.2">
      <c r="A2114">
        <v>2025</v>
      </c>
      <c r="B2114" t="s">
        <v>619</v>
      </c>
      <c r="C2114" t="s">
        <v>595</v>
      </c>
      <c r="D2114" s="19" t="s">
        <v>389</v>
      </c>
      <c r="E2114" s="18" t="s">
        <v>541</v>
      </c>
      <c r="F2114" s="18">
        <v>6</v>
      </c>
      <c r="G2114" s="18">
        <v>0</v>
      </c>
      <c r="H2114" s="18">
        <v>0</v>
      </c>
      <c r="I2114" s="20">
        <v>32802</v>
      </c>
      <c r="J2114" s="8">
        <f t="shared" si="99"/>
        <v>-32802</v>
      </c>
      <c r="K2114" s="10">
        <f t="shared" si="100"/>
        <v>0</v>
      </c>
      <c r="L2114" s="17">
        <f t="shared" si="101"/>
        <v>0</v>
      </c>
      <c r="M2114" t="str">
        <f>VLOOKUP(D2114,'Jer-Tip-Emp'!B:E,4,0)</f>
        <v>Arma tu plato</v>
      </c>
      <c r="N2114" t="str">
        <f>VLOOKUP(D2114,'Jer-Tip-Emp'!B:F,5,0)</f>
        <v>Personal</v>
      </c>
      <c r="O2114" t="str">
        <f>VLOOKUP(D2114,'Jer-Tip-Emp'!B:G,6,0)</f>
        <v>Caja</v>
      </c>
    </row>
    <row r="2115" spans="1:15" ht="27.5" customHeight="1" x14ac:dyDescent="0.2">
      <c r="A2115">
        <v>2025</v>
      </c>
      <c r="B2115" t="s">
        <v>619</v>
      </c>
      <c r="C2115" t="s">
        <v>595</v>
      </c>
      <c r="D2115" s="19" t="s">
        <v>303</v>
      </c>
      <c r="E2115" s="18" t="s">
        <v>120</v>
      </c>
      <c r="F2115" s="18">
        <v>6</v>
      </c>
      <c r="G2115" s="20">
        <v>137400</v>
      </c>
      <c r="H2115" s="18">
        <v>0</v>
      </c>
      <c r="I2115" s="20">
        <v>45084</v>
      </c>
      <c r="J2115" s="8">
        <f t="shared" si="99"/>
        <v>92316</v>
      </c>
      <c r="K2115" s="10">
        <f t="shared" si="100"/>
        <v>0.67187772925764189</v>
      </c>
      <c r="L2115" s="17">
        <f t="shared" si="101"/>
        <v>0</v>
      </c>
      <c r="M2115" t="str">
        <f>VLOOKUP(D2115,'Jer-Tip-Emp'!B:E,4,0)</f>
        <v>Platos mong</v>
      </c>
      <c r="N2115" t="str">
        <f>VLOOKUP(D2115,'Jer-Tip-Emp'!B:F,5,0)</f>
        <v>Personal</v>
      </c>
      <c r="O2115" t="str">
        <f>VLOOKUP(D2115,'Jer-Tip-Emp'!B:G,6,0)</f>
        <v>Caja</v>
      </c>
    </row>
    <row r="2116" spans="1:15" ht="27.5" customHeight="1" x14ac:dyDescent="0.2">
      <c r="A2116">
        <v>2025</v>
      </c>
      <c r="B2116" t="s">
        <v>619</v>
      </c>
      <c r="C2116" t="s">
        <v>595</v>
      </c>
      <c r="D2116" s="19" t="s">
        <v>376</v>
      </c>
      <c r="E2116" s="18" t="s">
        <v>543</v>
      </c>
      <c r="F2116" s="18">
        <v>5</v>
      </c>
      <c r="G2116" s="18">
        <v>0</v>
      </c>
      <c r="H2116" s="18">
        <v>0</v>
      </c>
      <c r="I2116" s="20">
        <v>6410</v>
      </c>
      <c r="J2116" s="8">
        <f t="shared" si="99"/>
        <v>-6410</v>
      </c>
      <c r="K2116" s="10">
        <f t="shared" si="100"/>
        <v>0</v>
      </c>
      <c r="L2116" s="17">
        <f t="shared" si="101"/>
        <v>0</v>
      </c>
      <c r="M2116" t="str">
        <f>VLOOKUP(D2116,'Jer-Tip-Emp'!B:E,4,0)</f>
        <v>Arma tu plato</v>
      </c>
      <c r="N2116" t="str">
        <f>VLOOKUP(D2116,'Jer-Tip-Emp'!B:F,5,0)</f>
        <v>Personal</v>
      </c>
      <c r="O2116" t="str">
        <f>VLOOKUP(D2116,'Jer-Tip-Emp'!B:G,6,0)</f>
        <v>Caja</v>
      </c>
    </row>
    <row r="2117" spans="1:15" ht="27.5" customHeight="1" x14ac:dyDescent="0.2">
      <c r="A2117">
        <v>2025</v>
      </c>
      <c r="B2117" t="s">
        <v>619</v>
      </c>
      <c r="C2117" t="s">
        <v>595</v>
      </c>
      <c r="D2117" s="19" t="s">
        <v>295</v>
      </c>
      <c r="E2117" s="18" t="s">
        <v>110</v>
      </c>
      <c r="F2117" s="18">
        <v>5</v>
      </c>
      <c r="G2117" s="20">
        <v>99500</v>
      </c>
      <c r="H2117" s="18">
        <v>0</v>
      </c>
      <c r="I2117" s="20">
        <v>33840</v>
      </c>
      <c r="J2117" s="8">
        <f t="shared" si="99"/>
        <v>65660</v>
      </c>
      <c r="K2117" s="10">
        <f t="shared" si="100"/>
        <v>0.65989949748743715</v>
      </c>
      <c r="L2117" s="17">
        <f t="shared" si="101"/>
        <v>0</v>
      </c>
      <c r="M2117" t="str">
        <f>VLOOKUP(D2117,'Jer-Tip-Emp'!B:E,4,0)</f>
        <v>Platos mong</v>
      </c>
      <c r="N2117" t="str">
        <f>VLOOKUP(D2117,'Jer-Tip-Emp'!B:F,5,0)</f>
        <v>Personal</v>
      </c>
      <c r="O2117" t="str">
        <f>VLOOKUP(D2117,'Jer-Tip-Emp'!B:G,6,0)</f>
        <v>Caja</v>
      </c>
    </row>
    <row r="2118" spans="1:15" ht="27.5" hidden="1" customHeight="1" x14ac:dyDescent="0.2">
      <c r="A2118">
        <v>2025</v>
      </c>
      <c r="B2118" t="s">
        <v>619</v>
      </c>
      <c r="C2118" t="s">
        <v>595</v>
      </c>
      <c r="D2118" s="19" t="s">
        <v>176</v>
      </c>
      <c r="E2118" s="18" t="s">
        <v>544</v>
      </c>
      <c r="F2118" s="18">
        <v>5</v>
      </c>
      <c r="G2118" s="20">
        <v>5000</v>
      </c>
      <c r="H2118" s="18">
        <v>0</v>
      </c>
      <c r="I2118" s="20">
        <v>9725</v>
      </c>
      <c r="J2118" s="8">
        <f t="shared" si="99"/>
        <v>-4725</v>
      </c>
      <c r="K2118" s="10">
        <f t="shared" si="100"/>
        <v>-0.94499999999999995</v>
      </c>
      <c r="L2118" s="17">
        <f t="shared" si="101"/>
        <v>0</v>
      </c>
      <c r="M2118" t="str">
        <f>VLOOKUP(D2118,'Jer-Tip-Emp'!B:E,4,0)</f>
        <v>Bebidas</v>
      </c>
      <c r="N2118" t="str">
        <f>VLOOKUP(D2118,'Jer-Tip-Emp'!B:F,5,0)</f>
        <v>Bebidas Cambio de bebida</v>
      </c>
      <c r="O2118" t="str">
        <f>VLOOKUP(D2118,'Jer-Tip-Emp'!B:G,6,0)</f>
        <v>Bebidas</v>
      </c>
    </row>
    <row r="2119" spans="1:15" ht="27.5" hidden="1" customHeight="1" x14ac:dyDescent="0.2">
      <c r="A2119">
        <v>2025</v>
      </c>
      <c r="B2119" t="s">
        <v>619</v>
      </c>
      <c r="C2119" t="s">
        <v>595</v>
      </c>
      <c r="D2119" s="19" t="s">
        <v>310</v>
      </c>
      <c r="E2119" s="18" t="s">
        <v>53</v>
      </c>
      <c r="F2119" s="18">
        <v>4</v>
      </c>
      <c r="G2119" s="20">
        <v>23600</v>
      </c>
      <c r="H2119" s="18">
        <v>0</v>
      </c>
      <c r="I2119" s="20">
        <v>6780</v>
      </c>
      <c r="J2119" s="8">
        <f t="shared" si="99"/>
        <v>16820</v>
      </c>
      <c r="K2119" s="10">
        <f t="shared" si="100"/>
        <v>0.71271186440677969</v>
      </c>
      <c r="L2119" s="17">
        <f t="shared" si="101"/>
        <v>0</v>
      </c>
      <c r="M2119" t="str">
        <f>VLOOKUP(D2119,'Jer-Tip-Emp'!B:E,4,0)</f>
        <v>Bebidas</v>
      </c>
      <c r="N2119" t="str">
        <f>VLOOKUP(D2119,'Jer-Tip-Emp'!B:F,5,0)</f>
        <v>Bebidas</v>
      </c>
      <c r="O2119" t="str">
        <f>VLOOKUP(D2119,'Jer-Tip-Emp'!B:G,6,0)</f>
        <v>Bebidas</v>
      </c>
    </row>
    <row r="2120" spans="1:15" ht="27.5" customHeight="1" x14ac:dyDescent="0.2">
      <c r="A2120">
        <v>2025</v>
      </c>
      <c r="B2120" t="s">
        <v>619</v>
      </c>
      <c r="C2120" t="s">
        <v>595</v>
      </c>
      <c r="D2120" s="19" t="s">
        <v>354</v>
      </c>
      <c r="E2120" s="18" t="s">
        <v>548</v>
      </c>
      <c r="F2120" s="18">
        <v>4</v>
      </c>
      <c r="G2120" s="18">
        <v>0</v>
      </c>
      <c r="H2120" s="18">
        <v>0</v>
      </c>
      <c r="I2120" s="20">
        <v>10536</v>
      </c>
      <c r="J2120" s="8">
        <f t="shared" si="99"/>
        <v>-10536</v>
      </c>
      <c r="K2120" s="10">
        <f t="shared" si="100"/>
        <v>0</v>
      </c>
      <c r="L2120" s="17">
        <f t="shared" si="101"/>
        <v>0</v>
      </c>
      <c r="M2120" t="str">
        <f>VLOOKUP(D2120,'Jer-Tip-Emp'!B:E,4,0)</f>
        <v>Arma tu plato</v>
      </c>
      <c r="N2120" t="str">
        <f>VLOOKUP(D2120,'Jer-Tip-Emp'!B:F,5,0)</f>
        <v>Personal</v>
      </c>
      <c r="O2120" t="str">
        <f>VLOOKUP(D2120,'Jer-Tip-Emp'!B:G,6,0)</f>
        <v>Caja</v>
      </c>
    </row>
    <row r="2121" spans="1:15" ht="27.5" customHeight="1" x14ac:dyDescent="0.2">
      <c r="A2121">
        <v>2025</v>
      </c>
      <c r="B2121" t="s">
        <v>619</v>
      </c>
      <c r="C2121" t="s">
        <v>595</v>
      </c>
      <c r="D2121" s="19" t="s">
        <v>186</v>
      </c>
      <c r="E2121" s="18" t="s">
        <v>95</v>
      </c>
      <c r="F2121" s="18">
        <v>4</v>
      </c>
      <c r="G2121" s="20">
        <v>115600</v>
      </c>
      <c r="H2121" s="18">
        <v>0</v>
      </c>
      <c r="I2121" s="20">
        <v>38280</v>
      </c>
      <c r="J2121" s="8">
        <f t="shared" si="99"/>
        <v>77320</v>
      </c>
      <c r="K2121" s="10">
        <f t="shared" si="100"/>
        <v>0.66885813148788931</v>
      </c>
      <c r="L2121" s="17">
        <f t="shared" si="101"/>
        <v>0</v>
      </c>
      <c r="M2121" t="str">
        <f>VLOOKUP(D2121,'Jer-Tip-Emp'!B:E,4,0)</f>
        <v>Combos personales</v>
      </c>
      <c r="N2121" t="str">
        <f>VLOOKUP(D2121,'Jer-Tip-Emp'!B:F,5,0)</f>
        <v>Personal</v>
      </c>
      <c r="O2121" t="str">
        <f>VLOOKUP(D2121,'Jer-Tip-Emp'!B:G,6,0)</f>
        <v>Combo</v>
      </c>
    </row>
    <row r="2122" spans="1:15" ht="27.5" hidden="1" customHeight="1" x14ac:dyDescent="0.2">
      <c r="A2122">
        <v>2025</v>
      </c>
      <c r="B2122" t="s">
        <v>619</v>
      </c>
      <c r="C2122" t="s">
        <v>595</v>
      </c>
      <c r="D2122" s="19" t="s">
        <v>193</v>
      </c>
      <c r="E2122" s="18" t="s">
        <v>18</v>
      </c>
      <c r="F2122" s="18">
        <v>4</v>
      </c>
      <c r="G2122" s="20">
        <v>27600</v>
      </c>
      <c r="H2122" s="18">
        <v>0</v>
      </c>
      <c r="I2122" s="20">
        <v>12432</v>
      </c>
      <c r="J2122" s="8">
        <f t="shared" si="99"/>
        <v>15168</v>
      </c>
      <c r="K2122" s="10">
        <f t="shared" si="100"/>
        <v>0.54956521739130437</v>
      </c>
      <c r="L2122" s="17">
        <f t="shared" si="101"/>
        <v>0</v>
      </c>
      <c r="M2122" t="str">
        <f>VLOOKUP(D2122,'Jer-Tip-Emp'!B:E,4,0)</f>
        <v>Adición</v>
      </c>
      <c r="N2122" t="str">
        <f>VLOOKUP(D2122,'Jer-Tip-Emp'!B:F,5,0)</f>
        <v>Adición</v>
      </c>
      <c r="O2122" t="str">
        <f>VLOOKUP(D2122,'Jer-Tip-Emp'!B:G,6,0)</f>
        <v>Adición</v>
      </c>
    </row>
    <row r="2123" spans="1:15" ht="27.5" hidden="1" customHeight="1" x14ac:dyDescent="0.2">
      <c r="A2123">
        <v>2025</v>
      </c>
      <c r="B2123" t="s">
        <v>619</v>
      </c>
      <c r="C2123" t="s">
        <v>595</v>
      </c>
      <c r="D2123" s="19" t="s">
        <v>500</v>
      </c>
      <c r="E2123" s="18" t="s">
        <v>546</v>
      </c>
      <c r="F2123" s="18">
        <v>4</v>
      </c>
      <c r="G2123" s="18">
        <v>0</v>
      </c>
      <c r="H2123" s="18">
        <v>0</v>
      </c>
      <c r="I2123" s="20">
        <v>3472</v>
      </c>
      <c r="J2123" s="8">
        <f t="shared" si="99"/>
        <v>-3472</v>
      </c>
      <c r="K2123" s="10">
        <f t="shared" si="100"/>
        <v>0</v>
      </c>
      <c r="L2123" s="17">
        <f t="shared" si="101"/>
        <v>0</v>
      </c>
      <c r="M2123" t="str">
        <f>VLOOKUP(D2123,'Jer-Tip-Emp'!B:E,4,0)</f>
        <v>Bebidas</v>
      </c>
      <c r="N2123" t="str">
        <f>VLOOKUP(D2123,'Jer-Tip-Emp'!B:F,5,0)</f>
        <v>Bebidas Cambio de bebida</v>
      </c>
      <c r="O2123" t="str">
        <f>VLOOKUP(D2123,'Jer-Tip-Emp'!B:G,6,0)</f>
        <v>Bebidas</v>
      </c>
    </row>
    <row r="2124" spans="1:15" ht="27.5" customHeight="1" x14ac:dyDescent="0.2">
      <c r="A2124">
        <v>2025</v>
      </c>
      <c r="B2124" t="s">
        <v>619</v>
      </c>
      <c r="C2124" t="s">
        <v>595</v>
      </c>
      <c r="D2124" s="19" t="s">
        <v>245</v>
      </c>
      <c r="E2124" s="18" t="s">
        <v>167</v>
      </c>
      <c r="F2124" s="18">
        <v>4</v>
      </c>
      <c r="G2124" s="20">
        <v>79600</v>
      </c>
      <c r="H2124" s="18">
        <v>0</v>
      </c>
      <c r="I2124" s="18">
        <v>0</v>
      </c>
      <c r="J2124" s="8">
        <f t="shared" si="99"/>
        <v>79600</v>
      </c>
      <c r="K2124" s="10">
        <f t="shared" si="100"/>
        <v>1</v>
      </c>
      <c r="L2124" s="17">
        <f t="shared" si="101"/>
        <v>0</v>
      </c>
      <c r="M2124" t="str">
        <f>VLOOKUP(D2124,'Jer-Tip-Emp'!B:E,4,0)</f>
        <v>Mong Express</v>
      </c>
      <c r="N2124" t="str">
        <f>VLOOKUP(D2124,'Jer-Tip-Emp'!B:F,5,0)</f>
        <v>Personal</v>
      </c>
      <c r="O2124" t="str">
        <f>VLOOKUP(D2124,'Jer-Tip-Emp'!B:G,6,0)</f>
        <v>Caja</v>
      </c>
    </row>
    <row r="2125" spans="1:15" ht="27.5" customHeight="1" x14ac:dyDescent="0.2">
      <c r="A2125">
        <v>2025</v>
      </c>
      <c r="B2125" t="s">
        <v>619</v>
      </c>
      <c r="C2125" t="s">
        <v>595</v>
      </c>
      <c r="D2125" s="19" t="s">
        <v>196</v>
      </c>
      <c r="E2125" s="18" t="s">
        <v>159</v>
      </c>
      <c r="F2125" s="18">
        <v>4</v>
      </c>
      <c r="G2125" s="20">
        <v>103600</v>
      </c>
      <c r="H2125" s="18">
        <v>0</v>
      </c>
      <c r="I2125" s="20">
        <v>38004</v>
      </c>
      <c r="J2125" s="8">
        <f t="shared" si="99"/>
        <v>65596</v>
      </c>
      <c r="K2125" s="10">
        <f t="shared" si="100"/>
        <v>0.63316602316602322</v>
      </c>
      <c r="L2125" s="17">
        <f t="shared" si="101"/>
        <v>0</v>
      </c>
      <c r="M2125" t="str">
        <f>VLOOKUP(D2125,'Jer-Tip-Emp'!B:E,4,0)</f>
        <v>Combos personales</v>
      </c>
      <c r="N2125" t="str">
        <f>VLOOKUP(D2125,'Jer-Tip-Emp'!B:F,5,0)</f>
        <v>Personal</v>
      </c>
      <c r="O2125" t="str">
        <f>VLOOKUP(D2125,'Jer-Tip-Emp'!B:G,6,0)</f>
        <v>Combo</v>
      </c>
    </row>
    <row r="2126" spans="1:15" ht="27.5" hidden="1" customHeight="1" x14ac:dyDescent="0.2">
      <c r="A2126">
        <v>2025</v>
      </c>
      <c r="B2126" t="s">
        <v>619</v>
      </c>
      <c r="C2126" t="s">
        <v>595</v>
      </c>
      <c r="D2126" s="19" t="s">
        <v>337</v>
      </c>
      <c r="E2126" s="18" t="s">
        <v>58</v>
      </c>
      <c r="F2126" s="18">
        <v>3</v>
      </c>
      <c r="G2126" s="20">
        <v>14700</v>
      </c>
      <c r="H2126" s="18">
        <v>0</v>
      </c>
      <c r="I2126" s="20">
        <v>4680</v>
      </c>
      <c r="J2126" s="8">
        <f t="shared" si="99"/>
        <v>10020</v>
      </c>
      <c r="K2126" s="10">
        <f t="shared" si="100"/>
        <v>0.68163265306122445</v>
      </c>
      <c r="L2126" s="17">
        <f t="shared" si="101"/>
        <v>0</v>
      </c>
      <c r="M2126" t="str">
        <f>VLOOKUP(D2126,'Jer-Tip-Emp'!B:E,4,0)</f>
        <v>Bebidas</v>
      </c>
      <c r="N2126" t="str">
        <f>VLOOKUP(D2126,'Jer-Tip-Emp'!B:F,5,0)</f>
        <v>Bebidas</v>
      </c>
      <c r="O2126" t="str">
        <f>VLOOKUP(D2126,'Jer-Tip-Emp'!B:G,6,0)</f>
        <v>Bebidas</v>
      </c>
    </row>
    <row r="2127" spans="1:15" ht="27.5" customHeight="1" x14ac:dyDescent="0.2">
      <c r="A2127">
        <v>2025</v>
      </c>
      <c r="B2127" t="s">
        <v>619</v>
      </c>
      <c r="C2127" t="s">
        <v>595</v>
      </c>
      <c r="D2127" s="19" t="s">
        <v>333</v>
      </c>
      <c r="E2127" s="18" t="s">
        <v>547</v>
      </c>
      <c r="F2127" s="18">
        <v>3</v>
      </c>
      <c r="G2127" s="18">
        <v>0</v>
      </c>
      <c r="H2127" s="18">
        <v>0</v>
      </c>
      <c r="I2127" s="20">
        <v>9966</v>
      </c>
      <c r="J2127" s="8">
        <f t="shared" si="99"/>
        <v>-9966</v>
      </c>
      <c r="K2127" s="10">
        <f t="shared" si="100"/>
        <v>0</v>
      </c>
      <c r="L2127" s="17">
        <f t="shared" si="101"/>
        <v>0</v>
      </c>
      <c r="M2127" t="str">
        <f>VLOOKUP(D2127,'Jer-Tip-Emp'!B:E,4,0)</f>
        <v>Arma tu plato</v>
      </c>
      <c r="N2127" t="str">
        <f>VLOOKUP(D2127,'Jer-Tip-Emp'!B:F,5,0)</f>
        <v>Personal</v>
      </c>
      <c r="O2127" t="str">
        <f>VLOOKUP(D2127,'Jer-Tip-Emp'!B:G,6,0)</f>
        <v>Caja</v>
      </c>
    </row>
    <row r="2128" spans="1:15" ht="27.5" customHeight="1" x14ac:dyDescent="0.2">
      <c r="A2128">
        <v>2025</v>
      </c>
      <c r="B2128" t="s">
        <v>619</v>
      </c>
      <c r="C2128" t="s">
        <v>595</v>
      </c>
      <c r="D2128" s="19" t="s">
        <v>252</v>
      </c>
      <c r="E2128" s="18" t="s">
        <v>100</v>
      </c>
      <c r="F2128" s="18">
        <v>3</v>
      </c>
      <c r="G2128" s="20">
        <v>149700</v>
      </c>
      <c r="H2128" s="18">
        <v>0</v>
      </c>
      <c r="I2128" s="20">
        <v>97053</v>
      </c>
      <c r="J2128" s="8">
        <f t="shared" si="99"/>
        <v>52647</v>
      </c>
      <c r="K2128" s="10">
        <f t="shared" si="100"/>
        <v>0.35168336673346695</v>
      </c>
      <c r="L2128" s="17">
        <f t="shared" si="101"/>
        <v>0</v>
      </c>
      <c r="M2128" t="str">
        <f>VLOOKUP(D2128,'Jer-Tip-Emp'!B:E,4,0)</f>
        <v>Platos mong</v>
      </c>
      <c r="N2128" t="str">
        <f>VLOOKUP(D2128,'Jer-Tip-Emp'!B:F,5,0)</f>
        <v>No Personal</v>
      </c>
      <c r="O2128" t="str">
        <f>VLOOKUP(D2128,'Jer-Tip-Emp'!B:G,6,0)</f>
        <v>Caja</v>
      </c>
    </row>
    <row r="2129" spans="1:15" ht="27.5" hidden="1" customHeight="1" x14ac:dyDescent="0.2">
      <c r="A2129">
        <v>2025</v>
      </c>
      <c r="B2129" t="s">
        <v>619</v>
      </c>
      <c r="C2129" t="s">
        <v>595</v>
      </c>
      <c r="D2129" s="19" t="s">
        <v>382</v>
      </c>
      <c r="E2129" s="18" t="s">
        <v>42</v>
      </c>
      <c r="F2129" s="18">
        <v>3</v>
      </c>
      <c r="G2129" s="20">
        <v>14700</v>
      </c>
      <c r="H2129" s="18">
        <v>0</v>
      </c>
      <c r="I2129" s="20">
        <v>4119</v>
      </c>
      <c r="J2129" s="8">
        <f t="shared" si="99"/>
        <v>10581</v>
      </c>
      <c r="K2129" s="10">
        <f t="shared" si="100"/>
        <v>0.71979591836734691</v>
      </c>
      <c r="L2129" s="17">
        <f t="shared" si="101"/>
        <v>0</v>
      </c>
      <c r="M2129" t="str">
        <f>VLOOKUP(D2129,'Jer-Tip-Emp'!B:E,4,0)</f>
        <v>Bebidas</v>
      </c>
      <c r="N2129" t="str">
        <f>VLOOKUP(D2129,'Jer-Tip-Emp'!B:F,5,0)</f>
        <v>Bebidas</v>
      </c>
      <c r="O2129" t="str">
        <f>VLOOKUP(D2129,'Jer-Tip-Emp'!B:G,6,0)</f>
        <v>Bebidas</v>
      </c>
    </row>
    <row r="2130" spans="1:15" ht="27.5" customHeight="1" x14ac:dyDescent="0.2">
      <c r="A2130">
        <v>2025</v>
      </c>
      <c r="B2130" t="s">
        <v>619</v>
      </c>
      <c r="C2130" t="s">
        <v>595</v>
      </c>
      <c r="D2130" s="19" t="s">
        <v>223</v>
      </c>
      <c r="E2130" s="18" t="s">
        <v>116</v>
      </c>
      <c r="F2130" s="18">
        <v>3</v>
      </c>
      <c r="G2130" s="20">
        <v>80700</v>
      </c>
      <c r="H2130" s="18">
        <v>0</v>
      </c>
      <c r="I2130" s="20">
        <v>40914</v>
      </c>
      <c r="J2130" s="8">
        <f t="shared" si="99"/>
        <v>39786</v>
      </c>
      <c r="K2130" s="10">
        <f t="shared" si="100"/>
        <v>0.4930111524163569</v>
      </c>
      <c r="L2130" s="17">
        <f t="shared" si="101"/>
        <v>0</v>
      </c>
      <c r="M2130" t="str">
        <f>VLOOKUP(D2130,'Jer-Tip-Emp'!B:E,4,0)</f>
        <v>Platos especiales</v>
      </c>
      <c r="N2130" t="str">
        <f>VLOOKUP(D2130,'Jer-Tip-Emp'!B:F,5,0)</f>
        <v>Personal</v>
      </c>
      <c r="O2130" t="str">
        <f>VLOOKUP(D2130,'Jer-Tip-Emp'!B:G,6,0)</f>
        <v>Platos especiales</v>
      </c>
    </row>
    <row r="2131" spans="1:15" ht="27.5" customHeight="1" x14ac:dyDescent="0.2">
      <c r="A2131">
        <v>2025</v>
      </c>
      <c r="B2131" t="s">
        <v>619</v>
      </c>
      <c r="C2131" t="s">
        <v>595</v>
      </c>
      <c r="D2131" s="19" t="s">
        <v>448</v>
      </c>
      <c r="E2131" s="18" t="s">
        <v>552</v>
      </c>
      <c r="F2131" s="18">
        <v>2</v>
      </c>
      <c r="G2131" s="18">
        <v>0</v>
      </c>
      <c r="H2131" s="18">
        <v>0</v>
      </c>
      <c r="I2131" s="20">
        <v>10526</v>
      </c>
      <c r="J2131" s="8">
        <f t="shared" si="99"/>
        <v>-10526</v>
      </c>
      <c r="K2131" s="10">
        <f t="shared" si="100"/>
        <v>0</v>
      </c>
      <c r="L2131" s="17">
        <f t="shared" si="101"/>
        <v>0</v>
      </c>
      <c r="M2131" t="str">
        <f>VLOOKUP(D2131,'Jer-Tip-Emp'!B:E,4,0)</f>
        <v>Arma tu plato</v>
      </c>
      <c r="N2131" t="str">
        <f>VLOOKUP(D2131,'Jer-Tip-Emp'!B:F,5,0)</f>
        <v>Personal</v>
      </c>
      <c r="O2131" t="str">
        <f>VLOOKUP(D2131,'Jer-Tip-Emp'!B:G,6,0)</f>
        <v>Caja</v>
      </c>
    </row>
    <row r="2132" spans="1:15" ht="27.5" customHeight="1" x14ac:dyDescent="0.2">
      <c r="A2132">
        <v>2025</v>
      </c>
      <c r="B2132" t="s">
        <v>619</v>
      </c>
      <c r="C2132" t="s">
        <v>595</v>
      </c>
      <c r="D2132" s="19" t="s">
        <v>470</v>
      </c>
      <c r="E2132" s="18" t="s">
        <v>550</v>
      </c>
      <c r="F2132" s="18">
        <v>2</v>
      </c>
      <c r="G2132" s="18">
        <v>0</v>
      </c>
      <c r="H2132" s="18">
        <v>0</v>
      </c>
      <c r="I2132" s="20">
        <v>6194</v>
      </c>
      <c r="J2132" s="8">
        <f t="shared" si="99"/>
        <v>-6194</v>
      </c>
      <c r="K2132" s="10">
        <f t="shared" si="100"/>
        <v>0</v>
      </c>
      <c r="L2132" s="17">
        <f t="shared" si="101"/>
        <v>0</v>
      </c>
      <c r="M2132" t="str">
        <f>VLOOKUP(D2132,'Jer-Tip-Emp'!B:E,4,0)</f>
        <v>Arma tu plato</v>
      </c>
      <c r="N2132" t="str">
        <f>VLOOKUP(D2132,'Jer-Tip-Emp'!B:F,5,0)</f>
        <v>Personal</v>
      </c>
      <c r="O2132" t="str">
        <f>VLOOKUP(D2132,'Jer-Tip-Emp'!B:G,6,0)</f>
        <v>Caja</v>
      </c>
    </row>
    <row r="2133" spans="1:15" ht="27.5" hidden="1" customHeight="1" x14ac:dyDescent="0.2">
      <c r="A2133">
        <v>2025</v>
      </c>
      <c r="B2133" t="s">
        <v>619</v>
      </c>
      <c r="C2133" t="s">
        <v>595</v>
      </c>
      <c r="D2133" s="19" t="s">
        <v>326</v>
      </c>
      <c r="E2133" s="18" t="s">
        <v>69</v>
      </c>
      <c r="F2133" s="18">
        <v>2</v>
      </c>
      <c r="G2133" s="20">
        <v>9800</v>
      </c>
      <c r="H2133" s="18">
        <v>0</v>
      </c>
      <c r="I2133" s="20">
        <v>2660</v>
      </c>
      <c r="J2133" s="8">
        <f t="shared" si="99"/>
        <v>7140</v>
      </c>
      <c r="K2133" s="10">
        <f t="shared" si="100"/>
        <v>0.72857142857142854</v>
      </c>
      <c r="L2133" s="17">
        <f t="shared" si="101"/>
        <v>0</v>
      </c>
      <c r="M2133" t="str">
        <f>VLOOKUP(D2133,'Jer-Tip-Emp'!B:E,4,0)</f>
        <v>Bebidas</v>
      </c>
      <c r="N2133" t="str">
        <f>VLOOKUP(D2133,'Jer-Tip-Emp'!B:F,5,0)</f>
        <v>Bebidas</v>
      </c>
      <c r="O2133" t="str">
        <f>VLOOKUP(D2133,'Jer-Tip-Emp'!B:G,6,0)</f>
        <v>Bebidas</v>
      </c>
    </row>
    <row r="2134" spans="1:15" ht="27.5" hidden="1" customHeight="1" x14ac:dyDescent="0.2">
      <c r="A2134">
        <v>2025</v>
      </c>
      <c r="B2134" t="s">
        <v>619</v>
      </c>
      <c r="C2134" t="s">
        <v>595</v>
      </c>
      <c r="D2134" s="19" t="s">
        <v>330</v>
      </c>
      <c r="E2134" s="18" t="s">
        <v>38</v>
      </c>
      <c r="F2134" s="18">
        <v>2</v>
      </c>
      <c r="G2134" s="20">
        <v>9800</v>
      </c>
      <c r="H2134" s="18">
        <v>0</v>
      </c>
      <c r="I2134" s="20">
        <v>2576</v>
      </c>
      <c r="J2134" s="8">
        <f t="shared" si="99"/>
        <v>7224</v>
      </c>
      <c r="K2134" s="10">
        <f t="shared" si="100"/>
        <v>0.7371428571428571</v>
      </c>
      <c r="L2134" s="17">
        <f t="shared" si="101"/>
        <v>0</v>
      </c>
      <c r="M2134" t="str">
        <f>VLOOKUP(D2134,'Jer-Tip-Emp'!B:E,4,0)</f>
        <v>Bebidas</v>
      </c>
      <c r="N2134" t="str">
        <f>VLOOKUP(D2134,'Jer-Tip-Emp'!B:F,5,0)</f>
        <v>Bebidas</v>
      </c>
      <c r="O2134" t="str">
        <f>VLOOKUP(D2134,'Jer-Tip-Emp'!B:G,6,0)</f>
        <v>Bebidas</v>
      </c>
    </row>
    <row r="2135" spans="1:15" ht="27.5" customHeight="1" x14ac:dyDescent="0.2">
      <c r="A2135">
        <v>2025</v>
      </c>
      <c r="B2135" t="s">
        <v>619</v>
      </c>
      <c r="C2135" t="s">
        <v>595</v>
      </c>
      <c r="D2135" s="19" t="s">
        <v>393</v>
      </c>
      <c r="E2135" s="18" t="s">
        <v>549</v>
      </c>
      <c r="F2135" s="18">
        <v>2</v>
      </c>
      <c r="G2135" s="20">
        <v>4000</v>
      </c>
      <c r="H2135" s="18">
        <v>0</v>
      </c>
      <c r="I2135" s="20">
        <v>4070</v>
      </c>
      <c r="J2135" s="8">
        <f t="shared" si="99"/>
        <v>-70</v>
      </c>
      <c r="K2135" s="10">
        <f t="shared" si="100"/>
        <v>-1.7500000000000002E-2</v>
      </c>
      <c r="L2135" s="17">
        <f t="shared" si="101"/>
        <v>0</v>
      </c>
      <c r="M2135" t="str">
        <f>VLOOKUP(D2135,'Jer-Tip-Emp'!B:E,4,0)</f>
        <v>Arma tu plato</v>
      </c>
      <c r="N2135" t="str">
        <f>VLOOKUP(D2135,'Jer-Tip-Emp'!B:F,5,0)</f>
        <v>Personal</v>
      </c>
      <c r="O2135" t="str">
        <f>VLOOKUP(D2135,'Jer-Tip-Emp'!B:G,6,0)</f>
        <v>Caja</v>
      </c>
    </row>
    <row r="2136" spans="1:15" ht="27.5" customHeight="1" x14ac:dyDescent="0.2">
      <c r="A2136">
        <v>2025</v>
      </c>
      <c r="B2136" t="s">
        <v>619</v>
      </c>
      <c r="C2136" t="s">
        <v>595</v>
      </c>
      <c r="D2136" s="19" t="s">
        <v>214</v>
      </c>
      <c r="E2136" s="18" t="s">
        <v>81</v>
      </c>
      <c r="F2136" s="18">
        <v>2</v>
      </c>
      <c r="G2136" s="20">
        <v>116800</v>
      </c>
      <c r="H2136" s="20">
        <v>-3000</v>
      </c>
      <c r="I2136" s="20">
        <v>47276</v>
      </c>
      <c r="J2136" s="8">
        <f t="shared" si="99"/>
        <v>69524</v>
      </c>
      <c r="K2136" s="10">
        <f t="shared" si="100"/>
        <v>0.59523972602739728</v>
      </c>
      <c r="L2136" s="17">
        <f t="shared" si="101"/>
        <v>2.5684931506849314E-2</v>
      </c>
      <c r="M2136" t="str">
        <f>VLOOKUP(D2136,'Jer-Tip-Emp'!B:E,4,0)</f>
        <v>Combos para compartir</v>
      </c>
      <c r="N2136" t="str">
        <f>VLOOKUP(D2136,'Jer-Tip-Emp'!B:F,5,0)</f>
        <v>No Personal</v>
      </c>
      <c r="O2136" t="str">
        <f>VLOOKUP(D2136,'Jer-Tip-Emp'!B:G,6,0)</f>
        <v>Combo</v>
      </c>
    </row>
    <row r="2137" spans="1:15" ht="27.5" hidden="1" customHeight="1" x14ac:dyDescent="0.2">
      <c r="A2137">
        <v>2025</v>
      </c>
      <c r="B2137" t="s">
        <v>619</v>
      </c>
      <c r="C2137" t="s">
        <v>595</v>
      </c>
      <c r="D2137" s="19" t="s">
        <v>309</v>
      </c>
      <c r="E2137" s="18" t="s">
        <v>48</v>
      </c>
      <c r="F2137" s="18">
        <v>2</v>
      </c>
      <c r="G2137" s="20">
        <v>7800</v>
      </c>
      <c r="H2137" s="18">
        <v>0</v>
      </c>
      <c r="I2137" s="20">
        <v>2326</v>
      </c>
      <c r="J2137" s="8">
        <f t="shared" si="99"/>
        <v>5474</v>
      </c>
      <c r="K2137" s="10">
        <f t="shared" si="100"/>
        <v>0.70179487179487177</v>
      </c>
      <c r="L2137" s="17">
        <f t="shared" si="101"/>
        <v>0</v>
      </c>
      <c r="M2137" t="str">
        <f>VLOOKUP(D2137,'Jer-Tip-Emp'!B:E,4,0)</f>
        <v>Bebidas</v>
      </c>
      <c r="N2137" t="str">
        <f>VLOOKUP(D2137,'Jer-Tip-Emp'!B:F,5,0)</f>
        <v>Bebidas</v>
      </c>
      <c r="O2137" t="str">
        <f>VLOOKUP(D2137,'Jer-Tip-Emp'!B:G,6,0)</f>
        <v>Bebidas</v>
      </c>
    </row>
    <row r="2138" spans="1:15" ht="27.5" hidden="1" customHeight="1" x14ac:dyDescent="0.2">
      <c r="A2138">
        <v>2025</v>
      </c>
      <c r="B2138" t="s">
        <v>619</v>
      </c>
      <c r="C2138" t="s">
        <v>595</v>
      </c>
      <c r="D2138" s="19" t="s">
        <v>327</v>
      </c>
      <c r="E2138" s="18" t="s">
        <v>44</v>
      </c>
      <c r="F2138" s="18">
        <v>2</v>
      </c>
      <c r="G2138" s="20">
        <v>9800</v>
      </c>
      <c r="H2138" s="18">
        <v>0</v>
      </c>
      <c r="I2138" s="20">
        <v>2190</v>
      </c>
      <c r="J2138" s="8">
        <f t="shared" si="99"/>
        <v>7610</v>
      </c>
      <c r="K2138" s="10">
        <f t="shared" si="100"/>
        <v>0.77653061224489794</v>
      </c>
      <c r="L2138" s="17">
        <f t="shared" si="101"/>
        <v>0</v>
      </c>
      <c r="M2138" t="str">
        <f>VLOOKUP(D2138,'Jer-Tip-Emp'!B:E,4,0)</f>
        <v>Bebidas</v>
      </c>
      <c r="N2138" t="str">
        <f>VLOOKUP(D2138,'Jer-Tip-Emp'!B:F,5,0)</f>
        <v>Bebidas</v>
      </c>
      <c r="O2138" t="str">
        <f>VLOOKUP(D2138,'Jer-Tip-Emp'!B:G,6,0)</f>
        <v>Bebidas</v>
      </c>
    </row>
    <row r="2139" spans="1:15" ht="27.5" hidden="1" customHeight="1" x14ac:dyDescent="0.2">
      <c r="A2139">
        <v>2025</v>
      </c>
      <c r="B2139" t="s">
        <v>619</v>
      </c>
      <c r="C2139" t="s">
        <v>595</v>
      </c>
      <c r="D2139" s="19" t="s">
        <v>490</v>
      </c>
      <c r="E2139" s="18" t="s">
        <v>554</v>
      </c>
      <c r="F2139" s="18">
        <v>1</v>
      </c>
      <c r="G2139" s="18">
        <v>0</v>
      </c>
      <c r="H2139" s="18">
        <v>0</v>
      </c>
      <c r="I2139" s="20">
        <v>2049</v>
      </c>
      <c r="J2139" s="8">
        <f t="shared" si="99"/>
        <v>-2049</v>
      </c>
      <c r="K2139" s="10">
        <f t="shared" si="100"/>
        <v>0</v>
      </c>
      <c r="L2139" s="17">
        <f t="shared" si="101"/>
        <v>0</v>
      </c>
      <c r="M2139" t="str">
        <f>VLOOKUP(D2139,'Jer-Tip-Emp'!B:E,4,0)</f>
        <v>Adición</v>
      </c>
      <c r="N2139" t="str">
        <f>VLOOKUP(D2139,'Jer-Tip-Emp'!B:F,5,0)</f>
        <v>Otro</v>
      </c>
      <c r="O2139" t="str">
        <f>VLOOKUP(D2139,'Jer-Tip-Emp'!B:G,6,0)</f>
        <v>Otro</v>
      </c>
    </row>
    <row r="2140" spans="1:15" ht="27.5" customHeight="1" x14ac:dyDescent="0.2">
      <c r="A2140">
        <v>2025</v>
      </c>
      <c r="B2140" t="s">
        <v>619</v>
      </c>
      <c r="C2140" t="s">
        <v>595</v>
      </c>
      <c r="D2140" s="19" t="s">
        <v>246</v>
      </c>
      <c r="E2140" s="18" t="s">
        <v>29</v>
      </c>
      <c r="F2140" s="18">
        <v>1</v>
      </c>
      <c r="G2140" s="20">
        <v>7900</v>
      </c>
      <c r="H2140" s="18">
        <v>0</v>
      </c>
      <c r="I2140" s="18">
        <v>0</v>
      </c>
      <c r="J2140" s="8">
        <f t="shared" si="99"/>
        <v>7900</v>
      </c>
      <c r="K2140" s="10">
        <f t="shared" si="100"/>
        <v>1</v>
      </c>
      <c r="L2140" s="17">
        <f t="shared" si="101"/>
        <v>0</v>
      </c>
      <c r="M2140" t="str">
        <f>VLOOKUP(D2140,'Jer-Tip-Emp'!B:E,4,0)</f>
        <v>Armalo en combo</v>
      </c>
      <c r="N2140" t="str">
        <f>VLOOKUP(D2140,'Jer-Tip-Emp'!B:F,5,0)</f>
        <v>Personal</v>
      </c>
      <c r="O2140" t="str">
        <f>VLOOKUP(D2140,'Jer-Tip-Emp'!B:G,6,0)</f>
        <v>Combo</v>
      </c>
    </row>
    <row r="2141" spans="1:15" ht="27.5" hidden="1" customHeight="1" x14ac:dyDescent="0.2">
      <c r="A2141">
        <v>2025</v>
      </c>
      <c r="B2141" t="s">
        <v>619</v>
      </c>
      <c r="C2141" t="s">
        <v>595</v>
      </c>
      <c r="D2141" s="19" t="s">
        <v>282</v>
      </c>
      <c r="E2141" s="18" t="s">
        <v>19</v>
      </c>
      <c r="F2141" s="18">
        <v>1</v>
      </c>
      <c r="G2141" s="20">
        <v>5900</v>
      </c>
      <c r="H2141" s="18">
        <v>0</v>
      </c>
      <c r="I2141" s="20">
        <v>4098</v>
      </c>
      <c r="J2141" s="8">
        <f t="shared" si="99"/>
        <v>1802</v>
      </c>
      <c r="K2141" s="10">
        <f t="shared" si="100"/>
        <v>0.30542372881355934</v>
      </c>
      <c r="L2141" s="17">
        <f t="shared" si="101"/>
        <v>0</v>
      </c>
      <c r="M2141" t="str">
        <f>VLOOKUP(D2141,'Jer-Tip-Emp'!B:E,4,0)</f>
        <v>Adición</v>
      </c>
      <c r="N2141" t="str">
        <f>VLOOKUP(D2141,'Jer-Tip-Emp'!B:F,5,0)</f>
        <v>Adición</v>
      </c>
      <c r="O2141" t="str">
        <f>VLOOKUP(D2141,'Jer-Tip-Emp'!B:G,6,0)</f>
        <v>Adición</v>
      </c>
    </row>
    <row r="2142" spans="1:15" ht="27.5" customHeight="1" x14ac:dyDescent="0.2">
      <c r="A2142">
        <v>2025</v>
      </c>
      <c r="B2142" t="s">
        <v>619</v>
      </c>
      <c r="C2142" t="s">
        <v>595</v>
      </c>
      <c r="D2142" s="19" t="s">
        <v>235</v>
      </c>
      <c r="E2142" s="18" t="s">
        <v>147</v>
      </c>
      <c r="F2142" s="18">
        <v>1</v>
      </c>
      <c r="G2142" s="20">
        <v>49900</v>
      </c>
      <c r="H2142" s="18">
        <v>0</v>
      </c>
      <c r="I2142" s="20">
        <v>18818</v>
      </c>
      <c r="J2142" s="8">
        <f t="shared" si="99"/>
        <v>31082</v>
      </c>
      <c r="K2142" s="10">
        <f t="shared" si="100"/>
        <v>0.62288577154308622</v>
      </c>
      <c r="L2142" s="17">
        <f t="shared" si="101"/>
        <v>0</v>
      </c>
      <c r="M2142" t="str">
        <f>VLOOKUP(D2142,'Jer-Tip-Emp'!B:E,4,0)</f>
        <v>Platos mong</v>
      </c>
      <c r="N2142" t="str">
        <f>VLOOKUP(D2142,'Jer-Tip-Emp'!B:F,5,0)</f>
        <v>No Personal</v>
      </c>
      <c r="O2142" t="str">
        <f>VLOOKUP(D2142,'Jer-Tip-Emp'!B:G,6,0)</f>
        <v>Caja</v>
      </c>
    </row>
    <row r="2143" spans="1:15" ht="27.5" hidden="1" customHeight="1" x14ac:dyDescent="0.2">
      <c r="A2143">
        <v>2025</v>
      </c>
      <c r="B2143" t="s">
        <v>619</v>
      </c>
      <c r="C2143" t="s">
        <v>595</v>
      </c>
      <c r="D2143" s="19" t="s">
        <v>403</v>
      </c>
      <c r="E2143" s="18" t="s">
        <v>45</v>
      </c>
      <c r="F2143" s="18">
        <v>1</v>
      </c>
      <c r="G2143" s="20">
        <v>9900</v>
      </c>
      <c r="H2143" s="18">
        <v>0</v>
      </c>
      <c r="I2143" s="20">
        <v>4501</v>
      </c>
      <c r="J2143" s="8">
        <f t="shared" si="99"/>
        <v>5399</v>
      </c>
      <c r="K2143" s="10">
        <f t="shared" si="100"/>
        <v>0.54535353535353537</v>
      </c>
      <c r="L2143" s="17">
        <f t="shared" si="101"/>
        <v>0</v>
      </c>
      <c r="M2143" t="str">
        <f>VLOOKUP(D2143,'Jer-Tip-Emp'!B:E,4,0)</f>
        <v>Bebidas</v>
      </c>
      <c r="N2143" t="str">
        <f>VLOOKUP(D2143,'Jer-Tip-Emp'!B:F,5,0)</f>
        <v>Bebidas</v>
      </c>
      <c r="O2143" t="str">
        <f>VLOOKUP(D2143,'Jer-Tip-Emp'!B:G,6,0)</f>
        <v>Bebidas</v>
      </c>
    </row>
    <row r="2144" spans="1:15" ht="27.5" hidden="1" customHeight="1" x14ac:dyDescent="0.2">
      <c r="A2144">
        <v>2025</v>
      </c>
      <c r="B2144" t="s">
        <v>619</v>
      </c>
      <c r="C2144" t="s">
        <v>595</v>
      </c>
      <c r="D2144" s="19" t="s">
        <v>321</v>
      </c>
      <c r="E2144" s="18" t="s">
        <v>72</v>
      </c>
      <c r="F2144" s="18">
        <v>1</v>
      </c>
      <c r="G2144" s="20">
        <v>4900</v>
      </c>
      <c r="H2144" s="18">
        <v>0</v>
      </c>
      <c r="I2144" s="20">
        <v>1330</v>
      </c>
      <c r="J2144" s="8">
        <f t="shared" si="99"/>
        <v>3570</v>
      </c>
      <c r="K2144" s="10">
        <f t="shared" si="100"/>
        <v>0.72857142857142854</v>
      </c>
      <c r="L2144" s="17">
        <f t="shared" si="101"/>
        <v>0</v>
      </c>
      <c r="M2144" t="str">
        <f>VLOOKUP(D2144,'Jer-Tip-Emp'!B:E,4,0)</f>
        <v>Bebidas</v>
      </c>
      <c r="N2144" t="str">
        <f>VLOOKUP(D2144,'Jer-Tip-Emp'!B:F,5,0)</f>
        <v>Bebidas</v>
      </c>
      <c r="O2144" t="str">
        <f>VLOOKUP(D2144,'Jer-Tip-Emp'!B:G,6,0)</f>
        <v>Bebidas</v>
      </c>
    </row>
    <row r="2145" spans="1:15" ht="27.5" customHeight="1" x14ac:dyDescent="0.2">
      <c r="A2145">
        <v>2025</v>
      </c>
      <c r="B2145" t="s">
        <v>619</v>
      </c>
      <c r="C2145" t="s">
        <v>595</v>
      </c>
      <c r="D2145" s="19" t="s">
        <v>185</v>
      </c>
      <c r="E2145" s="18" t="s">
        <v>137</v>
      </c>
      <c r="F2145" s="18">
        <v>1</v>
      </c>
      <c r="G2145" s="20">
        <v>39900</v>
      </c>
      <c r="H2145" s="18">
        <v>0</v>
      </c>
      <c r="I2145" s="20">
        <v>20053</v>
      </c>
      <c r="J2145" s="8">
        <f t="shared" si="99"/>
        <v>19847</v>
      </c>
      <c r="K2145" s="10">
        <f t="shared" si="100"/>
        <v>0.49741854636591476</v>
      </c>
      <c r="L2145" s="17">
        <f t="shared" si="101"/>
        <v>0</v>
      </c>
      <c r="M2145" t="str">
        <f>VLOOKUP(D2145,'Jer-Tip-Emp'!B:E,4,0)</f>
        <v>Platos mong</v>
      </c>
      <c r="N2145" t="str">
        <f>VLOOKUP(D2145,'Jer-Tip-Emp'!B:F,5,0)</f>
        <v>No Personal</v>
      </c>
      <c r="O2145" t="str">
        <f>VLOOKUP(D2145,'Jer-Tip-Emp'!B:G,6,0)</f>
        <v>Platos Especiales</v>
      </c>
    </row>
    <row r="2146" spans="1:15" ht="27.5" customHeight="1" x14ac:dyDescent="0.2">
      <c r="A2146">
        <v>2025</v>
      </c>
      <c r="B2146" t="s">
        <v>619</v>
      </c>
      <c r="C2146" t="s">
        <v>595</v>
      </c>
      <c r="D2146" s="19" t="s">
        <v>278</v>
      </c>
      <c r="E2146" s="18" t="s">
        <v>84</v>
      </c>
      <c r="F2146" s="18">
        <v>1</v>
      </c>
      <c r="G2146" s="20">
        <v>20900</v>
      </c>
      <c r="H2146" s="18">
        <v>0</v>
      </c>
      <c r="I2146" s="20">
        <v>7973</v>
      </c>
      <c r="J2146" s="8">
        <f t="shared" si="99"/>
        <v>12927</v>
      </c>
      <c r="K2146" s="10">
        <f t="shared" si="100"/>
        <v>0.61851674641148324</v>
      </c>
      <c r="L2146" s="17">
        <f t="shared" si="101"/>
        <v>0</v>
      </c>
      <c r="M2146" t="str">
        <f>VLOOKUP(D2146,'Jer-Tip-Emp'!B:E,4,0)</f>
        <v>Combos para compartir</v>
      </c>
      <c r="N2146" t="str">
        <f>VLOOKUP(D2146,'Jer-Tip-Emp'!B:F,5,0)</f>
        <v>No Personal</v>
      </c>
      <c r="O2146" t="str">
        <f>VLOOKUP(D2146,'Jer-Tip-Emp'!B:G,6,0)</f>
        <v>Combo</v>
      </c>
    </row>
    <row r="2147" spans="1:15" ht="27.5" customHeight="1" x14ac:dyDescent="0.2">
      <c r="A2147">
        <v>2025</v>
      </c>
      <c r="B2147" t="s">
        <v>619</v>
      </c>
      <c r="C2147" t="s">
        <v>595</v>
      </c>
      <c r="D2147" s="19" t="s">
        <v>294</v>
      </c>
      <c r="E2147" s="18" t="s">
        <v>108</v>
      </c>
      <c r="F2147" s="18">
        <v>1</v>
      </c>
      <c r="G2147" s="20">
        <v>19900</v>
      </c>
      <c r="H2147" s="18">
        <v>0</v>
      </c>
      <c r="I2147" s="20">
        <v>8183</v>
      </c>
      <c r="J2147" s="8">
        <f t="shared" si="99"/>
        <v>11717</v>
      </c>
      <c r="K2147" s="10">
        <f t="shared" si="100"/>
        <v>0.58879396984924626</v>
      </c>
      <c r="L2147" s="17">
        <f t="shared" si="101"/>
        <v>0</v>
      </c>
      <c r="M2147" t="str">
        <f>VLOOKUP(D2147,'Jer-Tip-Emp'!B:E,4,0)</f>
        <v>Mong Express</v>
      </c>
      <c r="N2147" t="str">
        <f>VLOOKUP(D2147,'Jer-Tip-Emp'!B:F,5,0)</f>
        <v>Personal</v>
      </c>
      <c r="O2147" t="str">
        <f>VLOOKUP(D2147,'Jer-Tip-Emp'!B:G,6,0)</f>
        <v>Caja</v>
      </c>
    </row>
    <row r="2148" spans="1:15" ht="27.5" customHeight="1" x14ac:dyDescent="0.2">
      <c r="A2148">
        <v>2025</v>
      </c>
      <c r="B2148" t="s">
        <v>619</v>
      </c>
      <c r="C2148" t="s">
        <v>595</v>
      </c>
      <c r="D2148" s="19" t="s">
        <v>180</v>
      </c>
      <c r="E2148" s="18" t="s">
        <v>128</v>
      </c>
      <c r="F2148" s="18">
        <v>1</v>
      </c>
      <c r="G2148" s="20">
        <v>20900</v>
      </c>
      <c r="H2148" s="18">
        <v>0</v>
      </c>
      <c r="I2148" s="20">
        <v>6838</v>
      </c>
      <c r="J2148" s="8">
        <f t="shared" si="99"/>
        <v>14062</v>
      </c>
      <c r="K2148" s="10">
        <f t="shared" si="100"/>
        <v>0.67282296650717699</v>
      </c>
      <c r="L2148" s="17">
        <f t="shared" si="101"/>
        <v>0</v>
      </c>
      <c r="M2148" t="str">
        <f>VLOOKUP(D2148,'Jer-Tip-Emp'!B:E,4,0)</f>
        <v>Platos mong</v>
      </c>
      <c r="N2148" t="str">
        <f>VLOOKUP(D2148,'Jer-Tip-Emp'!B:F,5,0)</f>
        <v>Personal</v>
      </c>
      <c r="O2148" t="str">
        <f>VLOOKUP(D2148,'Jer-Tip-Emp'!B:G,6,0)</f>
        <v>Caja</v>
      </c>
    </row>
    <row r="2149" spans="1:15" ht="27.5" hidden="1" customHeight="1" x14ac:dyDescent="0.2">
      <c r="A2149">
        <v>2025</v>
      </c>
      <c r="B2149" t="s">
        <v>619</v>
      </c>
      <c r="C2149" t="s">
        <v>595</v>
      </c>
      <c r="D2149" s="19" t="s">
        <v>189</v>
      </c>
      <c r="E2149" s="18" t="s">
        <v>21</v>
      </c>
      <c r="F2149" s="18">
        <v>1</v>
      </c>
      <c r="G2149" s="20">
        <v>6900</v>
      </c>
      <c r="H2149" s="18">
        <v>0</v>
      </c>
      <c r="I2149" s="20">
        <v>2464</v>
      </c>
      <c r="J2149" s="8">
        <f t="shared" si="99"/>
        <v>4436</v>
      </c>
      <c r="K2149" s="10">
        <f t="shared" si="100"/>
        <v>0.64289855072463764</v>
      </c>
      <c r="L2149" s="17">
        <f t="shared" si="101"/>
        <v>0</v>
      </c>
      <c r="M2149" t="str">
        <f>VLOOKUP(D2149,'Jer-Tip-Emp'!B:E,4,0)</f>
        <v>Adición</v>
      </c>
      <c r="N2149" t="str">
        <f>VLOOKUP(D2149,'Jer-Tip-Emp'!B:F,5,0)</f>
        <v>Adición</v>
      </c>
      <c r="O2149" t="str">
        <f>VLOOKUP(D2149,'Jer-Tip-Emp'!B:G,6,0)</f>
        <v>Adición</v>
      </c>
    </row>
    <row r="2150" spans="1:15" ht="27.5" hidden="1" customHeight="1" x14ac:dyDescent="0.2">
      <c r="A2150">
        <v>2025</v>
      </c>
      <c r="B2150" t="s">
        <v>619</v>
      </c>
      <c r="C2150" t="s">
        <v>595</v>
      </c>
      <c r="D2150" s="19" t="s">
        <v>268</v>
      </c>
      <c r="E2150" s="18" t="s">
        <v>17</v>
      </c>
      <c r="F2150" s="18">
        <v>1</v>
      </c>
      <c r="G2150" s="20">
        <v>5900</v>
      </c>
      <c r="H2150" s="18">
        <v>0</v>
      </c>
      <c r="I2150" s="20">
        <v>1282</v>
      </c>
      <c r="J2150" s="8">
        <f t="shared" si="99"/>
        <v>4618</v>
      </c>
      <c r="K2150" s="10">
        <f t="shared" si="100"/>
        <v>0.78271186440677964</v>
      </c>
      <c r="L2150" s="17">
        <f t="shared" si="101"/>
        <v>0</v>
      </c>
      <c r="M2150" t="str">
        <f>VLOOKUP(D2150,'Jer-Tip-Emp'!B:E,4,0)</f>
        <v>Adición</v>
      </c>
      <c r="N2150" t="str">
        <f>VLOOKUP(D2150,'Jer-Tip-Emp'!B:F,5,0)</f>
        <v>Adición</v>
      </c>
      <c r="O2150" t="str">
        <f>VLOOKUP(D2150,'Jer-Tip-Emp'!B:G,6,0)</f>
        <v>Adición</v>
      </c>
    </row>
    <row r="2151" spans="1:15" ht="27.5" customHeight="1" x14ac:dyDescent="0.2">
      <c r="A2151">
        <v>2025</v>
      </c>
      <c r="B2151" t="s">
        <v>619</v>
      </c>
      <c r="C2151" t="s">
        <v>595</v>
      </c>
      <c r="D2151" s="19" t="s">
        <v>205</v>
      </c>
      <c r="E2151" s="18" t="s">
        <v>141</v>
      </c>
      <c r="F2151" s="18">
        <v>1</v>
      </c>
      <c r="G2151" s="20">
        <v>15900</v>
      </c>
      <c r="H2151" s="18">
        <v>0</v>
      </c>
      <c r="I2151" s="20">
        <v>6064</v>
      </c>
      <c r="J2151" s="8">
        <f t="shared" si="99"/>
        <v>9836</v>
      </c>
      <c r="K2151" s="10">
        <f t="shared" si="100"/>
        <v>0.61861635220125788</v>
      </c>
      <c r="L2151" s="17">
        <f t="shared" si="101"/>
        <v>0</v>
      </c>
      <c r="M2151" t="str">
        <f>VLOOKUP(D2151,'Jer-Tip-Emp'!B:E,4,0)</f>
        <v>Platos mong</v>
      </c>
      <c r="N2151" t="str">
        <f>VLOOKUP(D2151,'Jer-Tip-Emp'!B:F,5,0)</f>
        <v>Personal</v>
      </c>
      <c r="O2151" t="str">
        <f>VLOOKUP(D2151,'Jer-Tip-Emp'!B:G,6,0)</f>
        <v>Caja</v>
      </c>
    </row>
    <row r="2152" spans="1:15" ht="27.5" hidden="1" customHeight="1" x14ac:dyDescent="0.2">
      <c r="A2152">
        <v>2025</v>
      </c>
      <c r="B2152" t="s">
        <v>619</v>
      </c>
      <c r="C2152" t="s">
        <v>595</v>
      </c>
      <c r="D2152" s="19" t="s">
        <v>350</v>
      </c>
      <c r="E2152" s="18" t="s">
        <v>66</v>
      </c>
      <c r="F2152" s="18">
        <v>1</v>
      </c>
      <c r="G2152" s="20">
        <v>4900</v>
      </c>
      <c r="H2152" s="18">
        <v>0</v>
      </c>
      <c r="I2152" s="20">
        <v>1560</v>
      </c>
      <c r="J2152" s="8">
        <f t="shared" si="99"/>
        <v>3340</v>
      </c>
      <c r="K2152" s="10">
        <f t="shared" si="100"/>
        <v>0.68163265306122445</v>
      </c>
      <c r="L2152" s="17">
        <f t="shared" si="101"/>
        <v>0</v>
      </c>
      <c r="M2152" t="str">
        <f>VLOOKUP(D2152,'Jer-Tip-Emp'!B:E,4,0)</f>
        <v>Bebidas</v>
      </c>
      <c r="N2152" t="str">
        <f>VLOOKUP(D2152,'Jer-Tip-Emp'!B:F,5,0)</f>
        <v>Bebidas</v>
      </c>
      <c r="O2152" t="str">
        <f>VLOOKUP(D2152,'Jer-Tip-Emp'!B:G,6,0)</f>
        <v>Bebidas</v>
      </c>
    </row>
    <row r="2153" spans="1:15" ht="27.5" hidden="1" customHeight="1" x14ac:dyDescent="0.2">
      <c r="A2153">
        <v>2025</v>
      </c>
      <c r="B2153" t="s">
        <v>619</v>
      </c>
      <c r="C2153" t="s">
        <v>595</v>
      </c>
      <c r="D2153" s="19" t="s">
        <v>494</v>
      </c>
      <c r="E2153" s="18" t="s">
        <v>568</v>
      </c>
      <c r="F2153" s="18">
        <v>1</v>
      </c>
      <c r="G2153" s="20">
        <v>1600</v>
      </c>
      <c r="H2153" s="18">
        <v>0</v>
      </c>
      <c r="I2153" s="20">
        <v>2139</v>
      </c>
      <c r="J2153" s="8">
        <f t="shared" si="99"/>
        <v>-539</v>
      </c>
      <c r="K2153" s="10">
        <f t="shared" si="100"/>
        <v>-0.33687499999999998</v>
      </c>
      <c r="L2153" s="17">
        <f t="shared" si="101"/>
        <v>0</v>
      </c>
      <c r="M2153" t="str">
        <f>VLOOKUP(D2153,'Jer-Tip-Emp'!B:E,4,0)</f>
        <v>Bebidas</v>
      </c>
      <c r="N2153" t="str">
        <f>VLOOKUP(D2153,'Jer-Tip-Emp'!B:F,5,0)</f>
        <v>Bebidas Cambio de bebida</v>
      </c>
      <c r="O2153" t="str">
        <f>VLOOKUP(D2153,'Jer-Tip-Emp'!B:G,6,0)</f>
        <v>Bebidas</v>
      </c>
    </row>
    <row r="2154" spans="1:15" ht="27.5" customHeight="1" x14ac:dyDescent="0.2">
      <c r="A2154">
        <v>2025</v>
      </c>
      <c r="B2154" t="s">
        <v>619</v>
      </c>
      <c r="C2154" t="s">
        <v>595</v>
      </c>
      <c r="D2154" s="19" t="s">
        <v>228</v>
      </c>
      <c r="E2154" s="18" t="s">
        <v>96</v>
      </c>
      <c r="F2154" s="18">
        <v>1</v>
      </c>
      <c r="G2154" s="20">
        <v>28900</v>
      </c>
      <c r="H2154" s="18">
        <v>0</v>
      </c>
      <c r="I2154" s="20">
        <v>10247</v>
      </c>
      <c r="J2154" s="8">
        <f t="shared" si="99"/>
        <v>18653</v>
      </c>
      <c r="K2154" s="10">
        <f t="shared" si="100"/>
        <v>0.64543252595155709</v>
      </c>
      <c r="L2154" s="17">
        <f t="shared" si="101"/>
        <v>0</v>
      </c>
      <c r="M2154" t="str">
        <f>VLOOKUP(D2154,'Jer-Tip-Emp'!B:E,4,0)</f>
        <v>Combos personales</v>
      </c>
      <c r="N2154" t="str">
        <f>VLOOKUP(D2154,'Jer-Tip-Emp'!B:F,5,0)</f>
        <v>Personal</v>
      </c>
      <c r="O2154" t="str">
        <f>VLOOKUP(D2154,'Jer-Tip-Emp'!B:G,6,0)</f>
        <v>Combo</v>
      </c>
    </row>
    <row r="2155" spans="1:15" ht="27.5" hidden="1" customHeight="1" x14ac:dyDescent="0.2">
      <c r="A2155">
        <v>2025</v>
      </c>
      <c r="B2155" t="s">
        <v>619</v>
      </c>
      <c r="C2155" t="s">
        <v>595</v>
      </c>
      <c r="D2155" s="19" t="s">
        <v>253</v>
      </c>
      <c r="E2155" s="18" t="s">
        <v>105</v>
      </c>
      <c r="F2155" s="18">
        <v>1</v>
      </c>
      <c r="G2155" s="20">
        <v>5000</v>
      </c>
      <c r="H2155" s="18">
        <v>0</v>
      </c>
      <c r="I2155" s="20">
        <v>1569</v>
      </c>
      <c r="J2155" s="8">
        <f t="shared" si="99"/>
        <v>3431</v>
      </c>
      <c r="K2155" s="10">
        <f t="shared" si="100"/>
        <v>0.68620000000000003</v>
      </c>
      <c r="L2155" s="17">
        <f t="shared" si="101"/>
        <v>0</v>
      </c>
      <c r="M2155" t="str">
        <f>VLOOKUP(D2155,'Jer-Tip-Emp'!B:E,4,0)</f>
        <v>Entradas</v>
      </c>
      <c r="N2155" t="str">
        <f>VLOOKUP(D2155,'Jer-Tip-Emp'!B:F,5,0)</f>
        <v>Otro</v>
      </c>
      <c r="O2155" t="str">
        <f>VLOOKUP(D2155,'Jer-Tip-Emp'!B:G,6,0)</f>
        <v>Otro</v>
      </c>
    </row>
    <row r="2156" spans="1:15" ht="27.5" hidden="1" customHeight="1" x14ac:dyDescent="0.2">
      <c r="A2156">
        <v>2025</v>
      </c>
      <c r="B2156" t="s">
        <v>619</v>
      </c>
      <c r="C2156" t="s">
        <v>595</v>
      </c>
      <c r="D2156" s="19" t="s">
        <v>351</v>
      </c>
      <c r="E2156" s="18" t="s">
        <v>55</v>
      </c>
      <c r="F2156" s="18">
        <v>1</v>
      </c>
      <c r="G2156" s="20">
        <v>5900</v>
      </c>
      <c r="H2156" s="18">
        <v>0</v>
      </c>
      <c r="I2156" s="20">
        <v>1448</v>
      </c>
      <c r="J2156" s="8">
        <f t="shared" si="99"/>
        <v>4452</v>
      </c>
      <c r="K2156" s="10">
        <f t="shared" si="100"/>
        <v>0.75457627118644066</v>
      </c>
      <c r="L2156" s="17">
        <f t="shared" si="101"/>
        <v>0</v>
      </c>
      <c r="M2156" t="str">
        <f>VLOOKUP(D2156,'Jer-Tip-Emp'!B:E,4,0)</f>
        <v>Bebidas</v>
      </c>
      <c r="N2156" t="str">
        <f>VLOOKUP(D2156,'Jer-Tip-Emp'!B:F,5,0)</f>
        <v>Bebidas</v>
      </c>
      <c r="O2156" t="str">
        <f>VLOOKUP(D2156,'Jer-Tip-Emp'!B:G,6,0)</f>
        <v>Bebidas</v>
      </c>
    </row>
    <row r="2157" spans="1:15" ht="27.5" customHeight="1" x14ac:dyDescent="0.2">
      <c r="A2157">
        <v>2025</v>
      </c>
      <c r="B2157" t="s">
        <v>619</v>
      </c>
      <c r="C2157" t="s">
        <v>595</v>
      </c>
      <c r="D2157" s="19" t="s">
        <v>285</v>
      </c>
      <c r="E2157" s="18" t="s">
        <v>146</v>
      </c>
      <c r="F2157" s="18">
        <v>1</v>
      </c>
      <c r="G2157" s="20">
        <v>21900</v>
      </c>
      <c r="H2157" s="18">
        <v>0</v>
      </c>
      <c r="I2157" s="20">
        <v>8464</v>
      </c>
      <c r="J2157" s="8">
        <f t="shared" si="99"/>
        <v>13436</v>
      </c>
      <c r="K2157" s="10">
        <f t="shared" si="100"/>
        <v>0.61351598173515987</v>
      </c>
      <c r="L2157" s="17">
        <f t="shared" si="101"/>
        <v>0</v>
      </c>
      <c r="M2157" t="str">
        <f>VLOOKUP(D2157,'Jer-Tip-Emp'!B:E,4,0)</f>
        <v>Platos mong</v>
      </c>
      <c r="N2157" t="str">
        <f>VLOOKUP(D2157,'Jer-Tip-Emp'!B:F,5,0)</f>
        <v>Personal</v>
      </c>
      <c r="O2157" t="str">
        <f>VLOOKUP(D2157,'Jer-Tip-Emp'!B:G,6,0)</f>
        <v>Caja</v>
      </c>
    </row>
    <row r="2158" spans="1:15" ht="27.5" customHeight="1" x14ac:dyDescent="0.2">
      <c r="A2158">
        <v>2025</v>
      </c>
      <c r="B2158" t="s">
        <v>619</v>
      </c>
      <c r="C2158" t="s">
        <v>595</v>
      </c>
      <c r="D2158" s="19" t="s">
        <v>299</v>
      </c>
      <c r="E2158" s="18" t="s">
        <v>129</v>
      </c>
      <c r="F2158" s="18">
        <v>1</v>
      </c>
      <c r="G2158" s="20">
        <v>42900</v>
      </c>
      <c r="H2158" s="18">
        <v>0</v>
      </c>
      <c r="I2158" s="20">
        <v>11332</v>
      </c>
      <c r="J2158" s="8">
        <f t="shared" si="99"/>
        <v>31568</v>
      </c>
      <c r="K2158" s="10">
        <f t="shared" si="100"/>
        <v>0.7358508158508158</v>
      </c>
      <c r="L2158" s="17">
        <f t="shared" si="101"/>
        <v>0</v>
      </c>
      <c r="M2158" t="str">
        <f>VLOOKUP(D2158,'Jer-Tip-Emp'!B:E,4,0)</f>
        <v>Platos mong</v>
      </c>
      <c r="N2158" t="str">
        <f>VLOOKUP(D2158,'Jer-Tip-Emp'!B:F,5,0)</f>
        <v>No Personal</v>
      </c>
      <c r="O2158" t="str">
        <f>VLOOKUP(D2158,'Jer-Tip-Emp'!B:G,6,0)</f>
        <v>Caja</v>
      </c>
    </row>
    <row r="2159" spans="1:15" ht="27.5" hidden="1" customHeight="1" x14ac:dyDescent="0.2">
      <c r="A2159">
        <v>2025</v>
      </c>
      <c r="B2159" t="s">
        <v>619</v>
      </c>
      <c r="C2159" t="s">
        <v>595</v>
      </c>
      <c r="D2159" s="19" t="s">
        <v>450</v>
      </c>
      <c r="E2159" s="18" t="s">
        <v>565</v>
      </c>
      <c r="F2159" s="18">
        <v>1</v>
      </c>
      <c r="G2159" s="20">
        <v>1600</v>
      </c>
      <c r="H2159" s="18">
        <v>0</v>
      </c>
      <c r="I2159" s="20">
        <v>1874</v>
      </c>
      <c r="J2159" s="8">
        <f t="shared" si="99"/>
        <v>-274</v>
      </c>
      <c r="K2159" s="10">
        <f t="shared" si="100"/>
        <v>-0.17125000000000001</v>
      </c>
      <c r="L2159" s="17">
        <f t="shared" si="101"/>
        <v>0</v>
      </c>
      <c r="M2159" t="str">
        <f>VLOOKUP(D2159,'Jer-Tip-Emp'!B:E,4,0)</f>
        <v>Bebidas</v>
      </c>
      <c r="N2159" t="str">
        <f>VLOOKUP(D2159,'Jer-Tip-Emp'!B:F,5,0)</f>
        <v>Bebidas Cambio de bebida</v>
      </c>
      <c r="O2159" t="str">
        <f>VLOOKUP(D2159,'Jer-Tip-Emp'!B:G,6,0)</f>
        <v>Bebidas</v>
      </c>
    </row>
    <row r="2160" spans="1:15" ht="27.5" customHeight="1" x14ac:dyDescent="0.2">
      <c r="A2160">
        <v>2025</v>
      </c>
      <c r="B2160" t="s">
        <v>626</v>
      </c>
      <c r="C2160" t="s">
        <v>609</v>
      </c>
      <c r="D2160" s="19" t="s">
        <v>207</v>
      </c>
      <c r="E2160" s="18" t="s">
        <v>92</v>
      </c>
      <c r="F2160" s="18">
        <v>179</v>
      </c>
      <c r="G2160" s="20">
        <v>3912029</v>
      </c>
      <c r="H2160" s="20">
        <v>-8071</v>
      </c>
      <c r="I2160" s="20">
        <v>1723233</v>
      </c>
      <c r="J2160" s="8">
        <f t="shared" si="99"/>
        <v>2188796</v>
      </c>
      <c r="K2160" s="10">
        <f t="shared" si="100"/>
        <v>0.55950403230650902</v>
      </c>
      <c r="L2160" s="17">
        <f t="shared" si="101"/>
        <v>2.0631237651868124E-3</v>
      </c>
      <c r="M2160" t="str">
        <f>VLOOKUP(D2160,'Jer-Tip-Emp'!B:E,4,0)</f>
        <v>Combos personales</v>
      </c>
      <c r="N2160" t="str">
        <f>VLOOKUP(D2160,'Jer-Tip-Emp'!B:F,5,0)</f>
        <v>Personal</v>
      </c>
      <c r="O2160" t="str">
        <f>VLOOKUP(D2160,'Jer-Tip-Emp'!B:G,6,0)</f>
        <v>Combo</v>
      </c>
    </row>
    <row r="2161" spans="1:15" ht="27.5" customHeight="1" x14ac:dyDescent="0.2">
      <c r="A2161">
        <v>2025</v>
      </c>
      <c r="B2161" t="s">
        <v>626</v>
      </c>
      <c r="C2161" t="s">
        <v>609</v>
      </c>
      <c r="D2161" s="19" t="s">
        <v>273</v>
      </c>
      <c r="E2161" s="18" t="s">
        <v>23</v>
      </c>
      <c r="F2161" s="18">
        <v>163</v>
      </c>
      <c r="G2161" s="20">
        <v>3984000</v>
      </c>
      <c r="H2161" s="20">
        <v>-74700</v>
      </c>
      <c r="I2161" s="18">
        <v>0</v>
      </c>
      <c r="J2161" s="8">
        <f t="shared" si="99"/>
        <v>3984000</v>
      </c>
      <c r="K2161" s="10">
        <f t="shared" si="100"/>
        <v>1</v>
      </c>
      <c r="L2161" s="17">
        <f t="shared" si="101"/>
        <v>1.8749999999999999E-2</v>
      </c>
      <c r="M2161" t="str">
        <f>VLOOKUP(D2161,'Jer-Tip-Emp'!B:E,4,0)</f>
        <v>Arma tu plato</v>
      </c>
      <c r="N2161" t="str">
        <f>VLOOKUP(D2161,'Jer-Tip-Emp'!B:F,5,0)</f>
        <v>Personal</v>
      </c>
      <c r="O2161" t="str">
        <f>VLOOKUP(D2161,'Jer-Tip-Emp'!B:G,6,0)</f>
        <v>Caja</v>
      </c>
    </row>
    <row r="2162" spans="1:15" ht="27.5" customHeight="1" x14ac:dyDescent="0.2">
      <c r="A2162">
        <v>2025</v>
      </c>
      <c r="B2162" t="s">
        <v>626</v>
      </c>
      <c r="C2162" t="s">
        <v>609</v>
      </c>
      <c r="D2162" s="19" t="s">
        <v>313</v>
      </c>
      <c r="E2162" s="18" t="s">
        <v>540</v>
      </c>
      <c r="F2162" s="18">
        <v>118</v>
      </c>
      <c r="G2162" s="18">
        <v>0</v>
      </c>
      <c r="H2162" s="18">
        <v>0</v>
      </c>
      <c r="I2162" s="20">
        <v>647938</v>
      </c>
      <c r="J2162" s="8">
        <f t="shared" si="99"/>
        <v>-647938</v>
      </c>
      <c r="K2162" s="10">
        <f t="shared" si="100"/>
        <v>0</v>
      </c>
      <c r="L2162" s="17">
        <f t="shared" si="101"/>
        <v>0</v>
      </c>
      <c r="M2162" t="str">
        <f>VLOOKUP(D2162,'Jer-Tip-Emp'!B:E,4,0)</f>
        <v>Arma tu plato</v>
      </c>
      <c r="N2162" t="str">
        <f>VLOOKUP(D2162,'Jer-Tip-Emp'!B:F,5,0)</f>
        <v>Personal</v>
      </c>
      <c r="O2162" t="str">
        <f>VLOOKUP(D2162,'Jer-Tip-Emp'!B:G,6,0)</f>
        <v>Caja</v>
      </c>
    </row>
    <row r="2163" spans="1:15" ht="27.5" customHeight="1" x14ac:dyDescent="0.2">
      <c r="A2163">
        <v>2025</v>
      </c>
      <c r="B2163" t="s">
        <v>626</v>
      </c>
      <c r="C2163" t="s">
        <v>609</v>
      </c>
      <c r="D2163" s="19" t="s">
        <v>294</v>
      </c>
      <c r="E2163" s="18" t="s">
        <v>108</v>
      </c>
      <c r="F2163" s="18">
        <v>117</v>
      </c>
      <c r="G2163" s="20">
        <v>2209300</v>
      </c>
      <c r="H2163" s="20">
        <v>-2000</v>
      </c>
      <c r="I2163" s="20">
        <v>957411</v>
      </c>
      <c r="J2163" s="8">
        <f t="shared" si="99"/>
        <v>1251889</v>
      </c>
      <c r="K2163" s="10">
        <f t="shared" si="100"/>
        <v>0.56664509120535911</v>
      </c>
      <c r="L2163" s="17">
        <f t="shared" si="101"/>
        <v>9.0526411080432711E-4</v>
      </c>
      <c r="M2163" t="str">
        <f>VLOOKUP(D2163,'Jer-Tip-Emp'!B:E,4,0)</f>
        <v>Mong Express</v>
      </c>
      <c r="N2163" t="str">
        <f>VLOOKUP(D2163,'Jer-Tip-Emp'!B:F,5,0)</f>
        <v>Personal</v>
      </c>
      <c r="O2163" t="str">
        <f>VLOOKUP(D2163,'Jer-Tip-Emp'!B:G,6,0)</f>
        <v>Caja</v>
      </c>
    </row>
    <row r="2164" spans="1:15" ht="27.5" customHeight="1" x14ac:dyDescent="0.2">
      <c r="A2164">
        <v>2025</v>
      </c>
      <c r="B2164" t="s">
        <v>626</v>
      </c>
      <c r="C2164" t="s">
        <v>609</v>
      </c>
      <c r="D2164" s="19" t="s">
        <v>196</v>
      </c>
      <c r="E2164" s="18" t="s">
        <v>159</v>
      </c>
      <c r="F2164" s="18">
        <v>100</v>
      </c>
      <c r="G2164" s="20">
        <v>2386000</v>
      </c>
      <c r="H2164" s="20">
        <v>-4000</v>
      </c>
      <c r="I2164" s="20">
        <v>950100</v>
      </c>
      <c r="J2164" s="8">
        <f t="shared" si="99"/>
        <v>1435900</v>
      </c>
      <c r="K2164" s="10">
        <f t="shared" si="100"/>
        <v>0.60180217937971503</v>
      </c>
      <c r="L2164" s="17">
        <f t="shared" si="101"/>
        <v>1.6764459346186086E-3</v>
      </c>
      <c r="M2164" t="str">
        <f>VLOOKUP(D2164,'Jer-Tip-Emp'!B:E,4,0)</f>
        <v>Combos personales</v>
      </c>
      <c r="N2164" t="str">
        <f>VLOOKUP(D2164,'Jer-Tip-Emp'!B:F,5,0)</f>
        <v>Personal</v>
      </c>
      <c r="O2164" t="str">
        <f>VLOOKUP(D2164,'Jer-Tip-Emp'!B:G,6,0)</f>
        <v>Combo</v>
      </c>
    </row>
    <row r="2165" spans="1:15" ht="27.5" customHeight="1" x14ac:dyDescent="0.2">
      <c r="A2165">
        <v>2025</v>
      </c>
      <c r="B2165" t="s">
        <v>626</v>
      </c>
      <c r="C2165" t="s">
        <v>609</v>
      </c>
      <c r="D2165" s="19" t="s">
        <v>186</v>
      </c>
      <c r="E2165" s="18" t="s">
        <v>95</v>
      </c>
      <c r="F2165" s="18">
        <v>86</v>
      </c>
      <c r="G2165" s="20">
        <v>2311400</v>
      </c>
      <c r="H2165" s="20">
        <v>-2000</v>
      </c>
      <c r="I2165" s="20">
        <v>823020</v>
      </c>
      <c r="J2165" s="8">
        <f t="shared" si="99"/>
        <v>1488380</v>
      </c>
      <c r="K2165" s="10">
        <f t="shared" si="100"/>
        <v>0.64393008566236909</v>
      </c>
      <c r="L2165" s="17">
        <f t="shared" si="101"/>
        <v>8.6527645582763692E-4</v>
      </c>
      <c r="M2165" t="str">
        <f>VLOOKUP(D2165,'Jer-Tip-Emp'!B:E,4,0)</f>
        <v>Combos personales</v>
      </c>
      <c r="N2165" t="str">
        <f>VLOOKUP(D2165,'Jer-Tip-Emp'!B:F,5,0)</f>
        <v>Personal</v>
      </c>
      <c r="O2165" t="str">
        <f>VLOOKUP(D2165,'Jer-Tip-Emp'!B:G,6,0)</f>
        <v>Combo</v>
      </c>
    </row>
    <row r="2166" spans="1:15" ht="27.5" hidden="1" customHeight="1" x14ac:dyDescent="0.2">
      <c r="A2166">
        <v>2025</v>
      </c>
      <c r="B2166" t="s">
        <v>626</v>
      </c>
      <c r="C2166" t="s">
        <v>609</v>
      </c>
      <c r="D2166" s="19" t="s">
        <v>284</v>
      </c>
      <c r="E2166" s="18" t="s">
        <v>106</v>
      </c>
      <c r="F2166" s="18">
        <v>82</v>
      </c>
      <c r="G2166" s="20">
        <v>729800</v>
      </c>
      <c r="H2166" s="18">
        <v>0</v>
      </c>
      <c r="I2166" s="20">
        <v>257398</v>
      </c>
      <c r="J2166" s="8">
        <f t="shared" si="99"/>
        <v>472402</v>
      </c>
      <c r="K2166" s="10">
        <f t="shared" si="100"/>
        <v>0.6473033707865169</v>
      </c>
      <c r="L2166" s="17">
        <f t="shared" si="101"/>
        <v>0</v>
      </c>
      <c r="M2166" t="str">
        <f>VLOOKUP(D2166,'Jer-Tip-Emp'!B:E,4,0)</f>
        <v>Entradas</v>
      </c>
      <c r="N2166" t="str">
        <f>VLOOKUP(D2166,'Jer-Tip-Emp'!B:F,5,0)</f>
        <v>Otro</v>
      </c>
      <c r="O2166" t="str">
        <f>VLOOKUP(D2166,'Jer-Tip-Emp'!B:G,6,0)</f>
        <v>Otro</v>
      </c>
    </row>
    <row r="2167" spans="1:15" ht="27.5" customHeight="1" x14ac:dyDescent="0.2">
      <c r="A2167">
        <v>2025</v>
      </c>
      <c r="B2167" t="s">
        <v>626</v>
      </c>
      <c r="C2167" t="s">
        <v>609</v>
      </c>
      <c r="D2167" s="19" t="s">
        <v>245</v>
      </c>
      <c r="E2167" s="18" t="s">
        <v>167</v>
      </c>
      <c r="F2167" s="18">
        <v>73</v>
      </c>
      <c r="G2167" s="20">
        <v>1379700</v>
      </c>
      <c r="H2167" s="18">
        <v>0</v>
      </c>
      <c r="I2167" s="18">
        <v>0</v>
      </c>
      <c r="J2167" s="8">
        <f t="shared" si="99"/>
        <v>1379700</v>
      </c>
      <c r="K2167" s="10">
        <f t="shared" si="100"/>
        <v>1</v>
      </c>
      <c r="L2167" s="17">
        <f t="shared" si="101"/>
        <v>0</v>
      </c>
      <c r="M2167" t="str">
        <f>VLOOKUP(D2167,'Jer-Tip-Emp'!B:E,4,0)</f>
        <v>Mong Express</v>
      </c>
      <c r="N2167" t="str">
        <f>VLOOKUP(D2167,'Jer-Tip-Emp'!B:F,5,0)</f>
        <v>Personal</v>
      </c>
      <c r="O2167" t="str">
        <f>VLOOKUP(D2167,'Jer-Tip-Emp'!B:G,6,0)</f>
        <v>Caja</v>
      </c>
    </row>
    <row r="2168" spans="1:15" ht="27.5" customHeight="1" x14ac:dyDescent="0.2">
      <c r="A2168">
        <v>2025</v>
      </c>
      <c r="B2168" t="s">
        <v>626</v>
      </c>
      <c r="C2168" t="s">
        <v>609</v>
      </c>
      <c r="D2168" s="19" t="s">
        <v>393</v>
      </c>
      <c r="E2168" s="18" t="s">
        <v>549</v>
      </c>
      <c r="F2168" s="18">
        <v>70</v>
      </c>
      <c r="G2168" s="20">
        <v>136000</v>
      </c>
      <c r="H2168" s="20">
        <v>-4000</v>
      </c>
      <c r="I2168" s="20">
        <v>142450</v>
      </c>
      <c r="J2168" s="8">
        <f t="shared" si="99"/>
        <v>-6450</v>
      </c>
      <c r="K2168" s="10">
        <f t="shared" si="100"/>
        <v>-4.7426470588235292E-2</v>
      </c>
      <c r="L2168" s="17">
        <f t="shared" si="101"/>
        <v>2.9411764705882353E-2</v>
      </c>
      <c r="M2168" t="str">
        <f>VLOOKUP(D2168,'Jer-Tip-Emp'!B:E,4,0)</f>
        <v>Arma tu plato</v>
      </c>
      <c r="N2168" t="str">
        <f>VLOOKUP(D2168,'Jer-Tip-Emp'!B:F,5,0)</f>
        <v>Personal</v>
      </c>
      <c r="O2168" t="str">
        <f>VLOOKUP(D2168,'Jer-Tip-Emp'!B:G,6,0)</f>
        <v>Caja</v>
      </c>
    </row>
    <row r="2169" spans="1:15" ht="27.5" hidden="1" customHeight="1" x14ac:dyDescent="0.2">
      <c r="A2169">
        <v>2025</v>
      </c>
      <c r="B2169" t="s">
        <v>626</v>
      </c>
      <c r="C2169" t="s">
        <v>609</v>
      </c>
      <c r="D2169" s="19" t="s">
        <v>310</v>
      </c>
      <c r="E2169" s="18" t="s">
        <v>53</v>
      </c>
      <c r="F2169" s="18">
        <v>68</v>
      </c>
      <c r="G2169" s="20">
        <v>374000</v>
      </c>
      <c r="H2169" s="18">
        <v>0</v>
      </c>
      <c r="I2169" s="20">
        <v>115260</v>
      </c>
      <c r="J2169" s="8">
        <f t="shared" si="99"/>
        <v>258740</v>
      </c>
      <c r="K2169" s="10">
        <f t="shared" si="100"/>
        <v>0.69181818181818178</v>
      </c>
      <c r="L2169" s="17">
        <f t="shared" si="101"/>
        <v>0</v>
      </c>
      <c r="M2169" t="str">
        <f>VLOOKUP(D2169,'Jer-Tip-Emp'!B:E,4,0)</f>
        <v>Bebidas</v>
      </c>
      <c r="N2169" t="str">
        <f>VLOOKUP(D2169,'Jer-Tip-Emp'!B:F,5,0)</f>
        <v>Bebidas</v>
      </c>
      <c r="O2169" t="str">
        <f>VLOOKUP(D2169,'Jer-Tip-Emp'!B:G,6,0)</f>
        <v>Bebidas</v>
      </c>
    </row>
    <row r="2170" spans="1:15" ht="27.5" customHeight="1" x14ac:dyDescent="0.2">
      <c r="A2170">
        <v>2025</v>
      </c>
      <c r="B2170" t="s">
        <v>626</v>
      </c>
      <c r="C2170" t="s">
        <v>609</v>
      </c>
      <c r="D2170" s="19" t="s">
        <v>322</v>
      </c>
      <c r="E2170" s="18" t="s">
        <v>545</v>
      </c>
      <c r="F2170" s="18">
        <v>61</v>
      </c>
      <c r="G2170" s="20">
        <v>120000</v>
      </c>
      <c r="H2170" s="20">
        <v>-2000</v>
      </c>
      <c r="I2170" s="20">
        <v>189588</v>
      </c>
      <c r="J2170" s="8">
        <f t="shared" si="99"/>
        <v>-69588</v>
      </c>
      <c r="K2170" s="10">
        <f t="shared" si="100"/>
        <v>-0.57989999999999997</v>
      </c>
      <c r="L2170" s="17">
        <f t="shared" si="101"/>
        <v>1.6666666666666666E-2</v>
      </c>
      <c r="M2170" t="str">
        <f>VLOOKUP(D2170,'Jer-Tip-Emp'!B:E,4,0)</f>
        <v>Arma tu plato</v>
      </c>
      <c r="N2170" t="str">
        <f>VLOOKUP(D2170,'Jer-Tip-Emp'!B:F,5,0)</f>
        <v>Personal</v>
      </c>
      <c r="O2170" t="str">
        <f>VLOOKUP(D2170,'Jer-Tip-Emp'!B:G,6,0)</f>
        <v>Caja</v>
      </c>
    </row>
    <row r="2171" spans="1:15" ht="27.5" customHeight="1" x14ac:dyDescent="0.2">
      <c r="A2171">
        <v>2025</v>
      </c>
      <c r="B2171" t="s">
        <v>626</v>
      </c>
      <c r="C2171" t="s">
        <v>609</v>
      </c>
      <c r="D2171" s="19" t="s">
        <v>389</v>
      </c>
      <c r="E2171" s="18" t="s">
        <v>541</v>
      </c>
      <c r="F2171" s="18">
        <v>61</v>
      </c>
      <c r="G2171" s="18">
        <v>0</v>
      </c>
      <c r="H2171" s="18">
        <v>0</v>
      </c>
      <c r="I2171" s="20">
        <v>333487</v>
      </c>
      <c r="J2171" s="8">
        <f t="shared" si="99"/>
        <v>-333487</v>
      </c>
      <c r="K2171" s="10">
        <f t="shared" si="100"/>
        <v>0</v>
      </c>
      <c r="L2171" s="17">
        <f t="shared" si="101"/>
        <v>0</v>
      </c>
      <c r="M2171" t="str">
        <f>VLOOKUP(D2171,'Jer-Tip-Emp'!B:E,4,0)</f>
        <v>Arma tu plato</v>
      </c>
      <c r="N2171" t="str">
        <f>VLOOKUP(D2171,'Jer-Tip-Emp'!B:F,5,0)</f>
        <v>Personal</v>
      </c>
      <c r="O2171" t="str">
        <f>VLOOKUP(D2171,'Jer-Tip-Emp'!B:G,6,0)</f>
        <v>Caja</v>
      </c>
    </row>
    <row r="2172" spans="1:15" ht="27.5" customHeight="1" x14ac:dyDescent="0.2">
      <c r="A2172">
        <v>2025</v>
      </c>
      <c r="B2172" t="s">
        <v>626</v>
      </c>
      <c r="C2172" t="s">
        <v>609</v>
      </c>
      <c r="D2172" s="19" t="s">
        <v>212</v>
      </c>
      <c r="E2172" s="18" t="s">
        <v>160</v>
      </c>
      <c r="F2172" s="18">
        <v>56</v>
      </c>
      <c r="G2172" s="20">
        <v>1506400</v>
      </c>
      <c r="H2172" s="18">
        <v>0</v>
      </c>
      <c r="I2172" s="20">
        <v>630168</v>
      </c>
      <c r="J2172" s="8">
        <f t="shared" si="99"/>
        <v>876232</v>
      </c>
      <c r="K2172" s="10">
        <f t="shared" si="100"/>
        <v>0.58167286245353156</v>
      </c>
      <c r="L2172" s="17">
        <f t="shared" si="101"/>
        <v>0</v>
      </c>
      <c r="M2172" t="str">
        <f>VLOOKUP(D2172,'Jer-Tip-Emp'!B:E,4,0)</f>
        <v>Combos personales</v>
      </c>
      <c r="N2172" t="str">
        <f>VLOOKUP(D2172,'Jer-Tip-Emp'!B:F,5,0)</f>
        <v>Personal</v>
      </c>
      <c r="O2172" t="str">
        <f>VLOOKUP(D2172,'Jer-Tip-Emp'!B:G,6,0)</f>
        <v>Combo</v>
      </c>
    </row>
    <row r="2173" spans="1:15" ht="27.5" customHeight="1" x14ac:dyDescent="0.2">
      <c r="A2173">
        <v>2025</v>
      </c>
      <c r="B2173" t="s">
        <v>626</v>
      </c>
      <c r="C2173" t="s">
        <v>609</v>
      </c>
      <c r="D2173" s="19" t="s">
        <v>333</v>
      </c>
      <c r="E2173" s="18" t="s">
        <v>547</v>
      </c>
      <c r="F2173" s="18">
        <v>54</v>
      </c>
      <c r="G2173" s="18">
        <v>0</v>
      </c>
      <c r="H2173" s="18">
        <v>0</v>
      </c>
      <c r="I2173" s="20">
        <v>179388</v>
      </c>
      <c r="J2173" s="8">
        <f t="shared" si="99"/>
        <v>-179388</v>
      </c>
      <c r="K2173" s="10">
        <f t="shared" si="100"/>
        <v>0</v>
      </c>
      <c r="L2173" s="17">
        <f t="shared" si="101"/>
        <v>0</v>
      </c>
      <c r="M2173" t="str">
        <f>VLOOKUP(D2173,'Jer-Tip-Emp'!B:E,4,0)</f>
        <v>Arma tu plato</v>
      </c>
      <c r="N2173" t="str">
        <f>VLOOKUP(D2173,'Jer-Tip-Emp'!B:F,5,0)</f>
        <v>Personal</v>
      </c>
      <c r="O2173" t="str">
        <f>VLOOKUP(D2173,'Jer-Tip-Emp'!B:G,6,0)</f>
        <v>Caja</v>
      </c>
    </row>
    <row r="2174" spans="1:15" ht="27.5" hidden="1" customHeight="1" x14ac:dyDescent="0.2">
      <c r="A2174">
        <v>2025</v>
      </c>
      <c r="B2174" t="s">
        <v>626</v>
      </c>
      <c r="C2174" t="s">
        <v>609</v>
      </c>
      <c r="D2174" s="19" t="s">
        <v>500</v>
      </c>
      <c r="E2174" s="18" t="s">
        <v>546</v>
      </c>
      <c r="F2174" s="18">
        <v>49</v>
      </c>
      <c r="G2174" s="18">
        <v>0</v>
      </c>
      <c r="H2174" s="18">
        <v>0</v>
      </c>
      <c r="I2174" s="20">
        <v>42532</v>
      </c>
      <c r="J2174" s="8">
        <f t="shared" si="99"/>
        <v>-42532</v>
      </c>
      <c r="K2174" s="10">
        <f t="shared" si="100"/>
        <v>0</v>
      </c>
      <c r="L2174" s="17">
        <f t="shared" si="101"/>
        <v>0</v>
      </c>
      <c r="M2174" t="str">
        <f>VLOOKUP(D2174,'Jer-Tip-Emp'!B:E,4,0)</f>
        <v>Bebidas</v>
      </c>
      <c r="N2174" t="str">
        <f>VLOOKUP(D2174,'Jer-Tip-Emp'!B:F,5,0)</f>
        <v>Bebidas Cambio de bebida</v>
      </c>
      <c r="O2174" t="str">
        <f>VLOOKUP(D2174,'Jer-Tip-Emp'!B:G,6,0)</f>
        <v>Bebidas</v>
      </c>
    </row>
    <row r="2175" spans="1:15" ht="27.5" hidden="1" customHeight="1" x14ac:dyDescent="0.2">
      <c r="A2175">
        <v>2025</v>
      </c>
      <c r="B2175" t="s">
        <v>626</v>
      </c>
      <c r="C2175" t="s">
        <v>609</v>
      </c>
      <c r="D2175" s="19" t="s">
        <v>327</v>
      </c>
      <c r="E2175" s="18" t="s">
        <v>44</v>
      </c>
      <c r="F2175" s="18">
        <v>44</v>
      </c>
      <c r="G2175" s="20">
        <v>215600</v>
      </c>
      <c r="H2175" s="18">
        <v>0</v>
      </c>
      <c r="I2175" s="20">
        <v>48180</v>
      </c>
      <c r="J2175" s="8">
        <f t="shared" si="99"/>
        <v>167420</v>
      </c>
      <c r="K2175" s="10">
        <f t="shared" si="100"/>
        <v>0.77653061224489794</v>
      </c>
      <c r="L2175" s="17">
        <f t="shared" si="101"/>
        <v>0</v>
      </c>
      <c r="M2175" t="str">
        <f>VLOOKUP(D2175,'Jer-Tip-Emp'!B:E,4,0)</f>
        <v>Bebidas</v>
      </c>
      <c r="N2175" t="str">
        <f>VLOOKUP(D2175,'Jer-Tip-Emp'!B:F,5,0)</f>
        <v>Bebidas</v>
      </c>
      <c r="O2175" t="str">
        <f>VLOOKUP(D2175,'Jer-Tip-Emp'!B:G,6,0)</f>
        <v>Bebidas</v>
      </c>
    </row>
    <row r="2176" spans="1:15" ht="27.5" hidden="1" customHeight="1" x14ac:dyDescent="0.2">
      <c r="A2176">
        <v>2025</v>
      </c>
      <c r="B2176" t="s">
        <v>626</v>
      </c>
      <c r="C2176" t="s">
        <v>609</v>
      </c>
      <c r="D2176" s="19" t="s">
        <v>173</v>
      </c>
      <c r="E2176" s="18" t="s">
        <v>542</v>
      </c>
      <c r="F2176" s="18">
        <v>39</v>
      </c>
      <c r="G2176" s="18">
        <v>0</v>
      </c>
      <c r="H2176" s="18">
        <v>0</v>
      </c>
      <c r="I2176" s="18">
        <v>0</v>
      </c>
      <c r="J2176" s="8">
        <f t="shared" si="99"/>
        <v>0</v>
      </c>
      <c r="K2176" s="10">
        <f t="shared" si="100"/>
        <v>0</v>
      </c>
      <c r="L2176" s="17">
        <f t="shared" si="101"/>
        <v>0</v>
      </c>
      <c r="M2176" t="str">
        <f>VLOOKUP(D2176,'Jer-Tip-Emp'!B:E,4,0)</f>
        <v>Bebidas</v>
      </c>
      <c r="N2176" t="str">
        <f>VLOOKUP(D2176,'Jer-Tip-Emp'!B:F,5,0)</f>
        <v>Bebidas Cambio de bebida</v>
      </c>
      <c r="O2176" t="str">
        <f>VLOOKUP(D2176,'Jer-Tip-Emp'!B:G,6,0)</f>
        <v>Bebidas</v>
      </c>
    </row>
    <row r="2177" spans="1:15" ht="27.5" customHeight="1" x14ac:dyDescent="0.2">
      <c r="A2177">
        <v>2025</v>
      </c>
      <c r="B2177" t="s">
        <v>626</v>
      </c>
      <c r="C2177" t="s">
        <v>609</v>
      </c>
      <c r="D2177" s="19" t="s">
        <v>470</v>
      </c>
      <c r="E2177" s="18" t="s">
        <v>550</v>
      </c>
      <c r="F2177" s="18">
        <v>38</v>
      </c>
      <c r="G2177" s="18">
        <v>0</v>
      </c>
      <c r="H2177" s="18">
        <v>0</v>
      </c>
      <c r="I2177" s="20">
        <v>117686</v>
      </c>
      <c r="J2177" s="8">
        <f t="shared" ref="J2177:J2240" si="102">G2177-I2177</f>
        <v>-117686</v>
      </c>
      <c r="K2177" s="10">
        <f t="shared" ref="K2177:K2240" si="103">IFERROR(J2177/G2177,0)</f>
        <v>0</v>
      </c>
      <c r="L2177" s="17">
        <f t="shared" ref="L2177:L2240" si="104">IFERROR((H2177/G2177)*-1,0)</f>
        <v>0</v>
      </c>
      <c r="M2177" t="str">
        <f>VLOOKUP(D2177,'Jer-Tip-Emp'!B:E,4,0)</f>
        <v>Arma tu plato</v>
      </c>
      <c r="N2177" t="str">
        <f>VLOOKUP(D2177,'Jer-Tip-Emp'!B:F,5,0)</f>
        <v>Personal</v>
      </c>
      <c r="O2177" t="str">
        <f>VLOOKUP(D2177,'Jer-Tip-Emp'!B:G,6,0)</f>
        <v>Caja</v>
      </c>
    </row>
    <row r="2178" spans="1:15" ht="27.5" customHeight="1" x14ac:dyDescent="0.2">
      <c r="A2178">
        <v>2025</v>
      </c>
      <c r="B2178" t="s">
        <v>626</v>
      </c>
      <c r="C2178" t="s">
        <v>609</v>
      </c>
      <c r="D2178" s="19" t="s">
        <v>228</v>
      </c>
      <c r="E2178" s="18" t="s">
        <v>96</v>
      </c>
      <c r="F2178" s="18">
        <v>36</v>
      </c>
      <c r="G2178" s="20">
        <v>1040400</v>
      </c>
      <c r="H2178" s="18">
        <v>0</v>
      </c>
      <c r="I2178" s="20">
        <v>368892</v>
      </c>
      <c r="J2178" s="8">
        <f t="shared" si="102"/>
        <v>671508</v>
      </c>
      <c r="K2178" s="10">
        <f t="shared" si="103"/>
        <v>0.64543252595155709</v>
      </c>
      <c r="L2178" s="17">
        <f t="shared" si="104"/>
        <v>0</v>
      </c>
      <c r="M2178" t="str">
        <f>VLOOKUP(D2178,'Jer-Tip-Emp'!B:E,4,0)</f>
        <v>Combos personales</v>
      </c>
      <c r="N2178" t="str">
        <f>VLOOKUP(D2178,'Jer-Tip-Emp'!B:F,5,0)</f>
        <v>Personal</v>
      </c>
      <c r="O2178" t="str">
        <f>VLOOKUP(D2178,'Jer-Tip-Emp'!B:G,6,0)</f>
        <v>Combo</v>
      </c>
    </row>
    <row r="2179" spans="1:15" ht="27.5" customHeight="1" x14ac:dyDescent="0.2">
      <c r="A2179">
        <v>2025</v>
      </c>
      <c r="B2179" t="s">
        <v>626</v>
      </c>
      <c r="C2179" t="s">
        <v>609</v>
      </c>
      <c r="D2179" s="19" t="s">
        <v>376</v>
      </c>
      <c r="E2179" s="18" t="s">
        <v>543</v>
      </c>
      <c r="F2179" s="18">
        <v>32</v>
      </c>
      <c r="G2179" s="18">
        <v>0</v>
      </c>
      <c r="H2179" s="18">
        <v>0</v>
      </c>
      <c r="I2179" s="20">
        <v>41024</v>
      </c>
      <c r="J2179" s="8">
        <f t="shared" si="102"/>
        <v>-41024</v>
      </c>
      <c r="K2179" s="10">
        <f t="shared" si="103"/>
        <v>0</v>
      </c>
      <c r="L2179" s="17">
        <f t="shared" si="104"/>
        <v>0</v>
      </c>
      <c r="M2179" t="str">
        <f>VLOOKUP(D2179,'Jer-Tip-Emp'!B:E,4,0)</f>
        <v>Arma tu plato</v>
      </c>
      <c r="N2179" t="str">
        <f>VLOOKUP(D2179,'Jer-Tip-Emp'!B:F,5,0)</f>
        <v>Personal</v>
      </c>
      <c r="O2179" t="str">
        <f>VLOOKUP(D2179,'Jer-Tip-Emp'!B:G,6,0)</f>
        <v>Caja</v>
      </c>
    </row>
    <row r="2180" spans="1:15" ht="27.5" customHeight="1" x14ac:dyDescent="0.2">
      <c r="A2180">
        <v>2025</v>
      </c>
      <c r="B2180" t="s">
        <v>626</v>
      </c>
      <c r="C2180" t="s">
        <v>609</v>
      </c>
      <c r="D2180" s="19" t="s">
        <v>180</v>
      </c>
      <c r="E2180" s="18" t="s">
        <v>128</v>
      </c>
      <c r="F2180" s="18">
        <v>32</v>
      </c>
      <c r="G2180" s="20">
        <v>636800</v>
      </c>
      <c r="H2180" s="18">
        <v>0</v>
      </c>
      <c r="I2180" s="20">
        <v>218816</v>
      </c>
      <c r="J2180" s="8">
        <f t="shared" si="102"/>
        <v>417984</v>
      </c>
      <c r="K2180" s="10">
        <f t="shared" si="103"/>
        <v>0.65638190954773867</v>
      </c>
      <c r="L2180" s="17">
        <f t="shared" si="104"/>
        <v>0</v>
      </c>
      <c r="M2180" t="str">
        <f>VLOOKUP(D2180,'Jer-Tip-Emp'!B:E,4,0)</f>
        <v>Platos mong</v>
      </c>
      <c r="N2180" t="str">
        <f>VLOOKUP(D2180,'Jer-Tip-Emp'!B:F,5,0)</f>
        <v>Personal</v>
      </c>
      <c r="O2180" t="str">
        <f>VLOOKUP(D2180,'Jer-Tip-Emp'!B:G,6,0)</f>
        <v>Caja</v>
      </c>
    </row>
    <row r="2181" spans="1:15" ht="27.5" customHeight="1" x14ac:dyDescent="0.2">
      <c r="A2181">
        <v>2025</v>
      </c>
      <c r="B2181" t="s">
        <v>626</v>
      </c>
      <c r="C2181" t="s">
        <v>609</v>
      </c>
      <c r="D2181" s="19" t="s">
        <v>295</v>
      </c>
      <c r="E2181" s="18" t="s">
        <v>110</v>
      </c>
      <c r="F2181" s="18">
        <v>29</v>
      </c>
      <c r="G2181" s="20">
        <v>513959</v>
      </c>
      <c r="H2181" s="20">
        <v>-5141</v>
      </c>
      <c r="I2181" s="20">
        <v>196272</v>
      </c>
      <c r="J2181" s="8">
        <f t="shared" si="102"/>
        <v>317687</v>
      </c>
      <c r="K2181" s="10">
        <f t="shared" si="103"/>
        <v>0.61811739846952773</v>
      </c>
      <c r="L2181" s="17">
        <f t="shared" si="104"/>
        <v>1.0002743409493753E-2</v>
      </c>
      <c r="M2181" t="str">
        <f>VLOOKUP(D2181,'Jer-Tip-Emp'!B:E,4,0)</f>
        <v>Platos mong</v>
      </c>
      <c r="N2181" t="str">
        <f>VLOOKUP(D2181,'Jer-Tip-Emp'!B:F,5,0)</f>
        <v>Personal</v>
      </c>
      <c r="O2181" t="str">
        <f>VLOOKUP(D2181,'Jer-Tip-Emp'!B:G,6,0)</f>
        <v>Caja</v>
      </c>
    </row>
    <row r="2182" spans="1:15" ht="27.5" hidden="1" customHeight="1" x14ac:dyDescent="0.2">
      <c r="A2182">
        <v>2025</v>
      </c>
      <c r="B2182" t="s">
        <v>626</v>
      </c>
      <c r="C2182" t="s">
        <v>609</v>
      </c>
      <c r="D2182" s="19" t="s">
        <v>253</v>
      </c>
      <c r="E2182" s="18" t="s">
        <v>105</v>
      </c>
      <c r="F2182" s="18">
        <v>28</v>
      </c>
      <c r="G2182" s="20">
        <v>129071</v>
      </c>
      <c r="H2182" s="20">
        <v>-10929</v>
      </c>
      <c r="I2182" s="20">
        <v>43932</v>
      </c>
      <c r="J2182" s="8">
        <f t="shared" si="102"/>
        <v>85139</v>
      </c>
      <c r="K2182" s="10">
        <f t="shared" si="103"/>
        <v>0.65962919633380079</v>
      </c>
      <c r="L2182" s="17">
        <f t="shared" si="104"/>
        <v>8.4674326533458327E-2</v>
      </c>
      <c r="M2182" t="str">
        <f>VLOOKUP(D2182,'Jer-Tip-Emp'!B:E,4,0)</f>
        <v>Entradas</v>
      </c>
      <c r="N2182" t="str">
        <f>VLOOKUP(D2182,'Jer-Tip-Emp'!B:F,5,0)</f>
        <v>Otro</v>
      </c>
      <c r="O2182" t="str">
        <f>VLOOKUP(D2182,'Jer-Tip-Emp'!B:G,6,0)</f>
        <v>Otro</v>
      </c>
    </row>
    <row r="2183" spans="1:15" ht="27.5" customHeight="1" x14ac:dyDescent="0.2">
      <c r="A2183">
        <v>2025</v>
      </c>
      <c r="B2183" t="s">
        <v>626</v>
      </c>
      <c r="C2183" t="s">
        <v>609</v>
      </c>
      <c r="D2183" s="19" t="s">
        <v>205</v>
      </c>
      <c r="E2183" s="18" t="s">
        <v>141</v>
      </c>
      <c r="F2183" s="18">
        <v>27</v>
      </c>
      <c r="G2183" s="20">
        <v>395037</v>
      </c>
      <c r="H2183" s="20">
        <v>-7263</v>
      </c>
      <c r="I2183" s="20">
        <v>163728</v>
      </c>
      <c r="J2183" s="8">
        <f t="shared" si="102"/>
        <v>231309</v>
      </c>
      <c r="K2183" s="10">
        <f t="shared" si="103"/>
        <v>0.58553755724147361</v>
      </c>
      <c r="L2183" s="17">
        <f t="shared" si="104"/>
        <v>1.8385619574875264E-2</v>
      </c>
      <c r="M2183" t="str">
        <f>VLOOKUP(D2183,'Jer-Tip-Emp'!B:E,4,0)</f>
        <v>Platos mong</v>
      </c>
      <c r="N2183" t="str">
        <f>VLOOKUP(D2183,'Jer-Tip-Emp'!B:F,5,0)</f>
        <v>Personal</v>
      </c>
      <c r="O2183" t="str">
        <f>VLOOKUP(D2183,'Jer-Tip-Emp'!B:G,6,0)</f>
        <v>Caja</v>
      </c>
    </row>
    <row r="2184" spans="1:15" ht="27.5" hidden="1" customHeight="1" x14ac:dyDescent="0.2">
      <c r="A2184">
        <v>2025</v>
      </c>
      <c r="B2184" t="s">
        <v>626</v>
      </c>
      <c r="C2184" t="s">
        <v>609</v>
      </c>
      <c r="D2184" s="19" t="s">
        <v>189</v>
      </c>
      <c r="E2184" s="18" t="s">
        <v>21</v>
      </c>
      <c r="F2184" s="18">
        <v>24</v>
      </c>
      <c r="G2184" s="20">
        <v>165600</v>
      </c>
      <c r="H2184" s="18">
        <v>0</v>
      </c>
      <c r="I2184" s="20">
        <v>59136</v>
      </c>
      <c r="J2184" s="8">
        <f t="shared" si="102"/>
        <v>106464</v>
      </c>
      <c r="K2184" s="10">
        <f t="shared" si="103"/>
        <v>0.64289855072463764</v>
      </c>
      <c r="L2184" s="17">
        <f t="shared" si="104"/>
        <v>0</v>
      </c>
      <c r="M2184" t="str">
        <f>VLOOKUP(D2184,'Jer-Tip-Emp'!B:E,4,0)</f>
        <v>Adición</v>
      </c>
      <c r="N2184" t="str">
        <f>VLOOKUP(D2184,'Jer-Tip-Emp'!B:F,5,0)</f>
        <v>Adición</v>
      </c>
      <c r="O2184" t="str">
        <f>VLOOKUP(D2184,'Jer-Tip-Emp'!B:G,6,0)</f>
        <v>Adición</v>
      </c>
    </row>
    <row r="2185" spans="1:15" ht="27.5" customHeight="1" x14ac:dyDescent="0.2">
      <c r="A2185">
        <v>2025</v>
      </c>
      <c r="B2185" t="s">
        <v>626</v>
      </c>
      <c r="C2185" t="s">
        <v>609</v>
      </c>
      <c r="D2185" s="19" t="s">
        <v>354</v>
      </c>
      <c r="E2185" s="18" t="s">
        <v>548</v>
      </c>
      <c r="F2185" s="18">
        <v>24</v>
      </c>
      <c r="G2185" s="18">
        <v>0</v>
      </c>
      <c r="H2185" s="18">
        <v>0</v>
      </c>
      <c r="I2185" s="20">
        <v>63216</v>
      </c>
      <c r="J2185" s="8">
        <f t="shared" si="102"/>
        <v>-63216</v>
      </c>
      <c r="K2185" s="10">
        <f t="shared" si="103"/>
        <v>0</v>
      </c>
      <c r="L2185" s="17">
        <f t="shared" si="104"/>
        <v>0</v>
      </c>
      <c r="M2185" t="str">
        <f>VLOOKUP(D2185,'Jer-Tip-Emp'!B:E,4,0)</f>
        <v>Arma tu plato</v>
      </c>
      <c r="N2185" t="str">
        <f>VLOOKUP(D2185,'Jer-Tip-Emp'!B:F,5,0)</f>
        <v>Personal</v>
      </c>
      <c r="O2185" t="str">
        <f>VLOOKUP(D2185,'Jer-Tip-Emp'!B:G,6,0)</f>
        <v>Caja</v>
      </c>
    </row>
    <row r="2186" spans="1:15" ht="27.5" hidden="1" customHeight="1" x14ac:dyDescent="0.2">
      <c r="A2186">
        <v>2025</v>
      </c>
      <c r="B2186" t="s">
        <v>626</v>
      </c>
      <c r="C2186" t="s">
        <v>609</v>
      </c>
      <c r="D2186" s="19" t="s">
        <v>309</v>
      </c>
      <c r="E2186" s="18" t="s">
        <v>48</v>
      </c>
      <c r="F2186" s="18">
        <v>21</v>
      </c>
      <c r="G2186" s="20">
        <v>73500</v>
      </c>
      <c r="H2186" s="18">
        <v>0</v>
      </c>
      <c r="I2186" s="20">
        <v>24423</v>
      </c>
      <c r="J2186" s="8">
        <f t="shared" si="102"/>
        <v>49077</v>
      </c>
      <c r="K2186" s="10">
        <f t="shared" si="103"/>
        <v>0.6677142857142857</v>
      </c>
      <c r="L2186" s="17">
        <f t="shared" si="104"/>
        <v>0</v>
      </c>
      <c r="M2186" t="str">
        <f>VLOOKUP(D2186,'Jer-Tip-Emp'!B:E,4,0)</f>
        <v>Bebidas</v>
      </c>
      <c r="N2186" t="str">
        <f>VLOOKUP(D2186,'Jer-Tip-Emp'!B:F,5,0)</f>
        <v>Bebidas</v>
      </c>
      <c r="O2186" t="str">
        <f>VLOOKUP(D2186,'Jer-Tip-Emp'!B:G,6,0)</f>
        <v>Bebidas</v>
      </c>
    </row>
    <row r="2187" spans="1:15" ht="27.5" hidden="1" customHeight="1" x14ac:dyDescent="0.2">
      <c r="A2187">
        <v>2025</v>
      </c>
      <c r="B2187" t="s">
        <v>626</v>
      </c>
      <c r="C2187" t="s">
        <v>609</v>
      </c>
      <c r="D2187" s="19" t="s">
        <v>382</v>
      </c>
      <c r="E2187" s="18" t="s">
        <v>42</v>
      </c>
      <c r="F2187" s="18">
        <v>20</v>
      </c>
      <c r="G2187" s="20">
        <v>98000</v>
      </c>
      <c r="H2187" s="18">
        <v>0</v>
      </c>
      <c r="I2187" s="20">
        <v>27460</v>
      </c>
      <c r="J2187" s="8">
        <f t="shared" si="102"/>
        <v>70540</v>
      </c>
      <c r="K2187" s="10">
        <f t="shared" si="103"/>
        <v>0.71979591836734691</v>
      </c>
      <c r="L2187" s="17">
        <f t="shared" si="104"/>
        <v>0</v>
      </c>
      <c r="M2187" t="str">
        <f>VLOOKUP(D2187,'Jer-Tip-Emp'!B:E,4,0)</f>
        <v>Bebidas</v>
      </c>
      <c r="N2187" t="str">
        <f>VLOOKUP(D2187,'Jer-Tip-Emp'!B:F,5,0)</f>
        <v>Bebidas</v>
      </c>
      <c r="O2187" t="str">
        <f>VLOOKUP(D2187,'Jer-Tip-Emp'!B:G,6,0)</f>
        <v>Bebidas</v>
      </c>
    </row>
    <row r="2188" spans="1:15" ht="27.5" customHeight="1" x14ac:dyDescent="0.2">
      <c r="A2188">
        <v>2025</v>
      </c>
      <c r="B2188" t="s">
        <v>626</v>
      </c>
      <c r="C2188" t="s">
        <v>609</v>
      </c>
      <c r="D2188" s="19" t="s">
        <v>303</v>
      </c>
      <c r="E2188" s="18" t="s">
        <v>120</v>
      </c>
      <c r="F2188" s="18">
        <v>20</v>
      </c>
      <c r="G2188" s="20">
        <v>458000</v>
      </c>
      <c r="H2188" s="18">
        <v>0</v>
      </c>
      <c r="I2188" s="20">
        <v>150280</v>
      </c>
      <c r="J2188" s="8">
        <f t="shared" si="102"/>
        <v>307720</v>
      </c>
      <c r="K2188" s="10">
        <f t="shared" si="103"/>
        <v>0.67187772925764189</v>
      </c>
      <c r="L2188" s="17">
        <f t="shared" si="104"/>
        <v>0</v>
      </c>
      <c r="M2188" t="str">
        <f>VLOOKUP(D2188,'Jer-Tip-Emp'!B:E,4,0)</f>
        <v>Platos mong</v>
      </c>
      <c r="N2188" t="str">
        <f>VLOOKUP(D2188,'Jer-Tip-Emp'!B:F,5,0)</f>
        <v>Personal</v>
      </c>
      <c r="O2188" t="str">
        <f>VLOOKUP(D2188,'Jer-Tip-Emp'!B:G,6,0)</f>
        <v>Caja</v>
      </c>
    </row>
    <row r="2189" spans="1:15" ht="27.5" hidden="1" customHeight="1" x14ac:dyDescent="0.2">
      <c r="A2189">
        <v>2025</v>
      </c>
      <c r="B2189" t="s">
        <v>626</v>
      </c>
      <c r="C2189" t="s">
        <v>609</v>
      </c>
      <c r="D2189" s="19" t="s">
        <v>351</v>
      </c>
      <c r="E2189" s="18" t="s">
        <v>55</v>
      </c>
      <c r="F2189" s="18">
        <v>19</v>
      </c>
      <c r="G2189" s="20">
        <v>104500</v>
      </c>
      <c r="H2189" s="18">
        <v>0</v>
      </c>
      <c r="I2189" s="20">
        <v>27512</v>
      </c>
      <c r="J2189" s="8">
        <f t="shared" si="102"/>
        <v>76988</v>
      </c>
      <c r="K2189" s="10">
        <f t="shared" si="103"/>
        <v>0.73672727272727268</v>
      </c>
      <c r="L2189" s="17">
        <f t="shared" si="104"/>
        <v>0</v>
      </c>
      <c r="M2189" t="str">
        <f>VLOOKUP(D2189,'Jer-Tip-Emp'!B:E,4,0)</f>
        <v>Bebidas</v>
      </c>
      <c r="N2189" t="str">
        <f>VLOOKUP(D2189,'Jer-Tip-Emp'!B:F,5,0)</f>
        <v>Bebidas</v>
      </c>
      <c r="O2189" t="str">
        <f>VLOOKUP(D2189,'Jer-Tip-Emp'!B:G,6,0)</f>
        <v>Bebidas</v>
      </c>
    </row>
    <row r="2190" spans="1:15" ht="27.5" hidden="1" customHeight="1" x14ac:dyDescent="0.2">
      <c r="A2190">
        <v>2025</v>
      </c>
      <c r="B2190" t="s">
        <v>626</v>
      </c>
      <c r="C2190" t="s">
        <v>609</v>
      </c>
      <c r="D2190" s="19" t="s">
        <v>282</v>
      </c>
      <c r="E2190" s="18" t="s">
        <v>19</v>
      </c>
      <c r="F2190" s="18">
        <v>19</v>
      </c>
      <c r="G2190" s="20">
        <v>111604</v>
      </c>
      <c r="H2190" s="18">
        <v>-496</v>
      </c>
      <c r="I2190" s="20">
        <v>77862</v>
      </c>
      <c r="J2190" s="8">
        <f t="shared" si="102"/>
        <v>33742</v>
      </c>
      <c r="K2190" s="10">
        <f t="shared" si="103"/>
        <v>0.30233683380523996</v>
      </c>
      <c r="L2190" s="17">
        <f t="shared" si="104"/>
        <v>4.4442851510698538E-3</v>
      </c>
      <c r="M2190" t="str">
        <f>VLOOKUP(D2190,'Jer-Tip-Emp'!B:E,4,0)</f>
        <v>Adición</v>
      </c>
      <c r="N2190" t="str">
        <f>VLOOKUP(D2190,'Jer-Tip-Emp'!B:F,5,0)</f>
        <v>Adición</v>
      </c>
      <c r="O2190" t="str">
        <f>VLOOKUP(D2190,'Jer-Tip-Emp'!B:G,6,0)</f>
        <v>Adición</v>
      </c>
    </row>
    <row r="2191" spans="1:15" ht="27.5" customHeight="1" x14ac:dyDescent="0.2">
      <c r="A2191">
        <v>2025</v>
      </c>
      <c r="B2191" t="s">
        <v>626</v>
      </c>
      <c r="C2191" t="s">
        <v>609</v>
      </c>
      <c r="D2191" s="19" t="s">
        <v>246</v>
      </c>
      <c r="E2191" s="18" t="s">
        <v>29</v>
      </c>
      <c r="F2191" s="18">
        <v>18</v>
      </c>
      <c r="G2191" s="20">
        <v>124200</v>
      </c>
      <c r="H2191" s="18">
        <v>0</v>
      </c>
      <c r="I2191" s="18">
        <v>0</v>
      </c>
      <c r="J2191" s="8">
        <f t="shared" si="102"/>
        <v>124200</v>
      </c>
      <c r="K2191" s="10">
        <f t="shared" si="103"/>
        <v>1</v>
      </c>
      <c r="L2191" s="17">
        <f t="shared" si="104"/>
        <v>0</v>
      </c>
      <c r="M2191" t="str">
        <f>VLOOKUP(D2191,'Jer-Tip-Emp'!B:E,4,0)</f>
        <v>Armalo en combo</v>
      </c>
      <c r="N2191" t="str">
        <f>VLOOKUP(D2191,'Jer-Tip-Emp'!B:F,5,0)</f>
        <v>Personal</v>
      </c>
      <c r="O2191" t="str">
        <f>VLOOKUP(D2191,'Jer-Tip-Emp'!B:G,6,0)</f>
        <v>Combo</v>
      </c>
    </row>
    <row r="2192" spans="1:15" ht="27.5" customHeight="1" x14ac:dyDescent="0.2">
      <c r="A2192">
        <v>2025</v>
      </c>
      <c r="B2192" t="s">
        <v>626</v>
      </c>
      <c r="C2192" t="s">
        <v>609</v>
      </c>
      <c r="D2192" s="19" t="s">
        <v>297</v>
      </c>
      <c r="E2192" s="18" t="s">
        <v>131</v>
      </c>
      <c r="F2192" s="18">
        <v>17</v>
      </c>
      <c r="G2192" s="20">
        <v>304300</v>
      </c>
      <c r="H2192" s="18">
        <v>0</v>
      </c>
      <c r="I2192" s="20">
        <v>92837</v>
      </c>
      <c r="J2192" s="8">
        <f t="shared" si="102"/>
        <v>211463</v>
      </c>
      <c r="K2192" s="10">
        <f t="shared" si="103"/>
        <v>0.69491620111731844</v>
      </c>
      <c r="L2192" s="17">
        <f t="shared" si="104"/>
        <v>0</v>
      </c>
      <c r="M2192" t="str">
        <f>VLOOKUP(D2192,'Jer-Tip-Emp'!B:E,4,0)</f>
        <v>Platos mong</v>
      </c>
      <c r="N2192" t="str">
        <f>VLOOKUP(D2192,'Jer-Tip-Emp'!B:F,5,0)</f>
        <v>Personal</v>
      </c>
      <c r="O2192" t="str">
        <f>VLOOKUP(D2192,'Jer-Tip-Emp'!B:G,6,0)</f>
        <v>Caja</v>
      </c>
    </row>
    <row r="2193" spans="1:15" ht="27.5" customHeight="1" x14ac:dyDescent="0.2">
      <c r="A2193">
        <v>2025</v>
      </c>
      <c r="B2193" t="s">
        <v>626</v>
      </c>
      <c r="C2193" t="s">
        <v>609</v>
      </c>
      <c r="D2193" s="19" t="s">
        <v>474</v>
      </c>
      <c r="E2193" s="18" t="s">
        <v>553</v>
      </c>
      <c r="F2193" s="18">
        <v>17</v>
      </c>
      <c r="G2193" s="18">
        <v>0</v>
      </c>
      <c r="H2193" s="18">
        <v>0</v>
      </c>
      <c r="I2193" s="20">
        <v>48433</v>
      </c>
      <c r="J2193" s="8">
        <f t="shared" si="102"/>
        <v>-48433</v>
      </c>
      <c r="K2193" s="10">
        <f t="shared" si="103"/>
        <v>0</v>
      </c>
      <c r="L2193" s="17">
        <f t="shared" si="104"/>
        <v>0</v>
      </c>
      <c r="M2193" t="str">
        <f>VLOOKUP(D2193,'Jer-Tip-Emp'!B:E,4,0)</f>
        <v>Arma tu plato</v>
      </c>
      <c r="N2193" t="str">
        <f>VLOOKUP(D2193,'Jer-Tip-Emp'!B:F,5,0)</f>
        <v>Personal</v>
      </c>
      <c r="O2193" t="str">
        <f>VLOOKUP(D2193,'Jer-Tip-Emp'!B:G,6,0)</f>
        <v>Caja</v>
      </c>
    </row>
    <row r="2194" spans="1:15" ht="27.5" customHeight="1" x14ac:dyDescent="0.2">
      <c r="A2194">
        <v>2025</v>
      </c>
      <c r="B2194" t="s">
        <v>626</v>
      </c>
      <c r="C2194" t="s">
        <v>609</v>
      </c>
      <c r="D2194" s="19" t="s">
        <v>223</v>
      </c>
      <c r="E2194" s="18" t="s">
        <v>116</v>
      </c>
      <c r="F2194" s="18">
        <v>16</v>
      </c>
      <c r="G2194" s="20">
        <v>478400</v>
      </c>
      <c r="H2194" s="18">
        <v>0</v>
      </c>
      <c r="I2194" s="20">
        <v>218208</v>
      </c>
      <c r="J2194" s="8">
        <f t="shared" si="102"/>
        <v>260192</v>
      </c>
      <c r="K2194" s="10">
        <f t="shared" si="103"/>
        <v>0.54387959866220736</v>
      </c>
      <c r="L2194" s="17">
        <f t="shared" si="104"/>
        <v>0</v>
      </c>
      <c r="M2194" t="str">
        <f>VLOOKUP(D2194,'Jer-Tip-Emp'!B:E,4,0)</f>
        <v>Platos especiales</v>
      </c>
      <c r="N2194" t="str">
        <f>VLOOKUP(D2194,'Jer-Tip-Emp'!B:F,5,0)</f>
        <v>Personal</v>
      </c>
      <c r="O2194" t="str">
        <f>VLOOKUP(D2194,'Jer-Tip-Emp'!B:G,6,0)</f>
        <v>Platos especiales</v>
      </c>
    </row>
    <row r="2195" spans="1:15" ht="27.5" customHeight="1" x14ac:dyDescent="0.2">
      <c r="A2195">
        <v>2025</v>
      </c>
      <c r="B2195" t="s">
        <v>626</v>
      </c>
      <c r="C2195" t="s">
        <v>609</v>
      </c>
      <c r="D2195" s="19" t="s">
        <v>285</v>
      </c>
      <c r="E2195" s="18" t="s">
        <v>146</v>
      </c>
      <c r="F2195" s="18">
        <v>15</v>
      </c>
      <c r="G2195" s="20">
        <v>269900</v>
      </c>
      <c r="H2195" s="20">
        <v>-28600</v>
      </c>
      <c r="I2195" s="20">
        <v>126960</v>
      </c>
      <c r="J2195" s="8">
        <f t="shared" si="102"/>
        <v>142940</v>
      </c>
      <c r="K2195" s="10">
        <f t="shared" si="103"/>
        <v>0.52960355687291594</v>
      </c>
      <c r="L2195" s="17">
        <f t="shared" si="104"/>
        <v>0.10596517228603186</v>
      </c>
      <c r="M2195" t="str">
        <f>VLOOKUP(D2195,'Jer-Tip-Emp'!B:E,4,0)</f>
        <v>Platos mong</v>
      </c>
      <c r="N2195" t="str">
        <f>VLOOKUP(D2195,'Jer-Tip-Emp'!B:F,5,0)</f>
        <v>Personal</v>
      </c>
      <c r="O2195" t="str">
        <f>VLOOKUP(D2195,'Jer-Tip-Emp'!B:G,6,0)</f>
        <v>Caja</v>
      </c>
    </row>
    <row r="2196" spans="1:15" ht="27.5" hidden="1" customHeight="1" x14ac:dyDescent="0.2">
      <c r="A2196">
        <v>2025</v>
      </c>
      <c r="B2196" t="s">
        <v>626</v>
      </c>
      <c r="C2196" t="s">
        <v>609</v>
      </c>
      <c r="D2196" s="19" t="s">
        <v>268</v>
      </c>
      <c r="E2196" s="18" t="s">
        <v>17</v>
      </c>
      <c r="F2196" s="18">
        <v>15</v>
      </c>
      <c r="G2196" s="20">
        <v>70000</v>
      </c>
      <c r="H2196" s="20">
        <v>-5000</v>
      </c>
      <c r="I2196" s="20">
        <v>19230</v>
      </c>
      <c r="J2196" s="8">
        <f t="shared" si="102"/>
        <v>50770</v>
      </c>
      <c r="K2196" s="10">
        <f t="shared" si="103"/>
        <v>0.72528571428571431</v>
      </c>
      <c r="L2196" s="17">
        <f t="shared" si="104"/>
        <v>7.1428571428571425E-2</v>
      </c>
      <c r="M2196" t="str">
        <f>VLOOKUP(D2196,'Jer-Tip-Emp'!B:E,4,0)</f>
        <v>Adición</v>
      </c>
      <c r="N2196" t="str">
        <f>VLOOKUP(D2196,'Jer-Tip-Emp'!B:F,5,0)</f>
        <v>Adición</v>
      </c>
      <c r="O2196" t="str">
        <f>VLOOKUP(D2196,'Jer-Tip-Emp'!B:G,6,0)</f>
        <v>Adición</v>
      </c>
    </row>
    <row r="2197" spans="1:15" ht="27.5" customHeight="1" x14ac:dyDescent="0.2">
      <c r="A2197">
        <v>2025</v>
      </c>
      <c r="B2197" t="s">
        <v>626</v>
      </c>
      <c r="C2197" t="s">
        <v>609</v>
      </c>
      <c r="D2197" s="19" t="s">
        <v>185</v>
      </c>
      <c r="E2197" s="18" t="s">
        <v>98</v>
      </c>
      <c r="F2197" s="18">
        <v>15</v>
      </c>
      <c r="G2197" s="20">
        <v>624941</v>
      </c>
      <c r="H2197" s="20">
        <v>-3559</v>
      </c>
      <c r="I2197" s="20">
        <v>300795</v>
      </c>
      <c r="J2197" s="8">
        <f t="shared" si="102"/>
        <v>324146</v>
      </c>
      <c r="K2197" s="10">
        <f t="shared" si="103"/>
        <v>0.518682563634007</v>
      </c>
      <c r="L2197" s="17">
        <f t="shared" si="104"/>
        <v>5.6949376021096388E-3</v>
      </c>
      <c r="M2197" t="str">
        <f>VLOOKUP(D2197,'Jer-Tip-Emp'!B:E,4,0)</f>
        <v>Platos mong</v>
      </c>
      <c r="N2197" t="str">
        <f>VLOOKUP(D2197,'Jer-Tip-Emp'!B:F,5,0)</f>
        <v>No Personal</v>
      </c>
      <c r="O2197" t="str">
        <f>VLOOKUP(D2197,'Jer-Tip-Emp'!B:G,6,0)</f>
        <v>Platos Especiales</v>
      </c>
    </row>
    <row r="2198" spans="1:15" ht="27.5" customHeight="1" x14ac:dyDescent="0.2">
      <c r="A2198">
        <v>2025</v>
      </c>
      <c r="B2198" t="s">
        <v>626</v>
      </c>
      <c r="C2198" t="s">
        <v>609</v>
      </c>
      <c r="D2198" s="19" t="s">
        <v>235</v>
      </c>
      <c r="E2198" s="18" t="s">
        <v>143</v>
      </c>
      <c r="F2198" s="18">
        <v>13</v>
      </c>
      <c r="G2198" s="20">
        <v>596700</v>
      </c>
      <c r="H2198" s="18">
        <v>0</v>
      </c>
      <c r="I2198" s="20">
        <v>244634</v>
      </c>
      <c r="J2198" s="8">
        <f t="shared" si="102"/>
        <v>352066</v>
      </c>
      <c r="K2198" s="10">
        <f t="shared" si="103"/>
        <v>0.59002178649237469</v>
      </c>
      <c r="L2198" s="17">
        <f t="shared" si="104"/>
        <v>0</v>
      </c>
      <c r="M2198" t="str">
        <f>VLOOKUP(D2198,'Jer-Tip-Emp'!B:E,4,0)</f>
        <v>Platos mong</v>
      </c>
      <c r="N2198" t="str">
        <f>VLOOKUP(D2198,'Jer-Tip-Emp'!B:F,5,0)</f>
        <v>No Personal</v>
      </c>
      <c r="O2198" t="str">
        <f>VLOOKUP(D2198,'Jer-Tip-Emp'!B:G,6,0)</f>
        <v>Caja</v>
      </c>
    </row>
    <row r="2199" spans="1:15" ht="27.5" hidden="1" customHeight="1" x14ac:dyDescent="0.2">
      <c r="A2199">
        <v>2025</v>
      </c>
      <c r="B2199" t="s">
        <v>626</v>
      </c>
      <c r="C2199" t="s">
        <v>609</v>
      </c>
      <c r="D2199" s="19" t="s">
        <v>330</v>
      </c>
      <c r="E2199" s="18" t="s">
        <v>38</v>
      </c>
      <c r="F2199" s="18">
        <v>12</v>
      </c>
      <c r="G2199" s="20">
        <v>49000</v>
      </c>
      <c r="H2199" s="20">
        <v>-9800</v>
      </c>
      <c r="I2199" s="20">
        <v>15456</v>
      </c>
      <c r="J2199" s="8">
        <f t="shared" si="102"/>
        <v>33544</v>
      </c>
      <c r="K2199" s="10">
        <f t="shared" si="103"/>
        <v>0.68457142857142861</v>
      </c>
      <c r="L2199" s="17">
        <f t="shared" si="104"/>
        <v>0.2</v>
      </c>
      <c r="M2199" t="str">
        <f>VLOOKUP(D2199,'Jer-Tip-Emp'!B:E,4,0)</f>
        <v>Bebidas</v>
      </c>
      <c r="N2199" t="str">
        <f>VLOOKUP(D2199,'Jer-Tip-Emp'!B:F,5,0)</f>
        <v>Bebidas</v>
      </c>
      <c r="O2199" t="str">
        <f>VLOOKUP(D2199,'Jer-Tip-Emp'!B:G,6,0)</f>
        <v>Bebidas</v>
      </c>
    </row>
    <row r="2200" spans="1:15" ht="27.5" hidden="1" customHeight="1" x14ac:dyDescent="0.2">
      <c r="A2200">
        <v>2025</v>
      </c>
      <c r="B2200" t="s">
        <v>626</v>
      </c>
      <c r="C2200" t="s">
        <v>609</v>
      </c>
      <c r="D2200" s="19" t="s">
        <v>364</v>
      </c>
      <c r="E2200" s="18" t="s">
        <v>51</v>
      </c>
      <c r="F2200" s="18">
        <v>11</v>
      </c>
      <c r="G2200" s="20">
        <v>38500</v>
      </c>
      <c r="H2200" s="18">
        <v>0</v>
      </c>
      <c r="I2200" s="20">
        <v>14201</v>
      </c>
      <c r="J2200" s="8">
        <f t="shared" si="102"/>
        <v>24299</v>
      </c>
      <c r="K2200" s="10">
        <f t="shared" si="103"/>
        <v>0.63114285714285712</v>
      </c>
      <c r="L2200" s="17">
        <f t="shared" si="104"/>
        <v>0</v>
      </c>
      <c r="M2200" t="str">
        <f>VLOOKUP(D2200,'Jer-Tip-Emp'!B:E,4,0)</f>
        <v>Bebidas</v>
      </c>
      <c r="N2200" t="str">
        <f>VLOOKUP(D2200,'Jer-Tip-Emp'!B:F,5,0)</f>
        <v>Bebidas</v>
      </c>
      <c r="O2200" t="str">
        <f>VLOOKUP(D2200,'Jer-Tip-Emp'!B:G,6,0)</f>
        <v>Bebidas</v>
      </c>
    </row>
    <row r="2201" spans="1:15" ht="27.5" hidden="1" customHeight="1" x14ac:dyDescent="0.2">
      <c r="A2201">
        <v>2025</v>
      </c>
      <c r="B2201" t="s">
        <v>626</v>
      </c>
      <c r="C2201" t="s">
        <v>609</v>
      </c>
      <c r="D2201" s="19" t="s">
        <v>335</v>
      </c>
      <c r="E2201" s="18" t="s">
        <v>40</v>
      </c>
      <c r="F2201" s="18">
        <v>11</v>
      </c>
      <c r="G2201" s="20">
        <v>53900</v>
      </c>
      <c r="H2201" s="18">
        <v>0</v>
      </c>
      <c r="I2201" s="20">
        <v>15103</v>
      </c>
      <c r="J2201" s="8">
        <f t="shared" si="102"/>
        <v>38797</v>
      </c>
      <c r="K2201" s="10">
        <f t="shared" si="103"/>
        <v>0.71979591836734691</v>
      </c>
      <c r="L2201" s="17">
        <f t="shared" si="104"/>
        <v>0</v>
      </c>
      <c r="M2201" t="str">
        <f>VLOOKUP(D2201,'Jer-Tip-Emp'!B:E,4,0)</f>
        <v>Bebidas</v>
      </c>
      <c r="N2201" t="str">
        <f>VLOOKUP(D2201,'Jer-Tip-Emp'!B:F,5,0)</f>
        <v>Bebidas</v>
      </c>
      <c r="O2201" t="str">
        <f>VLOOKUP(D2201,'Jer-Tip-Emp'!B:G,6,0)</f>
        <v>Bebidas</v>
      </c>
    </row>
    <row r="2202" spans="1:15" ht="27.5" customHeight="1" x14ac:dyDescent="0.2">
      <c r="A2202">
        <v>2025</v>
      </c>
      <c r="B2202" t="s">
        <v>626</v>
      </c>
      <c r="C2202" t="s">
        <v>609</v>
      </c>
      <c r="D2202" s="19" t="s">
        <v>219</v>
      </c>
      <c r="E2202" s="18" t="s">
        <v>111</v>
      </c>
      <c r="F2202" s="18">
        <v>11</v>
      </c>
      <c r="G2202" s="20">
        <v>299000</v>
      </c>
      <c r="H2202" s="20">
        <v>-29900</v>
      </c>
      <c r="I2202" s="20">
        <v>149237</v>
      </c>
      <c r="J2202" s="8">
        <f t="shared" si="102"/>
        <v>149763</v>
      </c>
      <c r="K2202" s="10">
        <f t="shared" si="103"/>
        <v>0.50087959866220733</v>
      </c>
      <c r="L2202" s="17">
        <f t="shared" si="104"/>
        <v>0.1</v>
      </c>
      <c r="M2202" t="str">
        <f>VLOOKUP(D2202,'Jer-Tip-Emp'!B:E,4,0)</f>
        <v>Platos especiales</v>
      </c>
      <c r="N2202" t="str">
        <f>VLOOKUP(D2202,'Jer-Tip-Emp'!B:F,5,0)</f>
        <v>Personal</v>
      </c>
      <c r="O2202" t="str">
        <f>VLOOKUP(D2202,'Jer-Tip-Emp'!B:G,6,0)</f>
        <v>Platos especiales</v>
      </c>
    </row>
    <row r="2203" spans="1:15" ht="27.5" customHeight="1" x14ac:dyDescent="0.2">
      <c r="A2203">
        <v>2025</v>
      </c>
      <c r="B2203" t="s">
        <v>626</v>
      </c>
      <c r="C2203" t="s">
        <v>609</v>
      </c>
      <c r="D2203" s="19" t="s">
        <v>197</v>
      </c>
      <c r="E2203" s="18" t="s">
        <v>31</v>
      </c>
      <c r="F2203" s="18">
        <v>11</v>
      </c>
      <c r="G2203" s="20">
        <v>75900</v>
      </c>
      <c r="H2203" s="18">
        <v>0</v>
      </c>
      <c r="I2203" s="20">
        <v>35332</v>
      </c>
      <c r="J2203" s="8">
        <f t="shared" si="102"/>
        <v>40568</v>
      </c>
      <c r="K2203" s="10">
        <f t="shared" si="103"/>
        <v>0.53449275362318838</v>
      </c>
      <c r="L2203" s="17">
        <f t="shared" si="104"/>
        <v>0</v>
      </c>
      <c r="M2203" t="str">
        <f>VLOOKUP(D2203,'Jer-Tip-Emp'!B:E,4,0)</f>
        <v>Armalo en combo</v>
      </c>
      <c r="N2203" t="str">
        <f>VLOOKUP(D2203,'Jer-Tip-Emp'!B:F,5,0)</f>
        <v>Personal</v>
      </c>
      <c r="O2203" t="str">
        <f>VLOOKUP(D2203,'Jer-Tip-Emp'!B:G,6,0)</f>
        <v>Combo</v>
      </c>
    </row>
    <row r="2204" spans="1:15" ht="27.5" customHeight="1" x14ac:dyDescent="0.2">
      <c r="A2204">
        <v>2025</v>
      </c>
      <c r="B2204" t="s">
        <v>626</v>
      </c>
      <c r="C2204" t="s">
        <v>609</v>
      </c>
      <c r="D2204" s="19" t="s">
        <v>266</v>
      </c>
      <c r="E2204" s="18" t="s">
        <v>85</v>
      </c>
      <c r="F2204" s="18">
        <v>11</v>
      </c>
      <c r="G2204" s="20">
        <v>878900</v>
      </c>
      <c r="H2204" s="18">
        <v>0</v>
      </c>
      <c r="I2204" s="20">
        <v>431431</v>
      </c>
      <c r="J2204" s="8">
        <f t="shared" si="102"/>
        <v>447469</v>
      </c>
      <c r="K2204" s="10">
        <f t="shared" si="103"/>
        <v>0.50912390488110137</v>
      </c>
      <c r="L2204" s="17">
        <f t="shared" si="104"/>
        <v>0</v>
      </c>
      <c r="M2204" t="str">
        <f>VLOOKUP(D2204,'Jer-Tip-Emp'!B:E,4,0)</f>
        <v>Combos para compartir</v>
      </c>
      <c r="N2204" t="str">
        <f>VLOOKUP(D2204,'Jer-Tip-Emp'!B:F,5,0)</f>
        <v>No Personal</v>
      </c>
      <c r="O2204" t="str">
        <f>VLOOKUP(D2204,'Jer-Tip-Emp'!B:G,6,0)</f>
        <v>Combo</v>
      </c>
    </row>
    <row r="2205" spans="1:15" ht="27.5" customHeight="1" x14ac:dyDescent="0.2">
      <c r="A2205">
        <v>2025</v>
      </c>
      <c r="B2205" t="s">
        <v>626</v>
      </c>
      <c r="C2205" t="s">
        <v>609</v>
      </c>
      <c r="D2205" s="19" t="s">
        <v>298</v>
      </c>
      <c r="E2205" s="18" t="s">
        <v>153</v>
      </c>
      <c r="F2205" s="18">
        <v>11</v>
      </c>
      <c r="G2205" s="20">
        <v>218900</v>
      </c>
      <c r="H2205" s="18">
        <v>0</v>
      </c>
      <c r="I2205" s="20">
        <v>93731</v>
      </c>
      <c r="J2205" s="8">
        <f t="shared" si="102"/>
        <v>125169</v>
      </c>
      <c r="K2205" s="10">
        <f t="shared" si="103"/>
        <v>0.57180904522613063</v>
      </c>
      <c r="L2205" s="17">
        <f t="shared" si="104"/>
        <v>0</v>
      </c>
      <c r="M2205" t="str">
        <f>VLOOKUP(D2205,'Jer-Tip-Emp'!B:E,4,0)</f>
        <v>Platos mong</v>
      </c>
      <c r="N2205" t="str">
        <f>VLOOKUP(D2205,'Jer-Tip-Emp'!B:F,5,0)</f>
        <v>Personal</v>
      </c>
      <c r="O2205" t="str">
        <f>VLOOKUP(D2205,'Jer-Tip-Emp'!B:G,6,0)</f>
        <v>Caja</v>
      </c>
    </row>
    <row r="2206" spans="1:15" ht="27.5" customHeight="1" x14ac:dyDescent="0.2">
      <c r="A2206">
        <v>2025</v>
      </c>
      <c r="B2206" t="s">
        <v>626</v>
      </c>
      <c r="C2206" t="s">
        <v>609</v>
      </c>
      <c r="D2206" s="19" t="s">
        <v>244</v>
      </c>
      <c r="E2206" s="18" t="s">
        <v>113</v>
      </c>
      <c r="F2206" s="18">
        <v>11</v>
      </c>
      <c r="G2206" s="20">
        <v>319000</v>
      </c>
      <c r="H2206" s="20">
        <v>-31900</v>
      </c>
      <c r="I2206" s="20">
        <v>83655</v>
      </c>
      <c r="J2206" s="8">
        <f t="shared" si="102"/>
        <v>235345</v>
      </c>
      <c r="K2206" s="10">
        <f t="shared" si="103"/>
        <v>0.73775862068965514</v>
      </c>
      <c r="L2206" s="17">
        <f t="shared" si="104"/>
        <v>0.1</v>
      </c>
      <c r="M2206" t="str">
        <f>VLOOKUP(D2206,'Jer-Tip-Emp'!B:E,4,0)</f>
        <v>Platos especiales</v>
      </c>
      <c r="N2206" t="str">
        <f>VLOOKUP(D2206,'Jer-Tip-Emp'!B:F,5,0)</f>
        <v>Personal</v>
      </c>
      <c r="O2206" t="str">
        <f>VLOOKUP(D2206,'Jer-Tip-Emp'!B:G,6,0)</f>
        <v>Platos especiales</v>
      </c>
    </row>
    <row r="2207" spans="1:15" ht="27.5" hidden="1" customHeight="1" x14ac:dyDescent="0.2">
      <c r="A2207">
        <v>2025</v>
      </c>
      <c r="B2207" t="s">
        <v>626</v>
      </c>
      <c r="C2207" t="s">
        <v>609</v>
      </c>
      <c r="D2207" s="19" t="s">
        <v>321</v>
      </c>
      <c r="E2207" s="18" t="s">
        <v>72</v>
      </c>
      <c r="F2207" s="18">
        <v>10</v>
      </c>
      <c r="G2207" s="20">
        <v>49000</v>
      </c>
      <c r="H2207" s="18">
        <v>0</v>
      </c>
      <c r="I2207" s="20">
        <v>13300</v>
      </c>
      <c r="J2207" s="8">
        <f t="shared" si="102"/>
        <v>35700</v>
      </c>
      <c r="K2207" s="10">
        <f t="shared" si="103"/>
        <v>0.72857142857142854</v>
      </c>
      <c r="L2207" s="17">
        <f t="shared" si="104"/>
        <v>0</v>
      </c>
      <c r="M2207" t="str">
        <f>VLOOKUP(D2207,'Jer-Tip-Emp'!B:E,4,0)</f>
        <v>Bebidas</v>
      </c>
      <c r="N2207" t="str">
        <f>VLOOKUP(D2207,'Jer-Tip-Emp'!B:F,5,0)</f>
        <v>Bebidas</v>
      </c>
      <c r="O2207" t="str">
        <f>VLOOKUP(D2207,'Jer-Tip-Emp'!B:G,6,0)</f>
        <v>Bebidas</v>
      </c>
    </row>
    <row r="2208" spans="1:15" ht="27.5" customHeight="1" x14ac:dyDescent="0.2">
      <c r="A2208">
        <v>2025</v>
      </c>
      <c r="B2208" t="s">
        <v>626</v>
      </c>
      <c r="C2208" t="s">
        <v>609</v>
      </c>
      <c r="D2208" s="19" t="s">
        <v>448</v>
      </c>
      <c r="E2208" s="18" t="s">
        <v>552</v>
      </c>
      <c r="F2208" s="18">
        <v>10</v>
      </c>
      <c r="G2208" s="18">
        <v>0</v>
      </c>
      <c r="H2208" s="18">
        <v>0</v>
      </c>
      <c r="I2208" s="20">
        <v>52630</v>
      </c>
      <c r="J2208" s="8">
        <f t="shared" si="102"/>
        <v>-52630</v>
      </c>
      <c r="K2208" s="10">
        <f t="shared" si="103"/>
        <v>0</v>
      </c>
      <c r="L2208" s="17">
        <f t="shared" si="104"/>
        <v>0</v>
      </c>
      <c r="M2208" t="str">
        <f>VLOOKUP(D2208,'Jer-Tip-Emp'!B:E,4,0)</f>
        <v>Arma tu plato</v>
      </c>
      <c r="N2208" t="str">
        <f>VLOOKUP(D2208,'Jer-Tip-Emp'!B:F,5,0)</f>
        <v>Personal</v>
      </c>
      <c r="O2208" t="str">
        <f>VLOOKUP(D2208,'Jer-Tip-Emp'!B:G,6,0)</f>
        <v>Caja</v>
      </c>
    </row>
    <row r="2209" spans="1:15" ht="27.5" hidden="1" customHeight="1" x14ac:dyDescent="0.2">
      <c r="A2209">
        <v>2025</v>
      </c>
      <c r="B2209" t="s">
        <v>626</v>
      </c>
      <c r="C2209" t="s">
        <v>609</v>
      </c>
      <c r="D2209" s="19" t="s">
        <v>337</v>
      </c>
      <c r="E2209" s="18" t="s">
        <v>58</v>
      </c>
      <c r="F2209" s="18">
        <v>10</v>
      </c>
      <c r="G2209" s="20">
        <v>49000</v>
      </c>
      <c r="H2209" s="18">
        <v>0</v>
      </c>
      <c r="I2209" s="20">
        <v>15600</v>
      </c>
      <c r="J2209" s="8">
        <f t="shared" si="102"/>
        <v>33400</v>
      </c>
      <c r="K2209" s="10">
        <f t="shared" si="103"/>
        <v>0.68163265306122445</v>
      </c>
      <c r="L2209" s="17">
        <f t="shared" si="104"/>
        <v>0</v>
      </c>
      <c r="M2209" t="str">
        <f>VLOOKUP(D2209,'Jer-Tip-Emp'!B:E,4,0)</f>
        <v>Bebidas</v>
      </c>
      <c r="N2209" t="str">
        <f>VLOOKUP(D2209,'Jer-Tip-Emp'!B:F,5,0)</f>
        <v>Bebidas</v>
      </c>
      <c r="O2209" t="str">
        <f>VLOOKUP(D2209,'Jer-Tip-Emp'!B:G,6,0)</f>
        <v>Bebidas</v>
      </c>
    </row>
    <row r="2210" spans="1:15" ht="27.5" customHeight="1" x14ac:dyDescent="0.2">
      <c r="A2210">
        <v>2025</v>
      </c>
      <c r="B2210" t="s">
        <v>626</v>
      </c>
      <c r="C2210" t="s">
        <v>609</v>
      </c>
      <c r="D2210" s="19" t="s">
        <v>232</v>
      </c>
      <c r="E2210" s="18" t="s">
        <v>94</v>
      </c>
      <c r="F2210" s="18">
        <v>9</v>
      </c>
      <c r="G2210" s="20">
        <v>197100</v>
      </c>
      <c r="H2210" s="18">
        <v>0</v>
      </c>
      <c r="I2210" s="20">
        <v>84636</v>
      </c>
      <c r="J2210" s="8">
        <f t="shared" si="102"/>
        <v>112464</v>
      </c>
      <c r="K2210" s="10">
        <f t="shared" si="103"/>
        <v>0.57059360730593611</v>
      </c>
      <c r="L2210" s="17">
        <f t="shared" si="104"/>
        <v>0</v>
      </c>
      <c r="M2210" t="str">
        <f>VLOOKUP(D2210,'Jer-Tip-Emp'!B:E,4,0)</f>
        <v>Platos mong</v>
      </c>
      <c r="N2210" t="str">
        <f>VLOOKUP(D2210,'Jer-Tip-Emp'!B:F,5,0)</f>
        <v>Personal</v>
      </c>
      <c r="O2210" t="str">
        <f>VLOOKUP(D2210,'Jer-Tip-Emp'!B:G,6,0)</f>
        <v>Caja</v>
      </c>
    </row>
    <row r="2211" spans="1:15" ht="27.5" customHeight="1" x14ac:dyDescent="0.2">
      <c r="A2211">
        <v>2025</v>
      </c>
      <c r="B2211" t="s">
        <v>626</v>
      </c>
      <c r="C2211" t="s">
        <v>609</v>
      </c>
      <c r="D2211" s="19" t="s">
        <v>206</v>
      </c>
      <c r="E2211" s="18" t="s">
        <v>117</v>
      </c>
      <c r="F2211" s="18">
        <v>9</v>
      </c>
      <c r="G2211" s="20">
        <v>135200</v>
      </c>
      <c r="H2211" s="20">
        <v>-16900</v>
      </c>
      <c r="I2211" s="20">
        <v>64125</v>
      </c>
      <c r="J2211" s="8">
        <f t="shared" si="102"/>
        <v>71075</v>
      </c>
      <c r="K2211" s="10">
        <f t="shared" si="103"/>
        <v>0.52570266272189348</v>
      </c>
      <c r="L2211" s="17">
        <f t="shared" si="104"/>
        <v>0.125</v>
      </c>
      <c r="M2211" t="str">
        <f>VLOOKUP(D2211,'Jer-Tip-Emp'!B:E,4,0)</f>
        <v>Platos especiales</v>
      </c>
      <c r="N2211" t="str">
        <f>VLOOKUP(D2211,'Jer-Tip-Emp'!B:F,5,0)</f>
        <v>Personal</v>
      </c>
      <c r="O2211" t="str">
        <f>VLOOKUP(D2211,'Jer-Tip-Emp'!B:G,6,0)</f>
        <v>Platos especiales</v>
      </c>
    </row>
    <row r="2212" spans="1:15" ht="27.5" hidden="1" customHeight="1" x14ac:dyDescent="0.2">
      <c r="A2212">
        <v>2025</v>
      </c>
      <c r="B2212" t="s">
        <v>626</v>
      </c>
      <c r="C2212" t="s">
        <v>609</v>
      </c>
      <c r="D2212" s="19" t="s">
        <v>397</v>
      </c>
      <c r="E2212" s="18" t="s">
        <v>61</v>
      </c>
      <c r="F2212" s="18">
        <v>9</v>
      </c>
      <c r="G2212" s="20">
        <v>44100</v>
      </c>
      <c r="H2212" s="18">
        <v>0</v>
      </c>
      <c r="I2212" s="20">
        <v>17064</v>
      </c>
      <c r="J2212" s="8">
        <f t="shared" si="102"/>
        <v>27036</v>
      </c>
      <c r="K2212" s="10">
        <f t="shared" si="103"/>
        <v>0.61306122448979594</v>
      </c>
      <c r="L2212" s="17">
        <f t="shared" si="104"/>
        <v>0</v>
      </c>
      <c r="M2212" t="str">
        <f>VLOOKUP(D2212,'Jer-Tip-Emp'!B:E,4,0)</f>
        <v>Bebidas</v>
      </c>
      <c r="N2212" t="str">
        <f>VLOOKUP(D2212,'Jer-Tip-Emp'!B:F,5,0)</f>
        <v>Bebidas</v>
      </c>
      <c r="O2212" t="str">
        <f>VLOOKUP(D2212,'Jer-Tip-Emp'!B:G,6,0)</f>
        <v>Bebidas</v>
      </c>
    </row>
    <row r="2213" spans="1:15" ht="27.5" customHeight="1" x14ac:dyDescent="0.2">
      <c r="A2213">
        <v>2025</v>
      </c>
      <c r="B2213" t="s">
        <v>626</v>
      </c>
      <c r="C2213" t="s">
        <v>609</v>
      </c>
      <c r="D2213" s="19" t="s">
        <v>261</v>
      </c>
      <c r="E2213" s="18" t="s">
        <v>135</v>
      </c>
      <c r="F2213" s="18">
        <v>8</v>
      </c>
      <c r="G2213" s="20">
        <v>127200</v>
      </c>
      <c r="H2213" s="18">
        <v>0</v>
      </c>
      <c r="I2213" s="20">
        <v>43728</v>
      </c>
      <c r="J2213" s="8">
        <f t="shared" si="102"/>
        <v>83472</v>
      </c>
      <c r="K2213" s="10">
        <f t="shared" si="103"/>
        <v>0.65622641509433965</v>
      </c>
      <c r="L2213" s="17">
        <f t="shared" si="104"/>
        <v>0</v>
      </c>
      <c r="M2213" t="str">
        <f>VLOOKUP(D2213,'Jer-Tip-Emp'!B:E,4,0)</f>
        <v>Platos mong</v>
      </c>
      <c r="N2213" t="str">
        <f>VLOOKUP(D2213,'Jer-Tip-Emp'!B:F,5,0)</f>
        <v>Personal</v>
      </c>
      <c r="O2213" t="str">
        <f>VLOOKUP(D2213,'Jer-Tip-Emp'!B:G,6,0)</f>
        <v>Caja</v>
      </c>
    </row>
    <row r="2214" spans="1:15" ht="27.5" hidden="1" customHeight="1" x14ac:dyDescent="0.2">
      <c r="A2214">
        <v>2025</v>
      </c>
      <c r="B2214" t="s">
        <v>626</v>
      </c>
      <c r="C2214" t="s">
        <v>609</v>
      </c>
      <c r="D2214" s="19" t="s">
        <v>408</v>
      </c>
      <c r="E2214" s="18" t="s">
        <v>35</v>
      </c>
      <c r="F2214" s="18">
        <v>8</v>
      </c>
      <c r="G2214" s="20">
        <v>28000</v>
      </c>
      <c r="H2214" s="18">
        <v>0</v>
      </c>
      <c r="I2214" s="20">
        <v>6944</v>
      </c>
      <c r="J2214" s="8">
        <f t="shared" si="102"/>
        <v>21056</v>
      </c>
      <c r="K2214" s="10">
        <f t="shared" si="103"/>
        <v>0.752</v>
      </c>
      <c r="L2214" s="17">
        <f t="shared" si="104"/>
        <v>0</v>
      </c>
      <c r="M2214" t="str">
        <f>VLOOKUP(D2214,'Jer-Tip-Emp'!B:E,4,0)</f>
        <v>Bebidas</v>
      </c>
      <c r="N2214" t="str">
        <f>VLOOKUP(D2214,'Jer-Tip-Emp'!B:F,5,0)</f>
        <v>Bebidas</v>
      </c>
      <c r="O2214" t="str">
        <f>VLOOKUP(D2214,'Jer-Tip-Emp'!B:G,6,0)</f>
        <v>Bebidas</v>
      </c>
    </row>
    <row r="2215" spans="1:15" ht="27.5" customHeight="1" x14ac:dyDescent="0.2">
      <c r="A2215">
        <v>2025</v>
      </c>
      <c r="B2215" t="s">
        <v>626</v>
      </c>
      <c r="C2215" t="s">
        <v>609</v>
      </c>
      <c r="D2215" s="19" t="s">
        <v>214</v>
      </c>
      <c r="E2215" s="18" t="s">
        <v>81</v>
      </c>
      <c r="F2215" s="18">
        <v>8</v>
      </c>
      <c r="G2215" s="20">
        <v>559200</v>
      </c>
      <c r="H2215" s="18">
        <v>0</v>
      </c>
      <c r="I2215" s="20">
        <v>189104</v>
      </c>
      <c r="J2215" s="8">
        <f t="shared" si="102"/>
        <v>370096</v>
      </c>
      <c r="K2215" s="10">
        <f t="shared" si="103"/>
        <v>0.66183118741058655</v>
      </c>
      <c r="L2215" s="17">
        <f t="shared" si="104"/>
        <v>0</v>
      </c>
      <c r="M2215" t="str">
        <f>VLOOKUP(D2215,'Jer-Tip-Emp'!B:E,4,0)</f>
        <v>Combos para compartir</v>
      </c>
      <c r="N2215" t="str">
        <f>VLOOKUP(D2215,'Jer-Tip-Emp'!B:F,5,0)</f>
        <v>No Personal</v>
      </c>
      <c r="O2215" t="str">
        <f>VLOOKUP(D2215,'Jer-Tip-Emp'!B:G,6,0)</f>
        <v>Combo</v>
      </c>
    </row>
    <row r="2216" spans="1:15" ht="27.5" hidden="1" customHeight="1" x14ac:dyDescent="0.2">
      <c r="A2216">
        <v>2025</v>
      </c>
      <c r="B2216" t="s">
        <v>626</v>
      </c>
      <c r="C2216" t="s">
        <v>609</v>
      </c>
      <c r="D2216" s="19" t="s">
        <v>326</v>
      </c>
      <c r="E2216" s="18" t="s">
        <v>69</v>
      </c>
      <c r="F2216" s="18">
        <v>8</v>
      </c>
      <c r="G2216" s="20">
        <v>39200</v>
      </c>
      <c r="H2216" s="18">
        <v>0</v>
      </c>
      <c r="I2216" s="20">
        <v>10640</v>
      </c>
      <c r="J2216" s="8">
        <f t="shared" si="102"/>
        <v>28560</v>
      </c>
      <c r="K2216" s="10">
        <f t="shared" si="103"/>
        <v>0.72857142857142854</v>
      </c>
      <c r="L2216" s="17">
        <f t="shared" si="104"/>
        <v>0</v>
      </c>
      <c r="M2216" t="str">
        <f>VLOOKUP(D2216,'Jer-Tip-Emp'!B:E,4,0)</f>
        <v>Bebidas</v>
      </c>
      <c r="N2216" t="str">
        <f>VLOOKUP(D2216,'Jer-Tip-Emp'!B:F,5,0)</f>
        <v>Bebidas</v>
      </c>
      <c r="O2216" t="str">
        <f>VLOOKUP(D2216,'Jer-Tip-Emp'!B:G,6,0)</f>
        <v>Bebidas</v>
      </c>
    </row>
    <row r="2217" spans="1:15" ht="27.5" hidden="1" customHeight="1" x14ac:dyDescent="0.2">
      <c r="A2217">
        <v>2025</v>
      </c>
      <c r="B2217" t="s">
        <v>626</v>
      </c>
      <c r="C2217" t="s">
        <v>609</v>
      </c>
      <c r="D2217" s="19" t="s">
        <v>494</v>
      </c>
      <c r="E2217" s="18" t="s">
        <v>568</v>
      </c>
      <c r="F2217" s="18">
        <v>7</v>
      </c>
      <c r="G2217" s="20">
        <v>9800</v>
      </c>
      <c r="H2217" s="18">
        <v>0</v>
      </c>
      <c r="I2217" s="20">
        <v>14973</v>
      </c>
      <c r="J2217" s="8">
        <f t="shared" si="102"/>
        <v>-5173</v>
      </c>
      <c r="K2217" s="10">
        <f t="shared" si="103"/>
        <v>-0.5278571428571428</v>
      </c>
      <c r="L2217" s="17">
        <f t="shared" si="104"/>
        <v>0</v>
      </c>
      <c r="M2217" t="str">
        <f>VLOOKUP(D2217,'Jer-Tip-Emp'!B:E,4,0)</f>
        <v>Bebidas</v>
      </c>
      <c r="N2217" t="str">
        <f>VLOOKUP(D2217,'Jer-Tip-Emp'!B:F,5,0)</f>
        <v>Bebidas Cambio de bebida</v>
      </c>
      <c r="O2217" t="str">
        <f>VLOOKUP(D2217,'Jer-Tip-Emp'!B:G,6,0)</f>
        <v>Bebidas</v>
      </c>
    </row>
    <row r="2218" spans="1:15" ht="27.5" hidden="1" customHeight="1" x14ac:dyDescent="0.2">
      <c r="A2218">
        <v>2025</v>
      </c>
      <c r="B2218" t="s">
        <v>626</v>
      </c>
      <c r="C2218" t="s">
        <v>609</v>
      </c>
      <c r="D2218" s="19" t="s">
        <v>369</v>
      </c>
      <c r="E2218" s="18" t="s">
        <v>68</v>
      </c>
      <c r="F2218" s="18">
        <v>7</v>
      </c>
      <c r="G2218" s="20">
        <v>34300</v>
      </c>
      <c r="H2218" s="18">
        <v>0</v>
      </c>
      <c r="I2218" s="20">
        <v>9310</v>
      </c>
      <c r="J2218" s="8">
        <f t="shared" si="102"/>
        <v>24990</v>
      </c>
      <c r="K2218" s="10">
        <f t="shared" si="103"/>
        <v>0.72857142857142854</v>
      </c>
      <c r="L2218" s="17">
        <f t="shared" si="104"/>
        <v>0</v>
      </c>
      <c r="M2218" t="str">
        <f>VLOOKUP(D2218,'Jer-Tip-Emp'!B:E,4,0)</f>
        <v>Bebidas</v>
      </c>
      <c r="N2218" t="str">
        <f>VLOOKUP(D2218,'Jer-Tip-Emp'!B:F,5,0)</f>
        <v>Bebidas</v>
      </c>
      <c r="O2218" t="str">
        <f>VLOOKUP(D2218,'Jer-Tip-Emp'!B:G,6,0)</f>
        <v>Bebidas</v>
      </c>
    </row>
    <row r="2219" spans="1:15" ht="27.5" hidden="1" customHeight="1" x14ac:dyDescent="0.2">
      <c r="A2219">
        <v>2025</v>
      </c>
      <c r="B2219" t="s">
        <v>626</v>
      </c>
      <c r="C2219" t="s">
        <v>609</v>
      </c>
      <c r="D2219" s="19" t="s">
        <v>403</v>
      </c>
      <c r="E2219" s="18" t="s">
        <v>45</v>
      </c>
      <c r="F2219" s="18">
        <v>7</v>
      </c>
      <c r="G2219" s="20">
        <v>68459</v>
      </c>
      <c r="H2219" s="18">
        <v>-841</v>
      </c>
      <c r="I2219" s="20">
        <v>31507</v>
      </c>
      <c r="J2219" s="8">
        <f t="shared" si="102"/>
        <v>36952</v>
      </c>
      <c r="K2219" s="10">
        <f t="shared" si="103"/>
        <v>0.53976832848858436</v>
      </c>
      <c r="L2219" s="17">
        <f t="shared" si="104"/>
        <v>1.2284725163966753E-2</v>
      </c>
      <c r="M2219" t="str">
        <f>VLOOKUP(D2219,'Jer-Tip-Emp'!B:E,4,0)</f>
        <v>Bebidas</v>
      </c>
      <c r="N2219" t="str">
        <f>VLOOKUP(D2219,'Jer-Tip-Emp'!B:F,5,0)</f>
        <v>Bebidas</v>
      </c>
      <c r="O2219" t="str">
        <f>VLOOKUP(D2219,'Jer-Tip-Emp'!B:G,6,0)</f>
        <v>Bebidas</v>
      </c>
    </row>
    <row r="2220" spans="1:15" ht="27.5" hidden="1" customHeight="1" x14ac:dyDescent="0.2">
      <c r="A2220">
        <v>2025</v>
      </c>
      <c r="B2220" t="s">
        <v>626</v>
      </c>
      <c r="C2220" t="s">
        <v>609</v>
      </c>
      <c r="D2220" s="19" t="s">
        <v>262</v>
      </c>
      <c r="E2220" s="18" t="s">
        <v>102</v>
      </c>
      <c r="F2220" s="18">
        <v>7</v>
      </c>
      <c r="G2220" s="20">
        <v>153300</v>
      </c>
      <c r="H2220" s="18">
        <v>0</v>
      </c>
      <c r="I2220" s="20">
        <v>43505</v>
      </c>
      <c r="J2220" s="8">
        <f t="shared" si="102"/>
        <v>109795</v>
      </c>
      <c r="K2220" s="10">
        <f t="shared" si="103"/>
        <v>0.71621004566210045</v>
      </c>
      <c r="L2220" s="17">
        <f t="shared" si="104"/>
        <v>0</v>
      </c>
      <c r="M2220" t="str">
        <f>VLOOKUP(D2220,'Jer-Tip-Emp'!B:E,4,0)</f>
        <v>Entradas</v>
      </c>
      <c r="N2220" t="str">
        <f>VLOOKUP(D2220,'Jer-Tip-Emp'!B:F,5,0)</f>
        <v>Otro</v>
      </c>
      <c r="O2220" t="str">
        <f>VLOOKUP(D2220,'Jer-Tip-Emp'!B:G,6,0)</f>
        <v>Otro</v>
      </c>
    </row>
    <row r="2221" spans="1:15" ht="27.5" hidden="1" customHeight="1" x14ac:dyDescent="0.2">
      <c r="A2221">
        <v>2025</v>
      </c>
      <c r="B2221" t="s">
        <v>626</v>
      </c>
      <c r="C2221" t="s">
        <v>609</v>
      </c>
      <c r="D2221" s="19" t="s">
        <v>193</v>
      </c>
      <c r="E2221" s="18" t="s">
        <v>18</v>
      </c>
      <c r="F2221" s="18">
        <v>6</v>
      </c>
      <c r="G2221" s="20">
        <v>53400</v>
      </c>
      <c r="H2221" s="18">
        <v>0</v>
      </c>
      <c r="I2221" s="20">
        <v>18648</v>
      </c>
      <c r="J2221" s="8">
        <f t="shared" si="102"/>
        <v>34752</v>
      </c>
      <c r="K2221" s="10">
        <f t="shared" si="103"/>
        <v>0.65078651685393263</v>
      </c>
      <c r="L2221" s="17">
        <f t="shared" si="104"/>
        <v>0</v>
      </c>
      <c r="M2221" t="str">
        <f>VLOOKUP(D2221,'Jer-Tip-Emp'!B:E,4,0)</f>
        <v>Adición</v>
      </c>
      <c r="N2221" t="str">
        <f>VLOOKUP(D2221,'Jer-Tip-Emp'!B:F,5,0)</f>
        <v>Adición</v>
      </c>
      <c r="O2221" t="str">
        <f>VLOOKUP(D2221,'Jer-Tip-Emp'!B:G,6,0)</f>
        <v>Adición</v>
      </c>
    </row>
    <row r="2222" spans="1:15" ht="27.5" hidden="1" customHeight="1" x14ac:dyDescent="0.2">
      <c r="A2222">
        <v>2025</v>
      </c>
      <c r="B2222" t="s">
        <v>626</v>
      </c>
      <c r="C2222" t="s">
        <v>609</v>
      </c>
      <c r="D2222" s="19" t="s">
        <v>410</v>
      </c>
      <c r="E2222" s="18" t="s">
        <v>559</v>
      </c>
      <c r="F2222" s="18">
        <v>6</v>
      </c>
      <c r="G2222" s="20">
        <v>12000</v>
      </c>
      <c r="H2222" s="18">
        <v>0</v>
      </c>
      <c r="I2222" s="20">
        <v>13410</v>
      </c>
      <c r="J2222" s="8">
        <f t="shared" si="102"/>
        <v>-1410</v>
      </c>
      <c r="K2222" s="10">
        <f t="shared" si="103"/>
        <v>-0.11749999999999999</v>
      </c>
      <c r="L2222" s="17">
        <f t="shared" si="104"/>
        <v>0</v>
      </c>
      <c r="M2222" t="str">
        <f>VLOOKUP(D2222,'Jer-Tip-Emp'!B:E,4,0)</f>
        <v>Bebidas</v>
      </c>
      <c r="N2222" t="str">
        <f>VLOOKUP(D2222,'Jer-Tip-Emp'!B:F,5,0)</f>
        <v>Bebidas Cambio de bebida</v>
      </c>
      <c r="O2222" t="str">
        <f>VLOOKUP(D2222,'Jer-Tip-Emp'!B:G,6,0)</f>
        <v>Bebidas</v>
      </c>
    </row>
    <row r="2223" spans="1:15" ht="27.5" customHeight="1" x14ac:dyDescent="0.2">
      <c r="A2223">
        <v>2025</v>
      </c>
      <c r="B2223" t="s">
        <v>626</v>
      </c>
      <c r="C2223" t="s">
        <v>609</v>
      </c>
      <c r="D2223" s="19" t="s">
        <v>299</v>
      </c>
      <c r="E2223" s="18" t="s">
        <v>126</v>
      </c>
      <c r="F2223" s="18">
        <v>6</v>
      </c>
      <c r="G2223" s="20">
        <v>275400</v>
      </c>
      <c r="H2223" s="18">
        <v>0</v>
      </c>
      <c r="I2223" s="20">
        <v>67992</v>
      </c>
      <c r="J2223" s="8">
        <f t="shared" si="102"/>
        <v>207408</v>
      </c>
      <c r="K2223" s="10">
        <f t="shared" si="103"/>
        <v>0.7531154684095861</v>
      </c>
      <c r="L2223" s="17">
        <f t="shared" si="104"/>
        <v>0</v>
      </c>
      <c r="M2223" t="str">
        <f>VLOOKUP(D2223,'Jer-Tip-Emp'!B:E,4,0)</f>
        <v>Platos mong</v>
      </c>
      <c r="N2223" t="str">
        <f>VLOOKUP(D2223,'Jer-Tip-Emp'!B:F,5,0)</f>
        <v>No Personal</v>
      </c>
      <c r="O2223" t="str">
        <f>VLOOKUP(D2223,'Jer-Tip-Emp'!B:G,6,0)</f>
        <v>Caja</v>
      </c>
    </row>
    <row r="2224" spans="1:15" ht="27.5" customHeight="1" x14ac:dyDescent="0.2">
      <c r="A2224">
        <v>2025</v>
      </c>
      <c r="B2224" t="s">
        <v>626</v>
      </c>
      <c r="C2224" t="s">
        <v>609</v>
      </c>
      <c r="D2224" s="19" t="s">
        <v>290</v>
      </c>
      <c r="E2224" s="18" t="s">
        <v>86</v>
      </c>
      <c r="F2224" s="18">
        <v>6</v>
      </c>
      <c r="G2224" s="20">
        <v>539400</v>
      </c>
      <c r="H2224" s="18">
        <v>0</v>
      </c>
      <c r="I2224" s="20">
        <v>280680</v>
      </c>
      <c r="J2224" s="8">
        <f t="shared" si="102"/>
        <v>258720</v>
      </c>
      <c r="K2224" s="10">
        <f t="shared" si="103"/>
        <v>0.47964404894327028</v>
      </c>
      <c r="L2224" s="17">
        <f t="shared" si="104"/>
        <v>0</v>
      </c>
      <c r="M2224" t="str">
        <f>VLOOKUP(D2224,'Jer-Tip-Emp'!B:E,4,0)</f>
        <v>Combos para compartir</v>
      </c>
      <c r="N2224" t="str">
        <f>VLOOKUP(D2224,'Jer-Tip-Emp'!B:F,5,0)</f>
        <v>No Personal</v>
      </c>
      <c r="O2224" t="str">
        <f>VLOOKUP(D2224,'Jer-Tip-Emp'!B:G,6,0)</f>
        <v>Combo</v>
      </c>
    </row>
    <row r="2225" spans="1:15" ht="27.5" customHeight="1" x14ac:dyDescent="0.2">
      <c r="A2225">
        <v>2025</v>
      </c>
      <c r="B2225" t="s">
        <v>626</v>
      </c>
      <c r="C2225" t="s">
        <v>609</v>
      </c>
      <c r="D2225" s="19" t="s">
        <v>225</v>
      </c>
      <c r="E2225" s="18" t="s">
        <v>157</v>
      </c>
      <c r="F2225" s="18">
        <v>6</v>
      </c>
      <c r="G2225" s="20">
        <v>107400</v>
      </c>
      <c r="H2225" s="18">
        <v>0</v>
      </c>
      <c r="I2225" s="20">
        <v>42846</v>
      </c>
      <c r="J2225" s="8">
        <f t="shared" si="102"/>
        <v>64554</v>
      </c>
      <c r="K2225" s="10">
        <f t="shared" si="103"/>
        <v>0.60106145251396648</v>
      </c>
      <c r="L2225" s="17">
        <f t="shared" si="104"/>
        <v>0</v>
      </c>
      <c r="M2225" t="str">
        <f>VLOOKUP(D2225,'Jer-Tip-Emp'!B:E,4,0)</f>
        <v>Platos mong</v>
      </c>
      <c r="N2225" t="str">
        <f>VLOOKUP(D2225,'Jer-Tip-Emp'!B:F,5,0)</f>
        <v>Personal</v>
      </c>
      <c r="O2225" t="str">
        <f>VLOOKUP(D2225,'Jer-Tip-Emp'!B:G,6,0)</f>
        <v>Caja</v>
      </c>
    </row>
    <row r="2226" spans="1:15" ht="27.5" hidden="1" customHeight="1" x14ac:dyDescent="0.2">
      <c r="A2226">
        <v>2025</v>
      </c>
      <c r="B2226" t="s">
        <v>626</v>
      </c>
      <c r="C2226" t="s">
        <v>609</v>
      </c>
      <c r="D2226" s="19" t="s">
        <v>275</v>
      </c>
      <c r="E2226" s="18" t="s">
        <v>16</v>
      </c>
      <c r="F2226" s="18">
        <v>5</v>
      </c>
      <c r="G2226" s="20">
        <v>34500</v>
      </c>
      <c r="H2226" s="18">
        <v>0</v>
      </c>
      <c r="I2226" s="20">
        <v>11225</v>
      </c>
      <c r="J2226" s="8">
        <f t="shared" si="102"/>
        <v>23275</v>
      </c>
      <c r="K2226" s="10">
        <f t="shared" si="103"/>
        <v>0.67463768115942024</v>
      </c>
      <c r="L2226" s="17">
        <f t="shared" si="104"/>
        <v>0</v>
      </c>
      <c r="M2226" t="str">
        <f>VLOOKUP(D2226,'Jer-Tip-Emp'!B:E,4,0)</f>
        <v>Adición</v>
      </c>
      <c r="N2226" t="str">
        <f>VLOOKUP(D2226,'Jer-Tip-Emp'!B:F,5,0)</f>
        <v>Adición</v>
      </c>
      <c r="O2226" t="str">
        <f>VLOOKUP(D2226,'Jer-Tip-Emp'!B:G,6,0)</f>
        <v>Adición</v>
      </c>
    </row>
    <row r="2227" spans="1:15" ht="27.5" hidden="1" customHeight="1" x14ac:dyDescent="0.2">
      <c r="A2227">
        <v>2025</v>
      </c>
      <c r="B2227" t="s">
        <v>626</v>
      </c>
      <c r="C2227" t="s">
        <v>609</v>
      </c>
      <c r="D2227" s="19" t="s">
        <v>450</v>
      </c>
      <c r="E2227" s="18" t="s">
        <v>565</v>
      </c>
      <c r="F2227" s="18">
        <v>5</v>
      </c>
      <c r="G2227" s="20">
        <v>7000</v>
      </c>
      <c r="H2227" s="18">
        <v>0</v>
      </c>
      <c r="I2227" s="20">
        <v>9370</v>
      </c>
      <c r="J2227" s="8">
        <f t="shared" si="102"/>
        <v>-2370</v>
      </c>
      <c r="K2227" s="10">
        <f t="shared" si="103"/>
        <v>-0.33857142857142858</v>
      </c>
      <c r="L2227" s="17">
        <f t="shared" si="104"/>
        <v>0</v>
      </c>
      <c r="M2227" t="str">
        <f>VLOOKUP(D2227,'Jer-Tip-Emp'!B:E,4,0)</f>
        <v>Bebidas</v>
      </c>
      <c r="N2227" t="str">
        <f>VLOOKUP(D2227,'Jer-Tip-Emp'!B:F,5,0)</f>
        <v>Bebidas Cambio de bebida</v>
      </c>
      <c r="O2227" t="str">
        <f>VLOOKUP(D2227,'Jer-Tip-Emp'!B:G,6,0)</f>
        <v>Bebidas</v>
      </c>
    </row>
    <row r="2228" spans="1:15" ht="27.5" hidden="1" customHeight="1" x14ac:dyDescent="0.2">
      <c r="A2228">
        <v>2025</v>
      </c>
      <c r="B2228" t="s">
        <v>626</v>
      </c>
      <c r="C2228" t="s">
        <v>609</v>
      </c>
      <c r="D2228" s="19" t="s">
        <v>350</v>
      </c>
      <c r="E2228" s="18" t="s">
        <v>66</v>
      </c>
      <c r="F2228" s="18">
        <v>5</v>
      </c>
      <c r="G2228" s="20">
        <v>24500</v>
      </c>
      <c r="H2228" s="18">
        <v>0</v>
      </c>
      <c r="I2228" s="20">
        <v>7800</v>
      </c>
      <c r="J2228" s="8">
        <f t="shared" si="102"/>
        <v>16700</v>
      </c>
      <c r="K2228" s="10">
        <f t="shared" si="103"/>
        <v>0.68163265306122445</v>
      </c>
      <c r="L2228" s="17">
        <f t="shared" si="104"/>
        <v>0</v>
      </c>
      <c r="M2228" t="str">
        <f>VLOOKUP(D2228,'Jer-Tip-Emp'!B:E,4,0)</f>
        <v>Bebidas</v>
      </c>
      <c r="N2228" t="str">
        <f>VLOOKUP(D2228,'Jer-Tip-Emp'!B:F,5,0)</f>
        <v>Bebidas</v>
      </c>
      <c r="O2228" t="str">
        <f>VLOOKUP(D2228,'Jer-Tip-Emp'!B:G,6,0)</f>
        <v>Bebidas</v>
      </c>
    </row>
    <row r="2229" spans="1:15" ht="27.5" customHeight="1" x14ac:dyDescent="0.2">
      <c r="A2229">
        <v>2025</v>
      </c>
      <c r="B2229" t="s">
        <v>626</v>
      </c>
      <c r="C2229" t="s">
        <v>609</v>
      </c>
      <c r="D2229" s="19" t="s">
        <v>198</v>
      </c>
      <c r="E2229" s="18" t="s">
        <v>124</v>
      </c>
      <c r="F2229" s="18">
        <v>5</v>
      </c>
      <c r="G2229" s="20">
        <v>124500</v>
      </c>
      <c r="H2229" s="18">
        <v>0</v>
      </c>
      <c r="I2229" s="20">
        <v>43785</v>
      </c>
      <c r="J2229" s="8">
        <f t="shared" si="102"/>
        <v>80715</v>
      </c>
      <c r="K2229" s="10">
        <f t="shared" si="103"/>
        <v>0.64831325301204823</v>
      </c>
      <c r="L2229" s="17">
        <f t="shared" si="104"/>
        <v>0</v>
      </c>
      <c r="M2229" t="str">
        <f>VLOOKUP(D2229,'Jer-Tip-Emp'!B:E,4,0)</f>
        <v>Platos mong</v>
      </c>
      <c r="N2229" t="str">
        <f>VLOOKUP(D2229,'Jer-Tip-Emp'!B:F,5,0)</f>
        <v>Personal</v>
      </c>
      <c r="O2229" t="str">
        <f>VLOOKUP(D2229,'Jer-Tip-Emp'!B:G,6,0)</f>
        <v>Caja</v>
      </c>
    </row>
    <row r="2230" spans="1:15" ht="27.5" hidden="1" customHeight="1" x14ac:dyDescent="0.2">
      <c r="A2230">
        <v>2025</v>
      </c>
      <c r="B2230" t="s">
        <v>626</v>
      </c>
      <c r="C2230" t="s">
        <v>609</v>
      </c>
      <c r="D2230" s="19" t="s">
        <v>336</v>
      </c>
      <c r="E2230" s="18" t="s">
        <v>60</v>
      </c>
      <c r="F2230" s="18">
        <v>5</v>
      </c>
      <c r="G2230" s="20">
        <v>24500</v>
      </c>
      <c r="H2230" s="18">
        <v>0</v>
      </c>
      <c r="I2230" s="20">
        <v>7800</v>
      </c>
      <c r="J2230" s="8">
        <f t="shared" si="102"/>
        <v>16700</v>
      </c>
      <c r="K2230" s="10">
        <f t="shared" si="103"/>
        <v>0.68163265306122445</v>
      </c>
      <c r="L2230" s="17">
        <f t="shared" si="104"/>
        <v>0</v>
      </c>
      <c r="M2230" t="str">
        <f>VLOOKUP(D2230,'Jer-Tip-Emp'!B:E,4,0)</f>
        <v>Bebidas</v>
      </c>
      <c r="N2230" t="str">
        <f>VLOOKUP(D2230,'Jer-Tip-Emp'!B:F,5,0)</f>
        <v>Bebidas</v>
      </c>
      <c r="O2230" t="str">
        <f>VLOOKUP(D2230,'Jer-Tip-Emp'!B:G,6,0)</f>
        <v>Bebidas</v>
      </c>
    </row>
    <row r="2231" spans="1:15" ht="27.5" hidden="1" customHeight="1" x14ac:dyDescent="0.2">
      <c r="A2231">
        <v>2025</v>
      </c>
      <c r="B2231" t="s">
        <v>626</v>
      </c>
      <c r="C2231" t="s">
        <v>609</v>
      </c>
      <c r="D2231" s="19" t="s">
        <v>183</v>
      </c>
      <c r="E2231" s="18" t="s">
        <v>104</v>
      </c>
      <c r="F2231" s="18">
        <v>5</v>
      </c>
      <c r="G2231" s="20">
        <v>84500</v>
      </c>
      <c r="H2231" s="18">
        <v>0</v>
      </c>
      <c r="I2231" s="20">
        <v>50140</v>
      </c>
      <c r="J2231" s="8">
        <f t="shared" si="102"/>
        <v>34360</v>
      </c>
      <c r="K2231" s="10">
        <f t="shared" si="103"/>
        <v>0.40662721893491122</v>
      </c>
      <c r="L2231" s="17">
        <f t="shared" si="104"/>
        <v>0</v>
      </c>
      <c r="M2231" t="str">
        <f>VLOOKUP(D2231,'Jer-Tip-Emp'!B:E,4,0)</f>
        <v>Entradas</v>
      </c>
      <c r="N2231" t="str">
        <f>VLOOKUP(D2231,'Jer-Tip-Emp'!B:F,5,0)</f>
        <v>Otro</v>
      </c>
      <c r="O2231" t="str">
        <f>VLOOKUP(D2231,'Jer-Tip-Emp'!B:G,6,0)</f>
        <v>Otro</v>
      </c>
    </row>
    <row r="2232" spans="1:15" ht="27.5" hidden="1" customHeight="1" x14ac:dyDescent="0.2">
      <c r="A2232">
        <v>2025</v>
      </c>
      <c r="B2232" t="s">
        <v>626</v>
      </c>
      <c r="C2232" t="s">
        <v>609</v>
      </c>
      <c r="D2232" s="19" t="s">
        <v>402</v>
      </c>
      <c r="E2232" s="18" t="s">
        <v>63</v>
      </c>
      <c r="F2232" s="18">
        <v>5</v>
      </c>
      <c r="G2232" s="20">
        <v>24500</v>
      </c>
      <c r="H2232" s="18">
        <v>0</v>
      </c>
      <c r="I2232" s="20">
        <v>7800</v>
      </c>
      <c r="J2232" s="8">
        <f t="shared" si="102"/>
        <v>16700</v>
      </c>
      <c r="K2232" s="10">
        <f t="shared" si="103"/>
        <v>0.68163265306122445</v>
      </c>
      <c r="L2232" s="17">
        <f t="shared" si="104"/>
        <v>0</v>
      </c>
      <c r="M2232" t="str">
        <f>VLOOKUP(D2232,'Jer-Tip-Emp'!B:E,4,0)</f>
        <v>Bebidas</v>
      </c>
      <c r="N2232" t="str">
        <f>VLOOKUP(D2232,'Jer-Tip-Emp'!B:F,5,0)</f>
        <v>Bebidas</v>
      </c>
      <c r="O2232" t="str">
        <f>VLOOKUP(D2232,'Jer-Tip-Emp'!B:G,6,0)</f>
        <v>Bebidas</v>
      </c>
    </row>
    <row r="2233" spans="1:15" ht="27.5" customHeight="1" x14ac:dyDescent="0.2">
      <c r="A2233">
        <v>2025</v>
      </c>
      <c r="B2233" t="s">
        <v>626</v>
      </c>
      <c r="C2233" t="s">
        <v>609</v>
      </c>
      <c r="D2233" s="19" t="s">
        <v>202</v>
      </c>
      <c r="E2233" s="18" t="s">
        <v>138</v>
      </c>
      <c r="F2233" s="18">
        <v>5</v>
      </c>
      <c r="G2233" s="20">
        <v>179500</v>
      </c>
      <c r="H2233" s="18">
        <v>0</v>
      </c>
      <c r="I2233" s="20">
        <v>71155</v>
      </c>
      <c r="J2233" s="8">
        <f t="shared" si="102"/>
        <v>108345</v>
      </c>
      <c r="K2233" s="10">
        <f t="shared" si="103"/>
        <v>0.60359331476323119</v>
      </c>
      <c r="L2233" s="17">
        <f t="shared" si="104"/>
        <v>0</v>
      </c>
      <c r="M2233" t="str">
        <f>VLOOKUP(D2233,'Jer-Tip-Emp'!B:E,4,0)</f>
        <v>Platos mong</v>
      </c>
      <c r="N2233" t="str">
        <f>VLOOKUP(D2233,'Jer-Tip-Emp'!B:F,5,0)</f>
        <v>No Personal</v>
      </c>
      <c r="O2233" t="str">
        <f>VLOOKUP(D2233,'Jer-Tip-Emp'!B:G,6,0)</f>
        <v>Caja</v>
      </c>
    </row>
    <row r="2234" spans="1:15" ht="27.5" hidden="1" customHeight="1" x14ac:dyDescent="0.2">
      <c r="A2234">
        <v>2025</v>
      </c>
      <c r="B2234" t="s">
        <v>626</v>
      </c>
      <c r="C2234" t="s">
        <v>609</v>
      </c>
      <c r="D2234" s="19" t="s">
        <v>496</v>
      </c>
      <c r="E2234" s="18" t="s">
        <v>581</v>
      </c>
      <c r="F2234" s="18">
        <v>5</v>
      </c>
      <c r="G2234" s="20">
        <v>7000</v>
      </c>
      <c r="H2234" s="18">
        <v>0</v>
      </c>
      <c r="I2234" s="20">
        <v>9480</v>
      </c>
      <c r="J2234" s="8">
        <f t="shared" si="102"/>
        <v>-2480</v>
      </c>
      <c r="K2234" s="10">
        <f t="shared" si="103"/>
        <v>-0.35428571428571426</v>
      </c>
      <c r="L2234" s="17">
        <f t="shared" si="104"/>
        <v>0</v>
      </c>
      <c r="M2234" t="str">
        <f>VLOOKUP(D2234,'Jer-Tip-Emp'!B:E,4,0)</f>
        <v>Bebidas</v>
      </c>
      <c r="N2234" t="str">
        <f>VLOOKUP(D2234,'Jer-Tip-Emp'!B:F,5,0)</f>
        <v>Bebidas Cambio de bebida</v>
      </c>
      <c r="O2234" t="str">
        <f>VLOOKUP(D2234,'Jer-Tip-Emp'!B:G,6,0)</f>
        <v>Bebidas</v>
      </c>
    </row>
    <row r="2235" spans="1:15" ht="27.5" customHeight="1" x14ac:dyDescent="0.2">
      <c r="A2235">
        <v>2025</v>
      </c>
      <c r="B2235" t="s">
        <v>626</v>
      </c>
      <c r="C2235" t="s">
        <v>609</v>
      </c>
      <c r="D2235" s="19" t="s">
        <v>242</v>
      </c>
      <c r="E2235" s="18" t="s">
        <v>90</v>
      </c>
      <c r="F2235" s="18">
        <v>5</v>
      </c>
      <c r="G2235" s="20">
        <v>284500</v>
      </c>
      <c r="H2235" s="18">
        <v>0</v>
      </c>
      <c r="I2235" s="20">
        <v>142840</v>
      </c>
      <c r="J2235" s="8">
        <f t="shared" si="102"/>
        <v>141660</v>
      </c>
      <c r="K2235" s="10">
        <f t="shared" si="103"/>
        <v>0.4979261862917399</v>
      </c>
      <c r="L2235" s="17">
        <f t="shared" si="104"/>
        <v>0</v>
      </c>
      <c r="M2235" t="str">
        <f>VLOOKUP(D2235,'Jer-Tip-Emp'!B:E,4,0)</f>
        <v>Combos para compartir</v>
      </c>
      <c r="N2235" t="str">
        <f>VLOOKUP(D2235,'Jer-Tip-Emp'!B:F,5,0)</f>
        <v>No Personal</v>
      </c>
      <c r="O2235" t="str">
        <f>VLOOKUP(D2235,'Jer-Tip-Emp'!B:G,6,0)</f>
        <v>Combo</v>
      </c>
    </row>
    <row r="2236" spans="1:15" ht="27.5" customHeight="1" x14ac:dyDescent="0.2">
      <c r="A2236">
        <v>2025</v>
      </c>
      <c r="B2236" t="s">
        <v>626</v>
      </c>
      <c r="C2236" t="s">
        <v>609</v>
      </c>
      <c r="D2236" s="19" t="s">
        <v>204</v>
      </c>
      <c r="E2236" s="18" t="s">
        <v>151</v>
      </c>
      <c r="F2236" s="18">
        <v>4</v>
      </c>
      <c r="G2236" s="20">
        <v>183600</v>
      </c>
      <c r="H2236" s="18">
        <v>0</v>
      </c>
      <c r="I2236" s="20">
        <v>77764</v>
      </c>
      <c r="J2236" s="8">
        <f t="shared" si="102"/>
        <v>105836</v>
      </c>
      <c r="K2236" s="10">
        <f t="shared" si="103"/>
        <v>0.57644880174291935</v>
      </c>
      <c r="L2236" s="17">
        <f t="shared" si="104"/>
        <v>0</v>
      </c>
      <c r="M2236" t="str">
        <f>VLOOKUP(D2236,'Jer-Tip-Emp'!B:E,4,0)</f>
        <v>Platos mong</v>
      </c>
      <c r="N2236" t="str">
        <f>VLOOKUP(D2236,'Jer-Tip-Emp'!B:F,5,0)</f>
        <v>No Personal</v>
      </c>
      <c r="O2236" t="str">
        <f>VLOOKUP(D2236,'Jer-Tip-Emp'!B:G,6,0)</f>
        <v>Caja</v>
      </c>
    </row>
    <row r="2237" spans="1:15" ht="27.5" hidden="1" customHeight="1" x14ac:dyDescent="0.2">
      <c r="A2237">
        <v>2025</v>
      </c>
      <c r="B2237" t="s">
        <v>626</v>
      </c>
      <c r="C2237" t="s">
        <v>609</v>
      </c>
      <c r="D2237" s="19" t="s">
        <v>296</v>
      </c>
      <c r="E2237" s="18" t="s">
        <v>22</v>
      </c>
      <c r="F2237" s="18">
        <v>4</v>
      </c>
      <c r="G2237" s="20">
        <v>27200</v>
      </c>
      <c r="H2237" s="18">
        <v>0</v>
      </c>
      <c r="I2237" s="20">
        <v>2756</v>
      </c>
      <c r="J2237" s="8">
        <f t="shared" si="102"/>
        <v>24444</v>
      </c>
      <c r="K2237" s="10">
        <f t="shared" si="103"/>
        <v>0.8986764705882353</v>
      </c>
      <c r="L2237" s="17">
        <f t="shared" si="104"/>
        <v>0</v>
      </c>
      <c r="M2237" t="str">
        <f>VLOOKUP(D2237,'Jer-Tip-Emp'!B:E,4,0)</f>
        <v>Adición</v>
      </c>
      <c r="N2237" t="str">
        <f>VLOOKUP(D2237,'Jer-Tip-Emp'!B:F,5,0)</f>
        <v>Adición</v>
      </c>
      <c r="O2237" t="str">
        <f>VLOOKUP(D2237,'Jer-Tip-Emp'!B:G,6,0)</f>
        <v>Adición</v>
      </c>
    </row>
    <row r="2238" spans="1:15" ht="27.5" hidden="1" customHeight="1" x14ac:dyDescent="0.2">
      <c r="A2238">
        <v>2025</v>
      </c>
      <c r="B2238" t="s">
        <v>626</v>
      </c>
      <c r="C2238" t="s">
        <v>609</v>
      </c>
      <c r="D2238" s="19" t="s">
        <v>314</v>
      </c>
      <c r="E2238" s="18" t="s">
        <v>67</v>
      </c>
      <c r="F2238" s="18">
        <v>4</v>
      </c>
      <c r="G2238" s="20">
        <v>19600</v>
      </c>
      <c r="H2238" s="18">
        <v>0</v>
      </c>
      <c r="I2238" s="20">
        <v>5320</v>
      </c>
      <c r="J2238" s="8">
        <f t="shared" si="102"/>
        <v>14280</v>
      </c>
      <c r="K2238" s="10">
        <f t="shared" si="103"/>
        <v>0.72857142857142854</v>
      </c>
      <c r="L2238" s="17">
        <f t="shared" si="104"/>
        <v>0</v>
      </c>
      <c r="M2238" t="str">
        <f>VLOOKUP(D2238,'Jer-Tip-Emp'!B:E,4,0)</f>
        <v>Bebidas</v>
      </c>
      <c r="N2238" t="str">
        <f>VLOOKUP(D2238,'Jer-Tip-Emp'!B:F,5,0)</f>
        <v>Bebidas</v>
      </c>
      <c r="O2238" t="str">
        <f>VLOOKUP(D2238,'Jer-Tip-Emp'!B:G,6,0)</f>
        <v>Bebidas</v>
      </c>
    </row>
    <row r="2239" spans="1:15" ht="27.5" hidden="1" customHeight="1" x14ac:dyDescent="0.2">
      <c r="A2239">
        <v>2025</v>
      </c>
      <c r="B2239" t="s">
        <v>626</v>
      </c>
      <c r="C2239" t="s">
        <v>609</v>
      </c>
      <c r="D2239" s="19" t="s">
        <v>495</v>
      </c>
      <c r="E2239" s="18" t="s">
        <v>572</v>
      </c>
      <c r="F2239" s="18">
        <v>4</v>
      </c>
      <c r="G2239" s="20">
        <v>5600</v>
      </c>
      <c r="H2239" s="18">
        <v>0</v>
      </c>
      <c r="I2239" s="20">
        <v>7584</v>
      </c>
      <c r="J2239" s="8">
        <f t="shared" si="102"/>
        <v>-1984</v>
      </c>
      <c r="K2239" s="10">
        <f t="shared" si="103"/>
        <v>-0.35428571428571426</v>
      </c>
      <c r="L2239" s="17">
        <f t="shared" si="104"/>
        <v>0</v>
      </c>
      <c r="M2239" t="str">
        <f>VLOOKUP(D2239,'Jer-Tip-Emp'!B:E,4,0)</f>
        <v>Bebidas</v>
      </c>
      <c r="N2239" t="str">
        <f>VLOOKUP(D2239,'Jer-Tip-Emp'!B:F,5,0)</f>
        <v>Bebidas Cambio de bebida</v>
      </c>
      <c r="O2239" t="str">
        <f>VLOOKUP(D2239,'Jer-Tip-Emp'!B:G,6,0)</f>
        <v>Bebidas</v>
      </c>
    </row>
    <row r="2240" spans="1:15" ht="27.5" hidden="1" customHeight="1" x14ac:dyDescent="0.2">
      <c r="A2240">
        <v>2025</v>
      </c>
      <c r="B2240" t="s">
        <v>626</v>
      </c>
      <c r="C2240" t="s">
        <v>609</v>
      </c>
      <c r="D2240" s="19" t="s">
        <v>444</v>
      </c>
      <c r="E2240" s="18" t="s">
        <v>562</v>
      </c>
      <c r="F2240" s="18">
        <v>3</v>
      </c>
      <c r="G2240" s="20">
        <v>4200</v>
      </c>
      <c r="H2240" s="18">
        <v>0</v>
      </c>
      <c r="I2240" s="20">
        <v>4830</v>
      </c>
      <c r="J2240" s="8">
        <f t="shared" si="102"/>
        <v>-630</v>
      </c>
      <c r="K2240" s="10">
        <f t="shared" si="103"/>
        <v>-0.15</v>
      </c>
      <c r="L2240" s="17">
        <f t="shared" si="104"/>
        <v>0</v>
      </c>
      <c r="M2240" t="str">
        <f>VLOOKUP(D2240,'Jer-Tip-Emp'!B:E,4,0)</f>
        <v>Bebidas</v>
      </c>
      <c r="N2240" t="str">
        <f>VLOOKUP(D2240,'Jer-Tip-Emp'!B:F,5,0)</f>
        <v>Bebidas Cambio de bebida</v>
      </c>
      <c r="O2240" t="str">
        <f>VLOOKUP(D2240,'Jer-Tip-Emp'!B:G,6,0)</f>
        <v>Bebidas</v>
      </c>
    </row>
    <row r="2241" spans="1:15" ht="27.5" hidden="1" customHeight="1" x14ac:dyDescent="0.2">
      <c r="A2241">
        <v>2025</v>
      </c>
      <c r="B2241" t="s">
        <v>626</v>
      </c>
      <c r="C2241" t="s">
        <v>609</v>
      </c>
      <c r="D2241" s="19" t="s">
        <v>490</v>
      </c>
      <c r="E2241" s="18" t="s">
        <v>554</v>
      </c>
      <c r="F2241" s="18">
        <v>3</v>
      </c>
      <c r="G2241" s="18">
        <v>0</v>
      </c>
      <c r="H2241" s="18">
        <v>0</v>
      </c>
      <c r="I2241" s="20">
        <v>6147</v>
      </c>
      <c r="J2241" s="8">
        <f t="shared" ref="J2241:J2304" si="105">G2241-I2241</f>
        <v>-6147</v>
      </c>
      <c r="K2241" s="10">
        <f t="shared" ref="K2241:K2304" si="106">IFERROR(J2241/G2241,0)</f>
        <v>0</v>
      </c>
      <c r="L2241" s="17">
        <f t="shared" ref="L2241:L2304" si="107">IFERROR((H2241/G2241)*-1,0)</f>
        <v>0</v>
      </c>
      <c r="M2241" t="str">
        <f>VLOOKUP(D2241,'Jer-Tip-Emp'!B:E,4,0)</f>
        <v>Adición</v>
      </c>
      <c r="N2241" t="str">
        <f>VLOOKUP(D2241,'Jer-Tip-Emp'!B:F,5,0)</f>
        <v>Otro</v>
      </c>
      <c r="O2241" t="str">
        <f>VLOOKUP(D2241,'Jer-Tip-Emp'!B:G,6,0)</f>
        <v>Otro</v>
      </c>
    </row>
    <row r="2242" spans="1:15" ht="27.5" hidden="1" customHeight="1" x14ac:dyDescent="0.2">
      <c r="A2242">
        <v>2025</v>
      </c>
      <c r="B2242" t="s">
        <v>626</v>
      </c>
      <c r="C2242" t="s">
        <v>609</v>
      </c>
      <c r="D2242" s="19" t="s">
        <v>445</v>
      </c>
      <c r="E2242" s="18" t="s">
        <v>570</v>
      </c>
      <c r="F2242" s="18">
        <v>3</v>
      </c>
      <c r="G2242" s="20">
        <v>4200</v>
      </c>
      <c r="H2242" s="18">
        <v>0</v>
      </c>
      <c r="I2242" s="20">
        <v>5133</v>
      </c>
      <c r="J2242" s="8">
        <f t="shared" si="105"/>
        <v>-933</v>
      </c>
      <c r="K2242" s="10">
        <f t="shared" si="106"/>
        <v>-0.22214285714285714</v>
      </c>
      <c r="L2242" s="17">
        <f t="shared" si="107"/>
        <v>0</v>
      </c>
      <c r="M2242" t="str">
        <f>VLOOKUP(D2242,'Jer-Tip-Emp'!B:E,4,0)</f>
        <v>Bebidas</v>
      </c>
      <c r="N2242" t="str">
        <f>VLOOKUP(D2242,'Jer-Tip-Emp'!B:F,5,0)</f>
        <v>Bebidas Cambio de bebida</v>
      </c>
      <c r="O2242" t="str">
        <f>VLOOKUP(D2242,'Jer-Tip-Emp'!B:G,6,0)</f>
        <v>Bebidas</v>
      </c>
    </row>
    <row r="2243" spans="1:15" ht="27.5" hidden="1" customHeight="1" x14ac:dyDescent="0.2">
      <c r="A2243">
        <v>2025</v>
      </c>
      <c r="B2243" t="s">
        <v>626</v>
      </c>
      <c r="C2243" t="s">
        <v>609</v>
      </c>
      <c r="D2243" s="19" t="s">
        <v>365</v>
      </c>
      <c r="E2243" s="18" t="s">
        <v>558</v>
      </c>
      <c r="F2243" s="18">
        <v>3</v>
      </c>
      <c r="G2243" s="20">
        <v>1500</v>
      </c>
      <c r="H2243" s="18">
        <v>0</v>
      </c>
      <c r="I2243" s="20">
        <v>4707</v>
      </c>
      <c r="J2243" s="8">
        <f t="shared" si="105"/>
        <v>-3207</v>
      </c>
      <c r="K2243" s="10">
        <f t="shared" si="106"/>
        <v>-2.1379999999999999</v>
      </c>
      <c r="L2243" s="17">
        <f t="shared" si="107"/>
        <v>0</v>
      </c>
      <c r="M2243" t="str">
        <f>VLOOKUP(D2243,'Jer-Tip-Emp'!B:E,4,0)</f>
        <v>Adición</v>
      </c>
      <c r="N2243" t="str">
        <f>VLOOKUP(D2243,'Jer-Tip-Emp'!B:F,5,0)</f>
        <v>Otro</v>
      </c>
      <c r="O2243" t="str">
        <f>VLOOKUP(D2243,'Jer-Tip-Emp'!B:G,6,0)</f>
        <v>Otro</v>
      </c>
    </row>
    <row r="2244" spans="1:15" ht="27.5" customHeight="1" x14ac:dyDescent="0.2">
      <c r="A2244">
        <v>2025</v>
      </c>
      <c r="B2244" t="s">
        <v>626</v>
      </c>
      <c r="C2244" t="s">
        <v>609</v>
      </c>
      <c r="D2244" s="19" t="s">
        <v>260</v>
      </c>
      <c r="E2244" s="18" t="s">
        <v>88</v>
      </c>
      <c r="F2244" s="18">
        <v>2</v>
      </c>
      <c r="G2244" s="20">
        <v>103800</v>
      </c>
      <c r="H2244" s="18">
        <v>0</v>
      </c>
      <c r="I2244" s="20">
        <v>41822</v>
      </c>
      <c r="J2244" s="8">
        <f t="shared" si="105"/>
        <v>61978</v>
      </c>
      <c r="K2244" s="10">
        <f t="shared" si="106"/>
        <v>0.59709055876685935</v>
      </c>
      <c r="L2244" s="17">
        <f t="shared" si="107"/>
        <v>0</v>
      </c>
      <c r="M2244" t="str">
        <f>VLOOKUP(D2244,'Jer-Tip-Emp'!B:E,4,0)</f>
        <v>Platos mong</v>
      </c>
      <c r="N2244" t="str">
        <f>VLOOKUP(D2244,'Jer-Tip-Emp'!B:F,5,0)</f>
        <v>No Personal</v>
      </c>
      <c r="O2244" t="str">
        <f>VLOOKUP(D2244,'Jer-Tip-Emp'!B:G,6,0)</f>
        <v>Caja</v>
      </c>
    </row>
    <row r="2245" spans="1:15" ht="27.5" customHeight="1" x14ac:dyDescent="0.2">
      <c r="A2245">
        <v>2025</v>
      </c>
      <c r="B2245" t="s">
        <v>626</v>
      </c>
      <c r="C2245" t="s">
        <v>609</v>
      </c>
      <c r="D2245" s="19" t="s">
        <v>241</v>
      </c>
      <c r="E2245" s="18" t="s">
        <v>107</v>
      </c>
      <c r="F2245" s="18">
        <v>2</v>
      </c>
      <c r="G2245" s="20">
        <v>165800</v>
      </c>
      <c r="H2245" s="18">
        <v>0</v>
      </c>
      <c r="I2245" s="20">
        <v>85408</v>
      </c>
      <c r="J2245" s="8">
        <f t="shared" si="105"/>
        <v>80392</v>
      </c>
      <c r="K2245" s="10">
        <f t="shared" si="106"/>
        <v>0.48487334137515076</v>
      </c>
      <c r="L2245" s="17">
        <f t="shared" si="107"/>
        <v>0</v>
      </c>
      <c r="M2245" t="str">
        <f>VLOOKUP(D2245,'Jer-Tip-Emp'!B:E,4,0)</f>
        <v>Platos mong</v>
      </c>
      <c r="N2245" t="str">
        <f>VLOOKUP(D2245,'Jer-Tip-Emp'!B:F,5,0)</f>
        <v>No Personal</v>
      </c>
      <c r="O2245" t="str">
        <f>VLOOKUP(D2245,'Jer-Tip-Emp'!B:G,6,0)</f>
        <v>Caja</v>
      </c>
    </row>
    <row r="2246" spans="1:15" ht="27.5" customHeight="1" x14ac:dyDescent="0.2">
      <c r="A2246">
        <v>2025</v>
      </c>
      <c r="B2246" t="s">
        <v>626</v>
      </c>
      <c r="C2246" t="s">
        <v>609</v>
      </c>
      <c r="D2246" s="19" t="s">
        <v>279</v>
      </c>
      <c r="E2246" s="18" t="s">
        <v>130</v>
      </c>
      <c r="F2246" s="18">
        <v>2</v>
      </c>
      <c r="G2246" s="20">
        <v>79800</v>
      </c>
      <c r="H2246" s="18">
        <v>0</v>
      </c>
      <c r="I2246" s="20">
        <v>22434</v>
      </c>
      <c r="J2246" s="8">
        <f t="shared" si="105"/>
        <v>57366</v>
      </c>
      <c r="K2246" s="10">
        <f t="shared" si="106"/>
        <v>0.71887218045112777</v>
      </c>
      <c r="L2246" s="17">
        <f t="shared" si="107"/>
        <v>0</v>
      </c>
      <c r="M2246" t="str">
        <f>VLOOKUP(D2246,'Jer-Tip-Emp'!B:E,4,0)</f>
        <v>Platos mong</v>
      </c>
      <c r="N2246" t="str">
        <f>VLOOKUP(D2246,'Jer-Tip-Emp'!B:F,5,0)</f>
        <v>No Personal</v>
      </c>
      <c r="O2246" t="str">
        <f>VLOOKUP(D2246,'Jer-Tip-Emp'!B:G,6,0)</f>
        <v>Caja</v>
      </c>
    </row>
    <row r="2247" spans="1:15" ht="27.5" customHeight="1" x14ac:dyDescent="0.2">
      <c r="A2247">
        <v>2025</v>
      </c>
      <c r="B2247" t="s">
        <v>626</v>
      </c>
      <c r="C2247" t="s">
        <v>609</v>
      </c>
      <c r="D2247" s="19" t="s">
        <v>274</v>
      </c>
      <c r="E2247" s="18" t="s">
        <v>91</v>
      </c>
      <c r="F2247" s="18">
        <v>2</v>
      </c>
      <c r="G2247" s="20">
        <v>159800</v>
      </c>
      <c r="H2247" s="18">
        <v>0</v>
      </c>
      <c r="I2247" s="20">
        <v>57630</v>
      </c>
      <c r="J2247" s="8">
        <f t="shared" si="105"/>
        <v>102170</v>
      </c>
      <c r="K2247" s="10">
        <f t="shared" si="106"/>
        <v>0.63936170212765953</v>
      </c>
      <c r="L2247" s="17">
        <f t="shared" si="107"/>
        <v>0</v>
      </c>
      <c r="M2247" t="str">
        <f>VLOOKUP(D2247,'Jer-Tip-Emp'!B:E,4,0)</f>
        <v>Platos mong</v>
      </c>
      <c r="N2247" t="str">
        <f>VLOOKUP(D2247,'Jer-Tip-Emp'!B:F,5,0)</f>
        <v>No Personal</v>
      </c>
      <c r="O2247" t="str">
        <f>VLOOKUP(D2247,'Jer-Tip-Emp'!B:G,6,0)</f>
        <v>Caja</v>
      </c>
    </row>
    <row r="2248" spans="1:15" ht="27.5" customHeight="1" x14ac:dyDescent="0.2">
      <c r="A2248">
        <v>2025</v>
      </c>
      <c r="B2248" t="s">
        <v>626</v>
      </c>
      <c r="C2248" t="s">
        <v>609</v>
      </c>
      <c r="D2248" s="19" t="s">
        <v>251</v>
      </c>
      <c r="E2248" s="18" t="s">
        <v>123</v>
      </c>
      <c r="F2248" s="18">
        <v>2</v>
      </c>
      <c r="G2248" s="20">
        <v>159800</v>
      </c>
      <c r="H2248" s="18">
        <v>0</v>
      </c>
      <c r="I2248" s="20">
        <v>67354</v>
      </c>
      <c r="J2248" s="8">
        <f t="shared" si="105"/>
        <v>92446</v>
      </c>
      <c r="K2248" s="10">
        <f t="shared" si="106"/>
        <v>0.5785106382978723</v>
      </c>
      <c r="L2248" s="17">
        <f t="shared" si="107"/>
        <v>0</v>
      </c>
      <c r="M2248" t="str">
        <f>VLOOKUP(D2248,'Jer-Tip-Emp'!B:E,4,0)</f>
        <v>Platos mong</v>
      </c>
      <c r="N2248" t="str">
        <f>VLOOKUP(D2248,'Jer-Tip-Emp'!B:F,5,0)</f>
        <v>No Personal</v>
      </c>
      <c r="O2248" t="str">
        <f>VLOOKUP(D2248,'Jer-Tip-Emp'!B:G,6,0)</f>
        <v>Caja</v>
      </c>
    </row>
    <row r="2249" spans="1:15" ht="27.5" customHeight="1" x14ac:dyDescent="0.2">
      <c r="A2249">
        <v>2025</v>
      </c>
      <c r="B2249" t="s">
        <v>626</v>
      </c>
      <c r="C2249" t="s">
        <v>609</v>
      </c>
      <c r="D2249" s="19" t="s">
        <v>293</v>
      </c>
      <c r="E2249" s="18" t="s">
        <v>127</v>
      </c>
      <c r="F2249" s="18">
        <v>2</v>
      </c>
      <c r="G2249" s="20">
        <v>125800</v>
      </c>
      <c r="H2249" s="18">
        <v>0</v>
      </c>
      <c r="I2249" s="20">
        <v>56114</v>
      </c>
      <c r="J2249" s="8">
        <f t="shared" si="105"/>
        <v>69686</v>
      </c>
      <c r="K2249" s="10">
        <f t="shared" si="106"/>
        <v>0.55394276629570749</v>
      </c>
      <c r="L2249" s="17">
        <f t="shared" si="107"/>
        <v>0</v>
      </c>
      <c r="M2249" t="str">
        <f>VLOOKUP(D2249,'Jer-Tip-Emp'!B:E,4,0)</f>
        <v>Platos mong</v>
      </c>
      <c r="N2249" t="str">
        <f>VLOOKUP(D2249,'Jer-Tip-Emp'!B:F,5,0)</f>
        <v>No Personal</v>
      </c>
      <c r="O2249" t="str">
        <f>VLOOKUP(D2249,'Jer-Tip-Emp'!B:G,6,0)</f>
        <v>Caja</v>
      </c>
    </row>
    <row r="2250" spans="1:15" ht="27.5" customHeight="1" x14ac:dyDescent="0.2">
      <c r="A2250">
        <v>2025</v>
      </c>
      <c r="B2250" t="s">
        <v>626</v>
      </c>
      <c r="C2250" t="s">
        <v>609</v>
      </c>
      <c r="D2250" s="19" t="s">
        <v>221</v>
      </c>
      <c r="E2250" s="18" t="s">
        <v>27</v>
      </c>
      <c r="F2250" s="18">
        <v>2</v>
      </c>
      <c r="G2250" s="20">
        <v>13800</v>
      </c>
      <c r="H2250" s="18">
        <v>0</v>
      </c>
      <c r="I2250" s="18">
        <v>0</v>
      </c>
      <c r="J2250" s="8">
        <f t="shared" si="105"/>
        <v>13800</v>
      </c>
      <c r="K2250" s="10">
        <f t="shared" si="106"/>
        <v>1</v>
      </c>
      <c r="L2250" s="17">
        <f t="shared" si="107"/>
        <v>0</v>
      </c>
      <c r="M2250" t="str">
        <f>VLOOKUP(D2250,'Jer-Tip-Emp'!B:E,4,0)</f>
        <v>Armalo en combo</v>
      </c>
      <c r="N2250" t="str">
        <f>VLOOKUP(D2250,'Jer-Tip-Emp'!B:F,5,0)</f>
        <v>Personal</v>
      </c>
      <c r="O2250" t="str">
        <f>VLOOKUP(D2250,'Jer-Tip-Emp'!B:G,6,0)</f>
        <v>Combo</v>
      </c>
    </row>
    <row r="2251" spans="1:15" ht="27.5" customHeight="1" x14ac:dyDescent="0.2">
      <c r="A2251">
        <v>2025</v>
      </c>
      <c r="B2251" t="s">
        <v>626</v>
      </c>
      <c r="C2251" t="s">
        <v>609</v>
      </c>
      <c r="D2251" s="19" t="s">
        <v>252</v>
      </c>
      <c r="E2251" s="18" t="s">
        <v>100</v>
      </c>
      <c r="F2251" s="18">
        <v>2</v>
      </c>
      <c r="G2251" s="20">
        <v>133800</v>
      </c>
      <c r="H2251" s="18">
        <v>0</v>
      </c>
      <c r="I2251" s="20">
        <v>64702</v>
      </c>
      <c r="J2251" s="8">
        <f t="shared" si="105"/>
        <v>69098</v>
      </c>
      <c r="K2251" s="10">
        <f t="shared" si="106"/>
        <v>0.51642750373692081</v>
      </c>
      <c r="L2251" s="17">
        <f t="shared" si="107"/>
        <v>0</v>
      </c>
      <c r="M2251" t="str">
        <f>VLOOKUP(D2251,'Jer-Tip-Emp'!B:E,4,0)</f>
        <v>Platos mong</v>
      </c>
      <c r="N2251" t="str">
        <f>VLOOKUP(D2251,'Jer-Tip-Emp'!B:F,5,0)</f>
        <v>No Personal</v>
      </c>
      <c r="O2251" t="str">
        <f>VLOOKUP(D2251,'Jer-Tip-Emp'!B:G,6,0)</f>
        <v>Caja</v>
      </c>
    </row>
    <row r="2252" spans="1:15" ht="27.5" customHeight="1" x14ac:dyDescent="0.2">
      <c r="A2252">
        <v>2025</v>
      </c>
      <c r="B2252" t="s">
        <v>626</v>
      </c>
      <c r="C2252" t="s">
        <v>609</v>
      </c>
      <c r="D2252" s="19" t="s">
        <v>199</v>
      </c>
      <c r="E2252" s="18" t="s">
        <v>115</v>
      </c>
      <c r="F2252" s="18">
        <v>1</v>
      </c>
      <c r="G2252" s="20">
        <v>10900</v>
      </c>
      <c r="H2252" s="18">
        <v>0</v>
      </c>
      <c r="I2252" s="18">
        <v>0</v>
      </c>
      <c r="J2252" s="8">
        <f t="shared" si="105"/>
        <v>10900</v>
      </c>
      <c r="K2252" s="10">
        <f t="shared" si="106"/>
        <v>1</v>
      </c>
      <c r="L2252" s="17">
        <f t="shared" si="107"/>
        <v>0</v>
      </c>
      <c r="M2252" t="str">
        <f>VLOOKUP(D2252,'Jer-Tip-Emp'!B:E,4,0)</f>
        <v>Platos especiales</v>
      </c>
      <c r="N2252" t="str">
        <f>VLOOKUP(D2252,'Jer-Tip-Emp'!B:F,5,0)</f>
        <v>Personal</v>
      </c>
      <c r="O2252" t="str">
        <f>VLOOKUP(D2252,'Jer-Tip-Emp'!B:G,6,0)</f>
        <v>Platos especiales</v>
      </c>
    </row>
    <row r="2253" spans="1:15" ht="27.5" hidden="1" customHeight="1" x14ac:dyDescent="0.2">
      <c r="A2253">
        <v>2025</v>
      </c>
      <c r="B2253" t="s">
        <v>626</v>
      </c>
      <c r="C2253" t="s">
        <v>609</v>
      </c>
      <c r="D2253" s="19" t="s">
        <v>426</v>
      </c>
      <c r="E2253" s="18" t="s">
        <v>561</v>
      </c>
      <c r="F2253" s="18">
        <v>1</v>
      </c>
      <c r="G2253" s="20">
        <v>1400</v>
      </c>
      <c r="H2253" s="18">
        <v>0</v>
      </c>
      <c r="I2253" s="20">
        <v>1516</v>
      </c>
      <c r="J2253" s="8">
        <f t="shared" si="105"/>
        <v>-116</v>
      </c>
      <c r="K2253" s="10">
        <f t="shared" si="106"/>
        <v>-8.2857142857142851E-2</v>
      </c>
      <c r="L2253" s="17">
        <f t="shared" si="107"/>
        <v>0</v>
      </c>
      <c r="M2253" t="str">
        <f>VLOOKUP(D2253,'Jer-Tip-Emp'!B:E,4,0)</f>
        <v>Bebidas</v>
      </c>
      <c r="N2253" t="str">
        <f>VLOOKUP(D2253,'Jer-Tip-Emp'!B:F,5,0)</f>
        <v>Bebidas Cambio de bebida</v>
      </c>
      <c r="O2253" t="str">
        <f>VLOOKUP(D2253,'Jer-Tip-Emp'!B:G,6,0)</f>
        <v>Bebidas</v>
      </c>
    </row>
    <row r="2254" spans="1:15" ht="27.5" hidden="1" customHeight="1" x14ac:dyDescent="0.2">
      <c r="A2254">
        <v>2025</v>
      </c>
      <c r="B2254" t="s">
        <v>626</v>
      </c>
      <c r="C2254" t="s">
        <v>609</v>
      </c>
      <c r="D2254" s="19" t="s">
        <v>452</v>
      </c>
      <c r="E2254" s="18" t="s">
        <v>573</v>
      </c>
      <c r="F2254" s="18">
        <v>1</v>
      </c>
      <c r="G2254" s="20">
        <v>1400</v>
      </c>
      <c r="H2254" s="18">
        <v>0</v>
      </c>
      <c r="I2254" s="20">
        <v>1874</v>
      </c>
      <c r="J2254" s="8">
        <f t="shared" si="105"/>
        <v>-474</v>
      </c>
      <c r="K2254" s="10">
        <f t="shared" si="106"/>
        <v>-0.33857142857142858</v>
      </c>
      <c r="L2254" s="17">
        <f t="shared" si="107"/>
        <v>0</v>
      </c>
      <c r="M2254" t="str">
        <f>VLOOKUP(D2254,'Jer-Tip-Emp'!B:E,4,0)</f>
        <v>Bebidas</v>
      </c>
      <c r="N2254" t="str">
        <f>VLOOKUP(D2254,'Jer-Tip-Emp'!B:F,5,0)</f>
        <v>Bebidas Cambio de bebida</v>
      </c>
      <c r="O2254" t="str">
        <f>VLOOKUP(D2254,'Jer-Tip-Emp'!B:G,6,0)</f>
        <v>Bebidas</v>
      </c>
    </row>
    <row r="2255" spans="1:15" ht="27.5" customHeight="1" x14ac:dyDescent="0.2">
      <c r="A2255">
        <v>2025</v>
      </c>
      <c r="B2255" t="s">
        <v>626</v>
      </c>
      <c r="C2255" t="s">
        <v>609</v>
      </c>
      <c r="D2255" s="19" t="s">
        <v>208</v>
      </c>
      <c r="E2255" s="18" t="s">
        <v>30</v>
      </c>
      <c r="F2255" s="18">
        <v>1</v>
      </c>
      <c r="G2255" s="20">
        <v>6900</v>
      </c>
      <c r="H2255" s="18">
        <v>0</v>
      </c>
      <c r="I2255" s="20">
        <v>2917</v>
      </c>
      <c r="J2255" s="8">
        <f t="shared" si="105"/>
        <v>3983</v>
      </c>
      <c r="K2255" s="10">
        <f t="shared" si="106"/>
        <v>0.57724637681159419</v>
      </c>
      <c r="L2255" s="17">
        <f t="shared" si="107"/>
        <v>0</v>
      </c>
      <c r="M2255" t="str">
        <f>VLOOKUP(D2255,'Jer-Tip-Emp'!B:E,4,0)</f>
        <v>Armalo en combo</v>
      </c>
      <c r="N2255" t="str">
        <f>VLOOKUP(D2255,'Jer-Tip-Emp'!B:F,5,0)</f>
        <v>Personal</v>
      </c>
      <c r="O2255" t="str">
        <f>VLOOKUP(D2255,'Jer-Tip-Emp'!B:G,6,0)</f>
        <v>Combo</v>
      </c>
    </row>
    <row r="2256" spans="1:15" ht="27.5" customHeight="1" x14ac:dyDescent="0.2">
      <c r="A2256">
        <v>2025</v>
      </c>
      <c r="B2256" t="s">
        <v>626</v>
      </c>
      <c r="C2256" t="s">
        <v>609</v>
      </c>
      <c r="D2256" s="19" t="s">
        <v>240</v>
      </c>
      <c r="E2256" s="18" t="s">
        <v>139</v>
      </c>
      <c r="F2256" s="18">
        <v>1</v>
      </c>
      <c r="G2256" s="20">
        <v>55900</v>
      </c>
      <c r="H2256" s="18">
        <v>0</v>
      </c>
      <c r="I2256" s="20">
        <v>24255</v>
      </c>
      <c r="J2256" s="8">
        <f t="shared" si="105"/>
        <v>31645</v>
      </c>
      <c r="K2256" s="10">
        <f t="shared" si="106"/>
        <v>0.5661001788908766</v>
      </c>
      <c r="L2256" s="17">
        <f t="shared" si="107"/>
        <v>0</v>
      </c>
      <c r="M2256" t="str">
        <f>VLOOKUP(D2256,'Jer-Tip-Emp'!B:E,4,0)</f>
        <v>Platos mong</v>
      </c>
      <c r="N2256" t="str">
        <f>VLOOKUP(D2256,'Jer-Tip-Emp'!B:F,5,0)</f>
        <v>No Personal</v>
      </c>
      <c r="O2256" t="str">
        <f>VLOOKUP(D2256,'Jer-Tip-Emp'!B:G,6,0)</f>
        <v>Caja</v>
      </c>
    </row>
    <row r="2257" spans="1:15" ht="27.5" customHeight="1" x14ac:dyDescent="0.2">
      <c r="A2257">
        <v>2025</v>
      </c>
      <c r="B2257" t="s">
        <v>626</v>
      </c>
      <c r="C2257" t="s">
        <v>609</v>
      </c>
      <c r="D2257" s="19" t="s">
        <v>203</v>
      </c>
      <c r="E2257" s="18" t="s">
        <v>122</v>
      </c>
      <c r="F2257" s="18">
        <v>1</v>
      </c>
      <c r="G2257" s="20">
        <v>58900</v>
      </c>
      <c r="H2257" s="18">
        <v>0</v>
      </c>
      <c r="I2257" s="20">
        <v>17732</v>
      </c>
      <c r="J2257" s="8">
        <f t="shared" si="105"/>
        <v>41168</v>
      </c>
      <c r="K2257" s="10">
        <f t="shared" si="106"/>
        <v>0.69894736842105265</v>
      </c>
      <c r="L2257" s="17">
        <f t="shared" si="107"/>
        <v>0</v>
      </c>
      <c r="M2257" t="str">
        <f>VLOOKUP(D2257,'Jer-Tip-Emp'!B:E,4,0)</f>
        <v>Platos mong</v>
      </c>
      <c r="N2257" t="str">
        <f>VLOOKUP(D2257,'Jer-Tip-Emp'!B:F,5,0)</f>
        <v>No Personal</v>
      </c>
      <c r="O2257" t="str">
        <f>VLOOKUP(D2257,'Jer-Tip-Emp'!B:G,6,0)</f>
        <v>Caja</v>
      </c>
    </row>
    <row r="2258" spans="1:15" ht="27.5" customHeight="1" x14ac:dyDescent="0.2">
      <c r="A2258">
        <v>2025</v>
      </c>
      <c r="B2258" t="s">
        <v>626</v>
      </c>
      <c r="C2258" t="s">
        <v>609</v>
      </c>
      <c r="D2258" s="19" t="s">
        <v>224</v>
      </c>
      <c r="E2258" s="18" t="s">
        <v>114</v>
      </c>
      <c r="F2258" s="18">
        <v>1</v>
      </c>
      <c r="G2258" s="20">
        <v>27900</v>
      </c>
      <c r="H2258" s="18">
        <v>0</v>
      </c>
      <c r="I2258" s="20">
        <v>12718</v>
      </c>
      <c r="J2258" s="8">
        <f t="shared" si="105"/>
        <v>15182</v>
      </c>
      <c r="K2258" s="10">
        <f t="shared" si="106"/>
        <v>0.54415770609318992</v>
      </c>
      <c r="L2258" s="17">
        <f t="shared" si="107"/>
        <v>0</v>
      </c>
      <c r="M2258" t="str">
        <f>VLOOKUP(D2258,'Jer-Tip-Emp'!B:E,4,0)</f>
        <v>Platos especiales</v>
      </c>
      <c r="N2258" t="str">
        <f>VLOOKUP(D2258,'Jer-Tip-Emp'!B:F,5,0)</f>
        <v>Personal</v>
      </c>
      <c r="O2258" t="str">
        <f>VLOOKUP(D2258,'Jer-Tip-Emp'!B:G,6,0)</f>
        <v>Platos especiales</v>
      </c>
    </row>
    <row r="2259" spans="1:15" ht="27.5" customHeight="1" x14ac:dyDescent="0.2">
      <c r="A2259">
        <v>2025</v>
      </c>
      <c r="B2259" t="s">
        <v>626</v>
      </c>
      <c r="C2259" t="s">
        <v>609</v>
      </c>
      <c r="D2259" s="19" t="s">
        <v>286</v>
      </c>
      <c r="E2259" s="18" t="s">
        <v>144</v>
      </c>
      <c r="F2259" s="18">
        <v>1</v>
      </c>
      <c r="G2259" s="20">
        <v>67900</v>
      </c>
      <c r="H2259" s="18">
        <v>0</v>
      </c>
      <c r="I2259" s="20">
        <v>34655</v>
      </c>
      <c r="J2259" s="8">
        <f t="shared" si="105"/>
        <v>33245</v>
      </c>
      <c r="K2259" s="10">
        <f t="shared" si="106"/>
        <v>0.48961708394698084</v>
      </c>
      <c r="L2259" s="17">
        <f t="shared" si="107"/>
        <v>0</v>
      </c>
      <c r="M2259" t="str">
        <f>VLOOKUP(D2259,'Jer-Tip-Emp'!B:E,4,0)</f>
        <v>Platos mong</v>
      </c>
      <c r="N2259" t="str">
        <f>VLOOKUP(D2259,'Jer-Tip-Emp'!B:F,5,0)</f>
        <v>No Personal</v>
      </c>
      <c r="O2259" t="str">
        <f>VLOOKUP(D2259,'Jer-Tip-Emp'!B:G,6,0)</f>
        <v>Caja</v>
      </c>
    </row>
    <row r="2260" spans="1:15" ht="27.5" customHeight="1" x14ac:dyDescent="0.2">
      <c r="A2260">
        <v>2025</v>
      </c>
      <c r="B2260" t="s">
        <v>626</v>
      </c>
      <c r="C2260" t="s">
        <v>609</v>
      </c>
      <c r="D2260" s="19" t="s">
        <v>177</v>
      </c>
      <c r="E2260" s="18" t="s">
        <v>99</v>
      </c>
      <c r="F2260" s="18">
        <v>1</v>
      </c>
      <c r="G2260" s="20">
        <v>27900</v>
      </c>
      <c r="H2260" s="18">
        <v>0</v>
      </c>
      <c r="I2260" s="18">
        <v>0</v>
      </c>
      <c r="J2260" s="8">
        <f t="shared" si="105"/>
        <v>27900</v>
      </c>
      <c r="K2260" s="10">
        <f t="shared" si="106"/>
        <v>1</v>
      </c>
      <c r="L2260" s="17">
        <f t="shared" si="107"/>
        <v>0</v>
      </c>
      <c r="M2260" t="str">
        <f>VLOOKUP(D2260,'Jer-Tip-Emp'!B:E,4,0)</f>
        <v>Combos personales</v>
      </c>
      <c r="N2260" t="str">
        <f>VLOOKUP(D2260,'Jer-Tip-Emp'!B:F,5,0)</f>
        <v>Personal</v>
      </c>
      <c r="O2260" t="str">
        <f>VLOOKUP(D2260,'Jer-Tip-Emp'!B:G,6,0)</f>
        <v>Combo</v>
      </c>
    </row>
    <row r="2261" spans="1:15" ht="27.5" hidden="1" customHeight="1" x14ac:dyDescent="0.2">
      <c r="A2261">
        <v>2025</v>
      </c>
      <c r="B2261" t="s">
        <v>626</v>
      </c>
      <c r="C2261" t="s">
        <v>609</v>
      </c>
      <c r="D2261" s="19" t="s">
        <v>492</v>
      </c>
      <c r="E2261" s="18" t="s">
        <v>577</v>
      </c>
      <c r="F2261" s="18">
        <v>1</v>
      </c>
      <c r="G2261" s="20">
        <v>1400</v>
      </c>
      <c r="H2261" s="18">
        <v>0</v>
      </c>
      <c r="I2261" s="20">
        <v>1895</v>
      </c>
      <c r="J2261" s="8">
        <f t="shared" si="105"/>
        <v>-495</v>
      </c>
      <c r="K2261" s="10">
        <f t="shared" si="106"/>
        <v>-0.35357142857142859</v>
      </c>
      <c r="L2261" s="17">
        <f t="shared" si="107"/>
        <v>0</v>
      </c>
      <c r="M2261" t="str">
        <f>VLOOKUP(D2261,'Jer-Tip-Emp'!B:E,4,0)</f>
        <v>Bebidas</v>
      </c>
      <c r="N2261" t="str">
        <f>VLOOKUP(D2261,'Jer-Tip-Emp'!B:F,5,0)</f>
        <v>Bebidas Cambio de bebida</v>
      </c>
      <c r="O2261" t="str">
        <f>VLOOKUP(D2261,'Jer-Tip-Emp'!B:G,6,0)</f>
        <v>Bebidas</v>
      </c>
    </row>
    <row r="2262" spans="1:15" ht="27.5" customHeight="1" x14ac:dyDescent="0.2">
      <c r="A2262">
        <v>2025</v>
      </c>
      <c r="B2262" t="s">
        <v>626</v>
      </c>
      <c r="C2262" t="s">
        <v>609</v>
      </c>
      <c r="D2262" s="19" t="s">
        <v>191</v>
      </c>
      <c r="E2262" s="18" t="s">
        <v>133</v>
      </c>
      <c r="F2262" s="18">
        <v>1</v>
      </c>
      <c r="G2262" s="20">
        <v>37900</v>
      </c>
      <c r="H2262" s="18">
        <v>0</v>
      </c>
      <c r="I2262" s="20">
        <v>11810</v>
      </c>
      <c r="J2262" s="8">
        <f t="shared" si="105"/>
        <v>26090</v>
      </c>
      <c r="K2262" s="10">
        <f t="shared" si="106"/>
        <v>0.68839050131926116</v>
      </c>
      <c r="L2262" s="17">
        <f t="shared" si="107"/>
        <v>0</v>
      </c>
      <c r="M2262" t="str">
        <f>VLOOKUP(D2262,'Jer-Tip-Emp'!B:E,4,0)</f>
        <v>Platos mong</v>
      </c>
      <c r="N2262" t="str">
        <f>VLOOKUP(D2262,'Jer-Tip-Emp'!B:F,5,0)</f>
        <v>No Personal</v>
      </c>
      <c r="O2262" t="str">
        <f>VLOOKUP(D2262,'Jer-Tip-Emp'!B:G,6,0)</f>
        <v>Caja</v>
      </c>
    </row>
    <row r="2263" spans="1:15" ht="27.5" customHeight="1" x14ac:dyDescent="0.2">
      <c r="A2263">
        <v>2025</v>
      </c>
      <c r="B2263" t="s">
        <v>626</v>
      </c>
      <c r="C2263" t="s">
        <v>609</v>
      </c>
      <c r="D2263" s="19" t="s">
        <v>181</v>
      </c>
      <c r="E2263" s="18" t="s">
        <v>121</v>
      </c>
      <c r="F2263" s="18">
        <v>1</v>
      </c>
      <c r="G2263" s="20">
        <v>19900</v>
      </c>
      <c r="H2263" s="18">
        <v>0</v>
      </c>
      <c r="I2263" s="20">
        <v>6138</v>
      </c>
      <c r="J2263" s="8">
        <f t="shared" si="105"/>
        <v>13762</v>
      </c>
      <c r="K2263" s="10">
        <f t="shared" si="106"/>
        <v>0.69155778894472364</v>
      </c>
      <c r="L2263" s="17">
        <f t="shared" si="107"/>
        <v>0</v>
      </c>
      <c r="M2263" t="str">
        <f>VLOOKUP(D2263,'Jer-Tip-Emp'!B:E,4,0)</f>
        <v>Platos mong</v>
      </c>
      <c r="N2263" t="str">
        <f>VLOOKUP(D2263,'Jer-Tip-Emp'!B:F,5,0)</f>
        <v>Personal</v>
      </c>
      <c r="O2263" t="str">
        <f>VLOOKUP(D2263,'Jer-Tip-Emp'!B:G,6,0)</f>
        <v>Caja</v>
      </c>
    </row>
    <row r="2264" spans="1:15" ht="27.5" customHeight="1" x14ac:dyDescent="0.2">
      <c r="A2264">
        <v>2025</v>
      </c>
      <c r="B2264" t="s">
        <v>626</v>
      </c>
      <c r="C2264" t="s">
        <v>609</v>
      </c>
      <c r="D2264" s="19" t="s">
        <v>200</v>
      </c>
      <c r="E2264" s="18" t="s">
        <v>149</v>
      </c>
      <c r="F2264" s="18">
        <v>1</v>
      </c>
      <c r="G2264" s="20">
        <v>24900</v>
      </c>
      <c r="H2264" s="18">
        <v>0</v>
      </c>
      <c r="I2264" s="20">
        <v>10481</v>
      </c>
      <c r="J2264" s="8">
        <f t="shared" si="105"/>
        <v>14419</v>
      </c>
      <c r="K2264" s="10">
        <f t="shared" si="106"/>
        <v>0.57907630522088349</v>
      </c>
      <c r="L2264" s="17">
        <f t="shared" si="107"/>
        <v>0</v>
      </c>
      <c r="M2264" t="str">
        <f>VLOOKUP(D2264,'Jer-Tip-Emp'!B:E,4,0)</f>
        <v>Platos mong</v>
      </c>
      <c r="N2264" t="str">
        <f>VLOOKUP(D2264,'Jer-Tip-Emp'!B:F,5,0)</f>
        <v>Personal</v>
      </c>
      <c r="O2264" t="str">
        <f>VLOOKUP(D2264,'Jer-Tip-Emp'!B:G,6,0)</f>
        <v>Caja</v>
      </c>
    </row>
    <row r="2265" spans="1:15" ht="27.5" hidden="1" customHeight="1" x14ac:dyDescent="0.2">
      <c r="A2265">
        <v>2025</v>
      </c>
      <c r="B2265" t="s">
        <v>626</v>
      </c>
      <c r="C2265" t="s">
        <v>609</v>
      </c>
      <c r="D2265" s="19" t="s">
        <v>411</v>
      </c>
      <c r="E2265" s="18" t="s">
        <v>569</v>
      </c>
      <c r="F2265" s="18">
        <v>1</v>
      </c>
      <c r="G2265" s="20">
        <v>2000</v>
      </c>
      <c r="H2265" s="18">
        <v>0</v>
      </c>
      <c r="I2265" s="20">
        <v>2235</v>
      </c>
      <c r="J2265" s="8">
        <f t="shared" si="105"/>
        <v>-235</v>
      </c>
      <c r="K2265" s="10">
        <f t="shared" si="106"/>
        <v>-0.11749999999999999</v>
      </c>
      <c r="L2265" s="17">
        <f t="shared" si="107"/>
        <v>0</v>
      </c>
      <c r="M2265" t="str">
        <f>VLOOKUP(D2265,'Jer-Tip-Emp'!B:E,4,0)</f>
        <v>Bebidas</v>
      </c>
      <c r="N2265" t="str">
        <f>VLOOKUP(D2265,'Jer-Tip-Emp'!B:F,5,0)</f>
        <v>Bebidas Cambio de bebida</v>
      </c>
      <c r="O2265" t="str">
        <f>VLOOKUP(D2265,'Jer-Tip-Emp'!B:G,6,0)</f>
        <v>Bebidas</v>
      </c>
    </row>
    <row r="2266" spans="1:15" ht="27.5" customHeight="1" x14ac:dyDescent="0.2">
      <c r="A2266">
        <v>2025</v>
      </c>
      <c r="B2266" t="s">
        <v>626</v>
      </c>
      <c r="C2266" t="s">
        <v>609</v>
      </c>
      <c r="D2266" s="19" t="s">
        <v>278</v>
      </c>
      <c r="E2266" s="18" t="s">
        <v>84</v>
      </c>
      <c r="F2266" s="18">
        <v>1</v>
      </c>
      <c r="G2266" s="20">
        <v>21900</v>
      </c>
      <c r="H2266" s="18">
        <v>0</v>
      </c>
      <c r="I2266" s="20">
        <v>7973</v>
      </c>
      <c r="J2266" s="8">
        <f t="shared" si="105"/>
        <v>13927</v>
      </c>
      <c r="K2266" s="10">
        <f t="shared" si="106"/>
        <v>0.63593607305936073</v>
      </c>
      <c r="L2266" s="17">
        <f t="shared" si="107"/>
        <v>0</v>
      </c>
      <c r="M2266" t="str">
        <f>VLOOKUP(D2266,'Jer-Tip-Emp'!B:E,4,0)</f>
        <v>Combos para compartir</v>
      </c>
      <c r="N2266" t="str">
        <f>VLOOKUP(D2266,'Jer-Tip-Emp'!B:F,5,0)</f>
        <v>No Personal</v>
      </c>
      <c r="O2266" t="str">
        <f>VLOOKUP(D2266,'Jer-Tip-Emp'!B:G,6,0)</f>
        <v>Combo</v>
      </c>
    </row>
    <row r="2267" spans="1:15" ht="27.5" hidden="1" customHeight="1" x14ac:dyDescent="0.2">
      <c r="A2267">
        <v>2025</v>
      </c>
      <c r="B2267" t="s">
        <v>626</v>
      </c>
      <c r="C2267" t="s">
        <v>594</v>
      </c>
      <c r="D2267" s="19" t="s">
        <v>346</v>
      </c>
      <c r="E2267" s="18" t="s">
        <v>551</v>
      </c>
      <c r="F2267" s="18">
        <v>210</v>
      </c>
      <c r="G2267" s="18">
        <v>0</v>
      </c>
      <c r="H2267" s="18">
        <v>0</v>
      </c>
      <c r="I2267" s="18">
        <v>0</v>
      </c>
      <c r="J2267" s="8">
        <f t="shared" si="105"/>
        <v>0</v>
      </c>
      <c r="K2267" s="10">
        <f t="shared" si="106"/>
        <v>0</v>
      </c>
      <c r="L2267" s="17">
        <f t="shared" si="107"/>
        <v>0</v>
      </c>
      <c r="M2267" t="str">
        <f>VLOOKUP(D2267,'Jer-Tip-Emp'!B:E,4,0)</f>
        <v>Adición</v>
      </c>
      <c r="N2267" t="str">
        <f>VLOOKUP(D2267,'Jer-Tip-Emp'!B:F,5,0)</f>
        <v>Adición</v>
      </c>
      <c r="O2267" t="str">
        <f>VLOOKUP(D2267,'Jer-Tip-Emp'!B:G,6,0)</f>
        <v>Adición</v>
      </c>
    </row>
    <row r="2268" spans="1:15" ht="27.5" hidden="1" customHeight="1" x14ac:dyDescent="0.2">
      <c r="A2268">
        <v>2025</v>
      </c>
      <c r="B2268" t="s">
        <v>626</v>
      </c>
      <c r="C2268" t="s">
        <v>594</v>
      </c>
      <c r="D2268" s="19" t="s">
        <v>173</v>
      </c>
      <c r="E2268" s="18" t="s">
        <v>542</v>
      </c>
      <c r="F2268" s="18">
        <v>136</v>
      </c>
      <c r="G2268" s="18">
        <v>0</v>
      </c>
      <c r="H2268" s="18">
        <v>0</v>
      </c>
      <c r="I2268" s="18">
        <v>0</v>
      </c>
      <c r="J2268" s="8">
        <f t="shared" si="105"/>
        <v>0</v>
      </c>
      <c r="K2268" s="10">
        <f t="shared" si="106"/>
        <v>0</v>
      </c>
      <c r="L2268" s="17">
        <f t="shared" si="107"/>
        <v>0</v>
      </c>
      <c r="M2268" t="str">
        <f>VLOOKUP(D2268,'Jer-Tip-Emp'!B:E,4,0)</f>
        <v>Bebidas</v>
      </c>
      <c r="N2268" t="str">
        <f>VLOOKUP(D2268,'Jer-Tip-Emp'!B:F,5,0)</f>
        <v>Bebidas Cambio de bebida</v>
      </c>
      <c r="O2268" t="str">
        <f>VLOOKUP(D2268,'Jer-Tip-Emp'!B:G,6,0)</f>
        <v>Bebidas</v>
      </c>
    </row>
    <row r="2269" spans="1:15" ht="27.5" customHeight="1" x14ac:dyDescent="0.2">
      <c r="A2269">
        <v>2025</v>
      </c>
      <c r="B2269" t="s">
        <v>626</v>
      </c>
      <c r="C2269" t="s">
        <v>594</v>
      </c>
      <c r="D2269" s="19" t="s">
        <v>207</v>
      </c>
      <c r="E2269" s="18" t="s">
        <v>92</v>
      </c>
      <c r="F2269" s="18">
        <v>100</v>
      </c>
      <c r="G2269" s="20">
        <v>2089500</v>
      </c>
      <c r="H2269" s="20">
        <v>-600500</v>
      </c>
      <c r="I2269" s="20">
        <v>962700</v>
      </c>
      <c r="J2269" s="8">
        <f t="shared" si="105"/>
        <v>1126800</v>
      </c>
      <c r="K2269" s="10">
        <f t="shared" si="106"/>
        <v>0.53926776740847093</v>
      </c>
      <c r="L2269" s="17">
        <f t="shared" si="107"/>
        <v>0.28738932759033259</v>
      </c>
      <c r="M2269" t="str">
        <f>VLOOKUP(D2269,'Jer-Tip-Emp'!B:E,4,0)</f>
        <v>Combos personales</v>
      </c>
      <c r="N2269" t="str">
        <f>VLOOKUP(D2269,'Jer-Tip-Emp'!B:F,5,0)</f>
        <v>Personal</v>
      </c>
      <c r="O2269" t="str">
        <f>VLOOKUP(D2269,'Jer-Tip-Emp'!B:G,6,0)</f>
        <v>Combo</v>
      </c>
    </row>
    <row r="2270" spans="1:15" ht="27.5" customHeight="1" x14ac:dyDescent="0.2">
      <c r="A2270">
        <v>2025</v>
      </c>
      <c r="B2270" t="s">
        <v>626</v>
      </c>
      <c r="C2270" t="s">
        <v>594</v>
      </c>
      <c r="D2270" s="19" t="s">
        <v>196</v>
      </c>
      <c r="E2270" s="18" t="s">
        <v>159</v>
      </c>
      <c r="F2270" s="18">
        <v>43</v>
      </c>
      <c r="G2270" s="20">
        <v>931200</v>
      </c>
      <c r="H2270" s="20">
        <v>-268500</v>
      </c>
      <c r="I2270" s="20">
        <v>408543</v>
      </c>
      <c r="J2270" s="8">
        <f t="shared" si="105"/>
        <v>522657</v>
      </c>
      <c r="K2270" s="10">
        <f t="shared" si="106"/>
        <v>0.56127255154639177</v>
      </c>
      <c r="L2270" s="17">
        <f t="shared" si="107"/>
        <v>0.28833762886597936</v>
      </c>
      <c r="M2270" t="str">
        <f>VLOOKUP(D2270,'Jer-Tip-Emp'!B:E,4,0)</f>
        <v>Combos personales</v>
      </c>
      <c r="N2270" t="str">
        <f>VLOOKUP(D2270,'Jer-Tip-Emp'!B:F,5,0)</f>
        <v>Personal</v>
      </c>
      <c r="O2270" t="str">
        <f>VLOOKUP(D2270,'Jer-Tip-Emp'!B:G,6,0)</f>
        <v>Combo</v>
      </c>
    </row>
    <row r="2271" spans="1:15" ht="27.5" customHeight="1" x14ac:dyDescent="0.2">
      <c r="A2271">
        <v>2025</v>
      </c>
      <c r="B2271" t="s">
        <v>626</v>
      </c>
      <c r="C2271" t="s">
        <v>594</v>
      </c>
      <c r="D2271" s="19" t="s">
        <v>184</v>
      </c>
      <c r="E2271" s="18" t="s">
        <v>162</v>
      </c>
      <c r="F2271" s="18">
        <v>38</v>
      </c>
      <c r="G2271" s="20">
        <v>697750</v>
      </c>
      <c r="H2271" s="20">
        <v>-172450</v>
      </c>
      <c r="I2271" s="18">
        <v>0</v>
      </c>
      <c r="J2271" s="8">
        <f t="shared" si="105"/>
        <v>697750</v>
      </c>
      <c r="K2271" s="10">
        <f t="shared" si="106"/>
        <v>1</v>
      </c>
      <c r="L2271" s="17">
        <f t="shared" si="107"/>
        <v>0.2471515585811537</v>
      </c>
      <c r="M2271" t="str">
        <f>VLOOKUP(D2271,'Jer-Tip-Emp'!B:E,4,0)</f>
        <v>Combos personales</v>
      </c>
      <c r="N2271" t="str">
        <f>VLOOKUP(D2271,'Jer-Tip-Emp'!B:F,5,0)</f>
        <v>Personal</v>
      </c>
      <c r="O2271" t="str">
        <f>VLOOKUP(D2271,'Jer-Tip-Emp'!B:G,6,0)</f>
        <v>Caja</v>
      </c>
    </row>
    <row r="2272" spans="1:15" ht="27.5" hidden="1" customHeight="1" x14ac:dyDescent="0.2">
      <c r="A2272">
        <v>2025</v>
      </c>
      <c r="B2272" t="s">
        <v>626</v>
      </c>
      <c r="C2272" t="s">
        <v>594</v>
      </c>
      <c r="D2272" s="19" t="s">
        <v>338</v>
      </c>
      <c r="E2272" s="18" t="s">
        <v>579</v>
      </c>
      <c r="F2272" s="18">
        <v>29</v>
      </c>
      <c r="G2272" s="20">
        <v>11600</v>
      </c>
      <c r="H2272" s="18">
        <v>0</v>
      </c>
      <c r="I2272" s="20">
        <v>9309</v>
      </c>
      <c r="J2272" s="8">
        <f t="shared" si="105"/>
        <v>2291</v>
      </c>
      <c r="K2272" s="10">
        <f t="shared" si="106"/>
        <v>0.19750000000000001</v>
      </c>
      <c r="L2272" s="17">
        <f t="shared" si="107"/>
        <v>0</v>
      </c>
      <c r="M2272" t="str">
        <f>VLOOKUP(D2272,'Jer-Tip-Emp'!B:E,4,0)</f>
        <v>Adición</v>
      </c>
      <c r="N2272" t="str">
        <f>VLOOKUP(D2272,'Jer-Tip-Emp'!B:F,5,0)</f>
        <v>Adición</v>
      </c>
      <c r="O2272" t="str">
        <f>VLOOKUP(D2272,'Jer-Tip-Emp'!B:G,6,0)</f>
        <v>Adición</v>
      </c>
    </row>
    <row r="2273" spans="1:15" ht="27.5" customHeight="1" x14ac:dyDescent="0.2">
      <c r="A2273">
        <v>2025</v>
      </c>
      <c r="B2273" t="s">
        <v>626</v>
      </c>
      <c r="C2273" t="s">
        <v>594</v>
      </c>
      <c r="D2273" s="19" t="s">
        <v>177</v>
      </c>
      <c r="E2273" s="18" t="s">
        <v>99</v>
      </c>
      <c r="F2273" s="18">
        <v>20</v>
      </c>
      <c r="G2273" s="20">
        <v>500400</v>
      </c>
      <c r="H2273" s="20">
        <v>-137600</v>
      </c>
      <c r="I2273" s="18">
        <v>0</v>
      </c>
      <c r="J2273" s="8">
        <f t="shared" si="105"/>
        <v>500400</v>
      </c>
      <c r="K2273" s="10">
        <f t="shared" si="106"/>
        <v>1</v>
      </c>
      <c r="L2273" s="17">
        <f t="shared" si="107"/>
        <v>0.27498001598721022</v>
      </c>
      <c r="M2273" t="str">
        <f>VLOOKUP(D2273,'Jer-Tip-Emp'!B:E,4,0)</f>
        <v>Combos personales</v>
      </c>
      <c r="N2273" t="str">
        <f>VLOOKUP(D2273,'Jer-Tip-Emp'!B:F,5,0)</f>
        <v>Personal</v>
      </c>
      <c r="O2273" t="str">
        <f>VLOOKUP(D2273,'Jer-Tip-Emp'!B:G,6,0)</f>
        <v>Combo</v>
      </c>
    </row>
    <row r="2274" spans="1:15" ht="27.5" hidden="1" customHeight="1" x14ac:dyDescent="0.2">
      <c r="A2274">
        <v>2025</v>
      </c>
      <c r="B2274" t="s">
        <v>626</v>
      </c>
      <c r="C2274" t="s">
        <v>594</v>
      </c>
      <c r="D2274" s="19" t="s">
        <v>490</v>
      </c>
      <c r="E2274" s="18" t="s">
        <v>554</v>
      </c>
      <c r="F2274" s="18">
        <v>19</v>
      </c>
      <c r="G2274" s="18">
        <v>0</v>
      </c>
      <c r="H2274" s="18">
        <v>0</v>
      </c>
      <c r="I2274" s="20">
        <v>38931</v>
      </c>
      <c r="J2274" s="8">
        <f t="shared" si="105"/>
        <v>-38931</v>
      </c>
      <c r="K2274" s="10">
        <f t="shared" si="106"/>
        <v>0</v>
      </c>
      <c r="L2274" s="17">
        <f t="shared" si="107"/>
        <v>0</v>
      </c>
      <c r="M2274" t="str">
        <f>VLOOKUP(D2274,'Jer-Tip-Emp'!B:E,4,0)</f>
        <v>Adición</v>
      </c>
      <c r="N2274" t="str">
        <f>VLOOKUP(D2274,'Jer-Tip-Emp'!B:F,5,0)</f>
        <v>Otro</v>
      </c>
      <c r="O2274" t="str">
        <f>VLOOKUP(D2274,'Jer-Tip-Emp'!B:G,6,0)</f>
        <v>Otro</v>
      </c>
    </row>
    <row r="2275" spans="1:15" ht="27.5" hidden="1" customHeight="1" x14ac:dyDescent="0.2">
      <c r="A2275">
        <v>2025</v>
      </c>
      <c r="B2275" t="s">
        <v>626</v>
      </c>
      <c r="C2275" t="s">
        <v>594</v>
      </c>
      <c r="D2275" s="19" t="s">
        <v>236</v>
      </c>
      <c r="E2275" s="18" t="s">
        <v>621</v>
      </c>
      <c r="F2275" s="18">
        <v>16</v>
      </c>
      <c r="G2275" s="18">
        <v>0</v>
      </c>
      <c r="H2275" s="18">
        <v>0</v>
      </c>
      <c r="I2275" s="18">
        <v>0</v>
      </c>
      <c r="J2275" s="8">
        <f t="shared" si="105"/>
        <v>0</v>
      </c>
      <c r="K2275" s="10">
        <f t="shared" si="106"/>
        <v>0</v>
      </c>
      <c r="L2275" s="17">
        <f t="shared" si="107"/>
        <v>0</v>
      </c>
      <c r="M2275" t="str">
        <f>VLOOKUP(D2275,'Jer-Tip-Emp'!B:E,4,0)</f>
        <v>Otro</v>
      </c>
      <c r="N2275" t="str">
        <f>VLOOKUP(D2275,'Jer-Tip-Emp'!B:F,5,0)</f>
        <v>Otro</v>
      </c>
      <c r="O2275" t="str">
        <f>VLOOKUP(D2275,'Jer-Tip-Emp'!B:G,6,0)</f>
        <v>Otro</v>
      </c>
    </row>
    <row r="2276" spans="1:15" ht="27.5" hidden="1" customHeight="1" x14ac:dyDescent="0.2">
      <c r="A2276">
        <v>2025</v>
      </c>
      <c r="B2276" t="s">
        <v>626</v>
      </c>
      <c r="C2276" t="s">
        <v>594</v>
      </c>
      <c r="D2276" s="19" t="s">
        <v>328</v>
      </c>
      <c r="E2276" s="18" t="s">
        <v>555</v>
      </c>
      <c r="F2276" s="18">
        <v>14</v>
      </c>
      <c r="G2276" s="20">
        <v>14000</v>
      </c>
      <c r="H2276" s="18">
        <v>0</v>
      </c>
      <c r="I2276" s="18">
        <v>826</v>
      </c>
      <c r="J2276" s="8">
        <f t="shared" si="105"/>
        <v>13174</v>
      </c>
      <c r="K2276" s="10">
        <f t="shared" si="106"/>
        <v>0.94099999999999995</v>
      </c>
      <c r="L2276" s="17">
        <f t="shared" si="107"/>
        <v>0</v>
      </c>
      <c r="M2276" t="str">
        <f>VLOOKUP(D2276,'Jer-Tip-Emp'!B:E,4,0)</f>
        <v>Adición</v>
      </c>
      <c r="N2276" t="str">
        <f>VLOOKUP(D2276,'Jer-Tip-Emp'!B:F,5,0)</f>
        <v>Adición</v>
      </c>
      <c r="O2276" t="str">
        <f>VLOOKUP(D2276,'Jer-Tip-Emp'!B:G,6,0)</f>
        <v>Adición</v>
      </c>
    </row>
    <row r="2277" spans="1:15" ht="27.5" customHeight="1" x14ac:dyDescent="0.2">
      <c r="A2277">
        <v>2025</v>
      </c>
      <c r="B2277" t="s">
        <v>626</v>
      </c>
      <c r="C2277" t="s">
        <v>594</v>
      </c>
      <c r="D2277" s="19" t="s">
        <v>313</v>
      </c>
      <c r="E2277" s="18" t="s">
        <v>540</v>
      </c>
      <c r="F2277" s="18">
        <v>14</v>
      </c>
      <c r="G2277" s="18">
        <v>0</v>
      </c>
      <c r="H2277" s="18">
        <v>0</v>
      </c>
      <c r="I2277" s="20">
        <v>76874</v>
      </c>
      <c r="J2277" s="8">
        <f t="shared" si="105"/>
        <v>-76874</v>
      </c>
      <c r="K2277" s="10">
        <f t="shared" si="106"/>
        <v>0</v>
      </c>
      <c r="L2277" s="17">
        <f t="shared" si="107"/>
        <v>0</v>
      </c>
      <c r="M2277" t="str">
        <f>VLOOKUP(D2277,'Jer-Tip-Emp'!B:E,4,0)</f>
        <v>Arma tu plato</v>
      </c>
      <c r="N2277" t="str">
        <f>VLOOKUP(D2277,'Jer-Tip-Emp'!B:F,5,0)</f>
        <v>Personal</v>
      </c>
      <c r="O2277" t="str">
        <f>VLOOKUP(D2277,'Jer-Tip-Emp'!B:G,6,0)</f>
        <v>Caja</v>
      </c>
    </row>
    <row r="2278" spans="1:15" ht="27.5" customHeight="1" x14ac:dyDescent="0.2">
      <c r="A2278">
        <v>2025</v>
      </c>
      <c r="B2278" t="s">
        <v>626</v>
      </c>
      <c r="C2278" t="s">
        <v>594</v>
      </c>
      <c r="D2278" s="19" t="s">
        <v>186</v>
      </c>
      <c r="E2278" s="18" t="s">
        <v>95</v>
      </c>
      <c r="F2278" s="18">
        <v>12</v>
      </c>
      <c r="G2278" s="20">
        <v>302400</v>
      </c>
      <c r="H2278" s="20">
        <v>-92400</v>
      </c>
      <c r="I2278" s="20">
        <v>114840</v>
      </c>
      <c r="J2278" s="8">
        <f t="shared" si="105"/>
        <v>187560</v>
      </c>
      <c r="K2278" s="10">
        <f t="shared" si="106"/>
        <v>0.62023809523809526</v>
      </c>
      <c r="L2278" s="17">
        <f t="shared" si="107"/>
        <v>0.30555555555555558</v>
      </c>
      <c r="M2278" t="str">
        <f>VLOOKUP(D2278,'Jer-Tip-Emp'!B:E,4,0)</f>
        <v>Combos personales</v>
      </c>
      <c r="N2278" t="str">
        <f>VLOOKUP(D2278,'Jer-Tip-Emp'!B:F,5,0)</f>
        <v>Personal</v>
      </c>
      <c r="O2278" t="str">
        <f>VLOOKUP(D2278,'Jer-Tip-Emp'!B:G,6,0)</f>
        <v>Combo</v>
      </c>
    </row>
    <row r="2279" spans="1:15" ht="27.5" hidden="1" customHeight="1" x14ac:dyDescent="0.2">
      <c r="A2279">
        <v>2025</v>
      </c>
      <c r="B2279" t="s">
        <v>626</v>
      </c>
      <c r="C2279" t="s">
        <v>594</v>
      </c>
      <c r="D2279" s="19" t="s">
        <v>236</v>
      </c>
      <c r="E2279" s="18" t="s">
        <v>622</v>
      </c>
      <c r="F2279" s="18">
        <v>12</v>
      </c>
      <c r="G2279" s="20">
        <v>24000</v>
      </c>
      <c r="H2279" s="18">
        <v>0</v>
      </c>
      <c r="I2279" s="18">
        <v>0</v>
      </c>
      <c r="J2279" s="8">
        <f t="shared" si="105"/>
        <v>24000</v>
      </c>
      <c r="K2279" s="10">
        <f t="shared" si="106"/>
        <v>1</v>
      </c>
      <c r="L2279" s="17">
        <f t="shared" si="107"/>
        <v>0</v>
      </c>
      <c r="M2279" t="str">
        <f>VLOOKUP(D2279,'Jer-Tip-Emp'!B:E,4,0)</f>
        <v>Otro</v>
      </c>
      <c r="N2279" t="str">
        <f>VLOOKUP(D2279,'Jer-Tip-Emp'!B:F,5,0)</f>
        <v>Otro</v>
      </c>
      <c r="O2279" t="str">
        <f>VLOOKUP(D2279,'Jer-Tip-Emp'!B:G,6,0)</f>
        <v>Otro</v>
      </c>
    </row>
    <row r="2280" spans="1:15" ht="27.5" customHeight="1" x14ac:dyDescent="0.2">
      <c r="A2280">
        <v>2025</v>
      </c>
      <c r="B2280" t="s">
        <v>626</v>
      </c>
      <c r="C2280" t="s">
        <v>594</v>
      </c>
      <c r="D2280" s="19" t="s">
        <v>376</v>
      </c>
      <c r="E2280" s="18" t="s">
        <v>543</v>
      </c>
      <c r="F2280" s="18">
        <v>10</v>
      </c>
      <c r="G2280" s="18">
        <v>0</v>
      </c>
      <c r="H2280" s="18">
        <v>0</v>
      </c>
      <c r="I2280" s="20">
        <v>12820</v>
      </c>
      <c r="J2280" s="8">
        <f t="shared" si="105"/>
        <v>-12820</v>
      </c>
      <c r="K2280" s="10">
        <f t="shared" si="106"/>
        <v>0</v>
      </c>
      <c r="L2280" s="17">
        <f t="shared" si="107"/>
        <v>0</v>
      </c>
      <c r="M2280" t="str">
        <f>VLOOKUP(D2280,'Jer-Tip-Emp'!B:E,4,0)</f>
        <v>Arma tu plato</v>
      </c>
      <c r="N2280" t="str">
        <f>VLOOKUP(D2280,'Jer-Tip-Emp'!B:F,5,0)</f>
        <v>Personal</v>
      </c>
      <c r="O2280" t="str">
        <f>VLOOKUP(D2280,'Jer-Tip-Emp'!B:G,6,0)</f>
        <v>Caja</v>
      </c>
    </row>
    <row r="2281" spans="1:15" ht="27.5" hidden="1" customHeight="1" x14ac:dyDescent="0.2">
      <c r="A2281">
        <v>2025</v>
      </c>
      <c r="B2281" t="s">
        <v>626</v>
      </c>
      <c r="C2281" t="s">
        <v>594</v>
      </c>
      <c r="D2281" s="19" t="s">
        <v>360</v>
      </c>
      <c r="E2281" s="18" t="s">
        <v>620</v>
      </c>
      <c r="F2281" s="18">
        <v>10</v>
      </c>
      <c r="G2281" s="20">
        <v>45000</v>
      </c>
      <c r="H2281" s="18">
        <v>0</v>
      </c>
      <c r="I2281" s="20">
        <v>15690</v>
      </c>
      <c r="J2281" s="8">
        <f t="shared" si="105"/>
        <v>29310</v>
      </c>
      <c r="K2281" s="10">
        <f t="shared" si="106"/>
        <v>0.65133333333333332</v>
      </c>
      <c r="L2281" s="17">
        <f t="shared" si="107"/>
        <v>0</v>
      </c>
      <c r="M2281" t="str">
        <f>VLOOKUP(D2281,'Jer-Tip-Emp'!B:E,4,0)</f>
        <v>Adición</v>
      </c>
      <c r="N2281" t="str">
        <f>VLOOKUP(D2281,'Jer-Tip-Emp'!B:F,5,0)</f>
        <v>Adición</v>
      </c>
      <c r="O2281" t="str">
        <f>VLOOKUP(D2281,'Jer-Tip-Emp'!B:G,6,0)</f>
        <v>Adición</v>
      </c>
    </row>
    <row r="2282" spans="1:15" ht="27.5" hidden="1" customHeight="1" x14ac:dyDescent="0.2">
      <c r="A2282">
        <v>2025</v>
      </c>
      <c r="B2282" t="s">
        <v>626</v>
      </c>
      <c r="C2282" t="s">
        <v>594</v>
      </c>
      <c r="D2282" s="19" t="s">
        <v>365</v>
      </c>
      <c r="E2282" s="18" t="s">
        <v>558</v>
      </c>
      <c r="F2282" s="18">
        <v>9</v>
      </c>
      <c r="G2282" s="20">
        <v>4500</v>
      </c>
      <c r="H2282" s="18">
        <v>0</v>
      </c>
      <c r="I2282" s="20">
        <v>14121</v>
      </c>
      <c r="J2282" s="8">
        <f t="shared" si="105"/>
        <v>-9621</v>
      </c>
      <c r="K2282" s="10">
        <f t="shared" si="106"/>
        <v>-2.1379999999999999</v>
      </c>
      <c r="L2282" s="17">
        <f t="shared" si="107"/>
        <v>0</v>
      </c>
      <c r="M2282" t="str">
        <f>VLOOKUP(D2282,'Jer-Tip-Emp'!B:E,4,0)</f>
        <v>Adición</v>
      </c>
      <c r="N2282" t="str">
        <f>VLOOKUP(D2282,'Jer-Tip-Emp'!B:F,5,0)</f>
        <v>Otro</v>
      </c>
      <c r="O2282" t="str">
        <f>VLOOKUP(D2282,'Jer-Tip-Emp'!B:G,6,0)</f>
        <v>Otro</v>
      </c>
    </row>
    <row r="2283" spans="1:15" ht="27.5" hidden="1" customHeight="1" x14ac:dyDescent="0.2">
      <c r="A2283">
        <v>2025</v>
      </c>
      <c r="B2283" t="s">
        <v>626</v>
      </c>
      <c r="C2283" t="s">
        <v>594</v>
      </c>
      <c r="D2283" s="19" t="s">
        <v>311</v>
      </c>
      <c r="E2283" s="18" t="s">
        <v>625</v>
      </c>
      <c r="F2283" s="18">
        <v>8</v>
      </c>
      <c r="G2283" s="20">
        <v>44800</v>
      </c>
      <c r="H2283" s="18">
        <v>0</v>
      </c>
      <c r="I2283" s="20">
        <v>16392</v>
      </c>
      <c r="J2283" s="8">
        <f t="shared" si="105"/>
        <v>28408</v>
      </c>
      <c r="K2283" s="10">
        <f t="shared" si="106"/>
        <v>0.63410714285714287</v>
      </c>
      <c r="L2283" s="17">
        <f t="shared" si="107"/>
        <v>0</v>
      </c>
      <c r="M2283" t="str">
        <f>VLOOKUP(D2283,'Jer-Tip-Emp'!B:E,4,0)</f>
        <v>Adición</v>
      </c>
      <c r="N2283" t="str">
        <f>VLOOKUP(D2283,'Jer-Tip-Emp'!B:F,5,0)</f>
        <v>Adición</v>
      </c>
      <c r="O2283" t="str">
        <f>VLOOKUP(D2283,'Jer-Tip-Emp'!B:G,6,0)</f>
        <v>Adición</v>
      </c>
    </row>
    <row r="2284" spans="1:15" ht="27.5" customHeight="1" x14ac:dyDescent="0.2">
      <c r="A2284">
        <v>2025</v>
      </c>
      <c r="B2284" t="s">
        <v>626</v>
      </c>
      <c r="C2284" t="s">
        <v>594</v>
      </c>
      <c r="D2284" s="19" t="s">
        <v>212</v>
      </c>
      <c r="E2284" s="18" t="s">
        <v>160</v>
      </c>
      <c r="F2284" s="18">
        <v>8</v>
      </c>
      <c r="G2284" s="20">
        <v>203800</v>
      </c>
      <c r="H2284" s="20">
        <v>-59400</v>
      </c>
      <c r="I2284" s="20">
        <v>90024</v>
      </c>
      <c r="J2284" s="8">
        <f t="shared" si="105"/>
        <v>113776</v>
      </c>
      <c r="K2284" s="10">
        <f t="shared" si="106"/>
        <v>0.55827281648675176</v>
      </c>
      <c r="L2284" s="17">
        <f t="shared" si="107"/>
        <v>0.29146221786064769</v>
      </c>
      <c r="M2284" t="str">
        <f>VLOOKUP(D2284,'Jer-Tip-Emp'!B:E,4,0)</f>
        <v>Combos personales</v>
      </c>
      <c r="N2284" t="str">
        <f>VLOOKUP(D2284,'Jer-Tip-Emp'!B:F,5,0)</f>
        <v>Personal</v>
      </c>
      <c r="O2284" t="str">
        <f>VLOOKUP(D2284,'Jer-Tip-Emp'!B:G,6,0)</f>
        <v>Combo</v>
      </c>
    </row>
    <row r="2285" spans="1:15" ht="27.5" customHeight="1" x14ac:dyDescent="0.2">
      <c r="A2285">
        <v>2025</v>
      </c>
      <c r="B2285" t="s">
        <v>626</v>
      </c>
      <c r="C2285" t="s">
        <v>594</v>
      </c>
      <c r="D2285" s="19" t="s">
        <v>294</v>
      </c>
      <c r="E2285" s="18" t="s">
        <v>108</v>
      </c>
      <c r="F2285" s="18">
        <v>8</v>
      </c>
      <c r="G2285" s="20">
        <v>151650</v>
      </c>
      <c r="H2285" s="20">
        <v>-39550</v>
      </c>
      <c r="I2285" s="20">
        <v>65464</v>
      </c>
      <c r="J2285" s="8">
        <f t="shared" si="105"/>
        <v>86186</v>
      </c>
      <c r="K2285" s="10">
        <f t="shared" si="106"/>
        <v>0.56832179360369273</v>
      </c>
      <c r="L2285" s="17">
        <f t="shared" si="107"/>
        <v>0.26079788987800856</v>
      </c>
      <c r="M2285" t="str">
        <f>VLOOKUP(D2285,'Jer-Tip-Emp'!B:E,4,0)</f>
        <v>Mong Express</v>
      </c>
      <c r="N2285" t="str">
        <f>VLOOKUP(D2285,'Jer-Tip-Emp'!B:F,5,0)</f>
        <v>Personal</v>
      </c>
      <c r="O2285" t="str">
        <f>VLOOKUP(D2285,'Jer-Tip-Emp'!B:G,6,0)</f>
        <v>Caja</v>
      </c>
    </row>
    <row r="2286" spans="1:15" ht="27.5" hidden="1" customHeight="1" x14ac:dyDescent="0.2">
      <c r="A2286">
        <v>2025</v>
      </c>
      <c r="B2286" t="s">
        <v>626</v>
      </c>
      <c r="C2286" t="s">
        <v>594</v>
      </c>
      <c r="D2286" s="19" t="s">
        <v>438</v>
      </c>
      <c r="E2286" s="18" t="s">
        <v>563</v>
      </c>
      <c r="F2286" s="18">
        <v>8</v>
      </c>
      <c r="G2286" s="20">
        <v>60800</v>
      </c>
      <c r="H2286" s="18">
        <v>0</v>
      </c>
      <c r="I2286" s="20">
        <v>22792</v>
      </c>
      <c r="J2286" s="8">
        <f t="shared" si="105"/>
        <v>38008</v>
      </c>
      <c r="K2286" s="10">
        <f t="shared" si="106"/>
        <v>0.62513157894736837</v>
      </c>
      <c r="L2286" s="17">
        <f t="shared" si="107"/>
        <v>0</v>
      </c>
      <c r="M2286" t="str">
        <f>VLOOKUP(D2286,'Jer-Tip-Emp'!B:E,4,0)</f>
        <v>Adición</v>
      </c>
      <c r="N2286" t="str">
        <f>VLOOKUP(D2286,'Jer-Tip-Emp'!B:F,5,0)</f>
        <v>Adición</v>
      </c>
      <c r="O2286" t="str">
        <f>VLOOKUP(D2286,'Jer-Tip-Emp'!B:G,6,0)</f>
        <v>Adición</v>
      </c>
    </row>
    <row r="2287" spans="1:15" ht="27.5" customHeight="1" x14ac:dyDescent="0.2">
      <c r="A2287">
        <v>2025</v>
      </c>
      <c r="B2287" t="s">
        <v>626</v>
      </c>
      <c r="C2287" t="s">
        <v>594</v>
      </c>
      <c r="D2287" s="19" t="s">
        <v>333</v>
      </c>
      <c r="E2287" s="18" t="s">
        <v>547</v>
      </c>
      <c r="F2287" s="18">
        <v>7</v>
      </c>
      <c r="G2287" s="18">
        <v>0</v>
      </c>
      <c r="H2287" s="18">
        <v>0</v>
      </c>
      <c r="I2287" s="20">
        <v>23254</v>
      </c>
      <c r="J2287" s="8">
        <f t="shared" si="105"/>
        <v>-23254</v>
      </c>
      <c r="K2287" s="10">
        <f t="shared" si="106"/>
        <v>0</v>
      </c>
      <c r="L2287" s="17">
        <f t="shared" si="107"/>
        <v>0</v>
      </c>
      <c r="M2287" t="str">
        <f>VLOOKUP(D2287,'Jer-Tip-Emp'!B:E,4,0)</f>
        <v>Arma tu plato</v>
      </c>
      <c r="N2287" t="str">
        <f>VLOOKUP(D2287,'Jer-Tip-Emp'!B:F,5,0)</f>
        <v>Personal</v>
      </c>
      <c r="O2287" t="str">
        <f>VLOOKUP(D2287,'Jer-Tip-Emp'!B:G,6,0)</f>
        <v>Caja</v>
      </c>
    </row>
    <row r="2288" spans="1:15" ht="27.5" hidden="1" customHeight="1" x14ac:dyDescent="0.2">
      <c r="A2288">
        <v>2025</v>
      </c>
      <c r="B2288" t="s">
        <v>626</v>
      </c>
      <c r="C2288" t="s">
        <v>594</v>
      </c>
      <c r="D2288" s="19" t="s">
        <v>348</v>
      </c>
      <c r="E2288" s="18" t="s">
        <v>567</v>
      </c>
      <c r="F2288" s="18">
        <v>7</v>
      </c>
      <c r="G2288" s="20">
        <v>56000</v>
      </c>
      <c r="H2288" s="18">
        <v>0</v>
      </c>
      <c r="I2288" s="20">
        <v>12229</v>
      </c>
      <c r="J2288" s="8">
        <f t="shared" si="105"/>
        <v>43771</v>
      </c>
      <c r="K2288" s="10">
        <f t="shared" si="106"/>
        <v>0.78162500000000001</v>
      </c>
      <c r="L2288" s="17">
        <f t="shared" si="107"/>
        <v>0</v>
      </c>
      <c r="M2288" t="str">
        <f>VLOOKUP(D2288,'Jer-Tip-Emp'!B:E,4,0)</f>
        <v>Adición</v>
      </c>
      <c r="N2288" t="str">
        <f>VLOOKUP(D2288,'Jer-Tip-Emp'!B:F,5,0)</f>
        <v>Adición</v>
      </c>
      <c r="O2288" t="str">
        <f>VLOOKUP(D2288,'Jer-Tip-Emp'!B:G,6,0)</f>
        <v>Adición</v>
      </c>
    </row>
    <row r="2289" spans="1:15" ht="27.5" hidden="1" customHeight="1" x14ac:dyDescent="0.2">
      <c r="A2289">
        <v>2025</v>
      </c>
      <c r="B2289" t="s">
        <v>626</v>
      </c>
      <c r="C2289" t="s">
        <v>594</v>
      </c>
      <c r="D2289" s="19" t="s">
        <v>342</v>
      </c>
      <c r="E2289" s="18" t="s">
        <v>556</v>
      </c>
      <c r="F2289" s="18">
        <v>6</v>
      </c>
      <c r="G2289" s="20">
        <v>45600</v>
      </c>
      <c r="H2289" s="18">
        <v>0</v>
      </c>
      <c r="I2289" s="20">
        <v>18648</v>
      </c>
      <c r="J2289" s="8">
        <f t="shared" si="105"/>
        <v>26952</v>
      </c>
      <c r="K2289" s="10">
        <f t="shared" si="106"/>
        <v>0.59105263157894739</v>
      </c>
      <c r="L2289" s="17">
        <f t="shared" si="107"/>
        <v>0</v>
      </c>
      <c r="M2289" t="str">
        <f>VLOOKUP(D2289,'Jer-Tip-Emp'!B:E,4,0)</f>
        <v>Adición</v>
      </c>
      <c r="N2289" t="str">
        <f>VLOOKUP(D2289,'Jer-Tip-Emp'!B:F,5,0)</f>
        <v>Adición</v>
      </c>
      <c r="O2289" t="str">
        <f>VLOOKUP(D2289,'Jer-Tip-Emp'!B:G,6,0)</f>
        <v>Adición</v>
      </c>
    </row>
    <row r="2290" spans="1:15" ht="27.5" customHeight="1" x14ac:dyDescent="0.2">
      <c r="A2290">
        <v>2025</v>
      </c>
      <c r="B2290" t="s">
        <v>626</v>
      </c>
      <c r="C2290" t="s">
        <v>594</v>
      </c>
      <c r="D2290" s="19" t="s">
        <v>322</v>
      </c>
      <c r="E2290" s="18" t="s">
        <v>545</v>
      </c>
      <c r="F2290" s="18">
        <v>6</v>
      </c>
      <c r="G2290" s="20">
        <v>12000</v>
      </c>
      <c r="H2290" s="18">
        <v>0</v>
      </c>
      <c r="I2290" s="20">
        <v>18648</v>
      </c>
      <c r="J2290" s="8">
        <f t="shared" si="105"/>
        <v>-6648</v>
      </c>
      <c r="K2290" s="10">
        <f t="shared" si="106"/>
        <v>-0.55400000000000005</v>
      </c>
      <c r="L2290" s="17">
        <f t="shared" si="107"/>
        <v>0</v>
      </c>
      <c r="M2290" t="str">
        <f>VLOOKUP(D2290,'Jer-Tip-Emp'!B:E,4,0)</f>
        <v>Arma tu plato</v>
      </c>
      <c r="N2290" t="str">
        <f>VLOOKUP(D2290,'Jer-Tip-Emp'!B:F,5,0)</f>
        <v>Personal</v>
      </c>
      <c r="O2290" t="str">
        <f>VLOOKUP(D2290,'Jer-Tip-Emp'!B:G,6,0)</f>
        <v>Caja</v>
      </c>
    </row>
    <row r="2291" spans="1:15" ht="27.5" hidden="1" customHeight="1" x14ac:dyDescent="0.2">
      <c r="A2291">
        <v>2025</v>
      </c>
      <c r="B2291" t="s">
        <v>626</v>
      </c>
      <c r="C2291" t="s">
        <v>594</v>
      </c>
      <c r="D2291" s="19" t="s">
        <v>418</v>
      </c>
      <c r="E2291" s="18" t="s">
        <v>557</v>
      </c>
      <c r="F2291" s="18">
        <v>6</v>
      </c>
      <c r="G2291" s="20">
        <v>6000</v>
      </c>
      <c r="H2291" s="18">
        <v>0</v>
      </c>
      <c r="I2291" s="18">
        <v>0</v>
      </c>
      <c r="J2291" s="8">
        <f t="shared" si="105"/>
        <v>6000</v>
      </c>
      <c r="K2291" s="10">
        <f t="shared" si="106"/>
        <v>1</v>
      </c>
      <c r="L2291" s="17">
        <f t="shared" si="107"/>
        <v>0</v>
      </c>
      <c r="M2291" t="str">
        <f>VLOOKUP(D2291,'Jer-Tip-Emp'!B:E,4,0)</f>
        <v>Adición</v>
      </c>
      <c r="N2291" t="str">
        <f>VLOOKUP(D2291,'Jer-Tip-Emp'!B:F,5,0)</f>
        <v>Adición</v>
      </c>
      <c r="O2291" t="str">
        <f>VLOOKUP(D2291,'Jer-Tip-Emp'!B:G,6,0)</f>
        <v>Adición</v>
      </c>
    </row>
    <row r="2292" spans="1:15" ht="27.5" customHeight="1" x14ac:dyDescent="0.2">
      <c r="A2292">
        <v>2025</v>
      </c>
      <c r="B2292" t="s">
        <v>626</v>
      </c>
      <c r="C2292" t="s">
        <v>594</v>
      </c>
      <c r="D2292" s="19" t="s">
        <v>266</v>
      </c>
      <c r="E2292" s="18" t="s">
        <v>85</v>
      </c>
      <c r="F2292" s="18">
        <v>6</v>
      </c>
      <c r="G2292" s="20">
        <v>458950</v>
      </c>
      <c r="H2292" s="20">
        <v>-146450</v>
      </c>
      <c r="I2292" s="20">
        <v>235326</v>
      </c>
      <c r="J2292" s="8">
        <f t="shared" si="105"/>
        <v>223624</v>
      </c>
      <c r="K2292" s="10">
        <f t="shared" si="106"/>
        <v>0.48725133456803571</v>
      </c>
      <c r="L2292" s="17">
        <f t="shared" si="107"/>
        <v>0.31909794095217342</v>
      </c>
      <c r="M2292" t="str">
        <f>VLOOKUP(D2292,'Jer-Tip-Emp'!B:E,4,0)</f>
        <v>Combos para compartir</v>
      </c>
      <c r="N2292" t="str">
        <f>VLOOKUP(D2292,'Jer-Tip-Emp'!B:F,5,0)</f>
        <v>No Personal</v>
      </c>
      <c r="O2292" t="str">
        <f>VLOOKUP(D2292,'Jer-Tip-Emp'!B:G,6,0)</f>
        <v>Combo</v>
      </c>
    </row>
    <row r="2293" spans="1:15" ht="27.5" hidden="1" customHeight="1" x14ac:dyDescent="0.2">
      <c r="A2293">
        <v>2025</v>
      </c>
      <c r="B2293" t="s">
        <v>626</v>
      </c>
      <c r="C2293" t="s">
        <v>594</v>
      </c>
      <c r="D2293" s="19" t="s">
        <v>284</v>
      </c>
      <c r="E2293" s="18" t="s">
        <v>106</v>
      </c>
      <c r="F2293" s="18">
        <v>6</v>
      </c>
      <c r="G2293" s="20">
        <v>65400</v>
      </c>
      <c r="H2293" s="18">
        <v>0</v>
      </c>
      <c r="I2293" s="20">
        <v>18834</v>
      </c>
      <c r="J2293" s="8">
        <f t="shared" si="105"/>
        <v>46566</v>
      </c>
      <c r="K2293" s="10">
        <f t="shared" si="106"/>
        <v>0.71201834862385316</v>
      </c>
      <c r="L2293" s="17">
        <f t="shared" si="107"/>
        <v>0</v>
      </c>
      <c r="M2293" t="str">
        <f>VLOOKUP(D2293,'Jer-Tip-Emp'!B:E,4,0)</f>
        <v>Entradas</v>
      </c>
      <c r="N2293" t="str">
        <f>VLOOKUP(D2293,'Jer-Tip-Emp'!B:F,5,0)</f>
        <v>Otro</v>
      </c>
      <c r="O2293" t="str">
        <f>VLOOKUP(D2293,'Jer-Tip-Emp'!B:G,6,0)</f>
        <v>Otro</v>
      </c>
    </row>
    <row r="2294" spans="1:15" ht="27.5" hidden="1" customHeight="1" x14ac:dyDescent="0.2">
      <c r="A2294">
        <v>2025</v>
      </c>
      <c r="B2294" t="s">
        <v>626</v>
      </c>
      <c r="C2294" t="s">
        <v>594</v>
      </c>
      <c r="D2294" s="19" t="s">
        <v>400</v>
      </c>
      <c r="E2294" s="18" t="s">
        <v>564</v>
      </c>
      <c r="F2294" s="18">
        <v>5</v>
      </c>
      <c r="G2294" s="20">
        <v>24000</v>
      </c>
      <c r="H2294" s="18">
        <v>0</v>
      </c>
      <c r="I2294" s="20">
        <v>6410</v>
      </c>
      <c r="J2294" s="8">
        <f t="shared" si="105"/>
        <v>17590</v>
      </c>
      <c r="K2294" s="10">
        <f t="shared" si="106"/>
        <v>0.73291666666666666</v>
      </c>
      <c r="L2294" s="17">
        <f t="shared" si="107"/>
        <v>0</v>
      </c>
      <c r="M2294" t="str">
        <f>VLOOKUP(D2294,'Jer-Tip-Emp'!B:E,4,0)</f>
        <v>Adición</v>
      </c>
      <c r="N2294" t="str">
        <f>VLOOKUP(D2294,'Jer-Tip-Emp'!B:F,5,0)</f>
        <v>Adición</v>
      </c>
      <c r="O2294" t="str">
        <f>VLOOKUP(D2294,'Jer-Tip-Emp'!B:G,6,0)</f>
        <v>Adición</v>
      </c>
    </row>
    <row r="2295" spans="1:15" ht="27.5" customHeight="1" x14ac:dyDescent="0.2">
      <c r="A2295">
        <v>2025</v>
      </c>
      <c r="B2295" t="s">
        <v>626</v>
      </c>
      <c r="C2295" t="s">
        <v>594</v>
      </c>
      <c r="D2295" s="19" t="s">
        <v>448</v>
      </c>
      <c r="E2295" s="18" t="s">
        <v>552</v>
      </c>
      <c r="F2295" s="18">
        <v>5</v>
      </c>
      <c r="G2295" s="18">
        <v>0</v>
      </c>
      <c r="H2295" s="18">
        <v>0</v>
      </c>
      <c r="I2295" s="20">
        <v>26315</v>
      </c>
      <c r="J2295" s="8">
        <f t="shared" si="105"/>
        <v>-26315</v>
      </c>
      <c r="K2295" s="10">
        <f t="shared" si="106"/>
        <v>0</v>
      </c>
      <c r="L2295" s="17">
        <f t="shared" si="107"/>
        <v>0</v>
      </c>
      <c r="M2295" t="str">
        <f>VLOOKUP(D2295,'Jer-Tip-Emp'!B:E,4,0)</f>
        <v>Arma tu plato</v>
      </c>
      <c r="N2295" t="str">
        <f>VLOOKUP(D2295,'Jer-Tip-Emp'!B:F,5,0)</f>
        <v>Personal</v>
      </c>
      <c r="O2295" t="str">
        <f>VLOOKUP(D2295,'Jer-Tip-Emp'!B:G,6,0)</f>
        <v>Caja</v>
      </c>
    </row>
    <row r="2296" spans="1:15" ht="27.5" customHeight="1" x14ac:dyDescent="0.2">
      <c r="A2296">
        <v>2025</v>
      </c>
      <c r="B2296" t="s">
        <v>626</v>
      </c>
      <c r="C2296" t="s">
        <v>594</v>
      </c>
      <c r="D2296" s="19" t="s">
        <v>470</v>
      </c>
      <c r="E2296" s="18" t="s">
        <v>550</v>
      </c>
      <c r="F2296" s="18">
        <v>4</v>
      </c>
      <c r="G2296" s="18">
        <v>0</v>
      </c>
      <c r="H2296" s="18">
        <v>0</v>
      </c>
      <c r="I2296" s="20">
        <v>12388</v>
      </c>
      <c r="J2296" s="8">
        <f t="shared" si="105"/>
        <v>-12388</v>
      </c>
      <c r="K2296" s="10">
        <f t="shared" si="106"/>
        <v>0</v>
      </c>
      <c r="L2296" s="17">
        <f t="shared" si="107"/>
        <v>0</v>
      </c>
      <c r="M2296" t="str">
        <f>VLOOKUP(D2296,'Jer-Tip-Emp'!B:E,4,0)</f>
        <v>Arma tu plato</v>
      </c>
      <c r="N2296" t="str">
        <f>VLOOKUP(D2296,'Jer-Tip-Emp'!B:F,5,0)</f>
        <v>Personal</v>
      </c>
      <c r="O2296" t="str">
        <f>VLOOKUP(D2296,'Jer-Tip-Emp'!B:G,6,0)</f>
        <v>Caja</v>
      </c>
    </row>
    <row r="2297" spans="1:15" ht="27.5" customHeight="1" x14ac:dyDescent="0.2">
      <c r="A2297">
        <v>2025</v>
      </c>
      <c r="B2297" t="s">
        <v>626</v>
      </c>
      <c r="C2297" t="s">
        <v>594</v>
      </c>
      <c r="D2297" s="19" t="s">
        <v>389</v>
      </c>
      <c r="E2297" s="18" t="s">
        <v>541</v>
      </c>
      <c r="F2297" s="18">
        <v>4</v>
      </c>
      <c r="G2297" s="18">
        <v>0</v>
      </c>
      <c r="H2297" s="18">
        <v>0</v>
      </c>
      <c r="I2297" s="20">
        <v>21868</v>
      </c>
      <c r="J2297" s="8">
        <f t="shared" si="105"/>
        <v>-21868</v>
      </c>
      <c r="K2297" s="10">
        <f t="shared" si="106"/>
        <v>0</v>
      </c>
      <c r="L2297" s="17">
        <f t="shared" si="107"/>
        <v>0</v>
      </c>
      <c r="M2297" t="str">
        <f>VLOOKUP(D2297,'Jer-Tip-Emp'!B:E,4,0)</f>
        <v>Arma tu plato</v>
      </c>
      <c r="N2297" t="str">
        <f>VLOOKUP(D2297,'Jer-Tip-Emp'!B:F,5,0)</f>
        <v>Personal</v>
      </c>
      <c r="O2297" t="str">
        <f>VLOOKUP(D2297,'Jer-Tip-Emp'!B:G,6,0)</f>
        <v>Caja</v>
      </c>
    </row>
    <row r="2298" spans="1:15" ht="27.5" hidden="1" customHeight="1" x14ac:dyDescent="0.2">
      <c r="A2298">
        <v>2025</v>
      </c>
      <c r="B2298" t="s">
        <v>626</v>
      </c>
      <c r="C2298" t="s">
        <v>594</v>
      </c>
      <c r="D2298" s="19" t="s">
        <v>236</v>
      </c>
      <c r="E2298" s="18" t="s">
        <v>623</v>
      </c>
      <c r="F2298" s="18">
        <v>4</v>
      </c>
      <c r="G2298" s="20">
        <v>8000</v>
      </c>
      <c r="H2298" s="18">
        <v>0</v>
      </c>
      <c r="I2298" s="18">
        <v>0</v>
      </c>
      <c r="J2298" s="8">
        <f t="shared" si="105"/>
        <v>8000</v>
      </c>
      <c r="K2298" s="10">
        <f t="shared" si="106"/>
        <v>1</v>
      </c>
      <c r="L2298" s="17">
        <f t="shared" si="107"/>
        <v>0</v>
      </c>
      <c r="M2298" t="str">
        <f>VLOOKUP(D2298,'Jer-Tip-Emp'!B:E,4,0)</f>
        <v>Otro</v>
      </c>
      <c r="N2298" t="str">
        <f>VLOOKUP(D2298,'Jer-Tip-Emp'!B:F,5,0)</f>
        <v>Otro</v>
      </c>
      <c r="O2298" t="str">
        <f>VLOOKUP(D2298,'Jer-Tip-Emp'!B:G,6,0)</f>
        <v>Otro</v>
      </c>
    </row>
    <row r="2299" spans="1:15" ht="27.5" customHeight="1" x14ac:dyDescent="0.2">
      <c r="A2299">
        <v>2025</v>
      </c>
      <c r="B2299" t="s">
        <v>626</v>
      </c>
      <c r="C2299" t="s">
        <v>594</v>
      </c>
      <c r="D2299" s="19" t="s">
        <v>290</v>
      </c>
      <c r="E2299" s="18" t="s">
        <v>86</v>
      </c>
      <c r="F2299" s="18">
        <v>4</v>
      </c>
      <c r="G2299" s="20">
        <v>402600</v>
      </c>
      <c r="H2299" s="20">
        <v>-117000</v>
      </c>
      <c r="I2299" s="20">
        <v>187120</v>
      </c>
      <c r="J2299" s="8">
        <f t="shared" si="105"/>
        <v>215480</v>
      </c>
      <c r="K2299" s="10">
        <f t="shared" si="106"/>
        <v>0.53522106308991557</v>
      </c>
      <c r="L2299" s="17">
        <f t="shared" si="107"/>
        <v>0.29061102831594637</v>
      </c>
      <c r="M2299" t="str">
        <f>VLOOKUP(D2299,'Jer-Tip-Emp'!B:E,4,0)</f>
        <v>Combos para compartir</v>
      </c>
      <c r="N2299" t="str">
        <f>VLOOKUP(D2299,'Jer-Tip-Emp'!B:F,5,0)</f>
        <v>No Personal</v>
      </c>
      <c r="O2299" t="str">
        <f>VLOOKUP(D2299,'Jer-Tip-Emp'!B:G,6,0)</f>
        <v>Combo</v>
      </c>
    </row>
    <row r="2300" spans="1:15" ht="27.5" hidden="1" customHeight="1" x14ac:dyDescent="0.2">
      <c r="A2300">
        <v>2025</v>
      </c>
      <c r="B2300" t="s">
        <v>626</v>
      </c>
      <c r="C2300" t="s">
        <v>594</v>
      </c>
      <c r="D2300" s="19" t="s">
        <v>457</v>
      </c>
      <c r="E2300" s="18" t="s">
        <v>602</v>
      </c>
      <c r="F2300" s="18">
        <v>3</v>
      </c>
      <c r="G2300" s="20">
        <v>20100</v>
      </c>
      <c r="H2300" s="18">
        <v>0</v>
      </c>
      <c r="I2300" s="18">
        <v>21</v>
      </c>
      <c r="J2300" s="8">
        <f t="shared" si="105"/>
        <v>20079</v>
      </c>
      <c r="K2300" s="10">
        <f t="shared" si="106"/>
        <v>0.99895522388059699</v>
      </c>
      <c r="L2300" s="17">
        <f t="shared" si="107"/>
        <v>0</v>
      </c>
      <c r="M2300" t="str">
        <f>VLOOKUP(D2300,'Jer-Tip-Emp'!B:E,4,0)</f>
        <v>Adición</v>
      </c>
      <c r="N2300" t="str">
        <f>VLOOKUP(D2300,'Jer-Tip-Emp'!B:F,5,0)</f>
        <v>Adición</v>
      </c>
      <c r="O2300" t="str">
        <f>VLOOKUP(D2300,'Jer-Tip-Emp'!B:G,6,0)</f>
        <v>Adición</v>
      </c>
    </row>
    <row r="2301" spans="1:15" ht="27.5" customHeight="1" x14ac:dyDescent="0.2">
      <c r="A2301">
        <v>2025</v>
      </c>
      <c r="B2301" t="s">
        <v>626</v>
      </c>
      <c r="C2301" t="s">
        <v>594</v>
      </c>
      <c r="D2301" s="19" t="s">
        <v>354</v>
      </c>
      <c r="E2301" s="18" t="s">
        <v>548</v>
      </c>
      <c r="F2301" s="18">
        <v>3</v>
      </c>
      <c r="G2301" s="18">
        <v>0</v>
      </c>
      <c r="H2301" s="18">
        <v>0</v>
      </c>
      <c r="I2301" s="20">
        <v>7902</v>
      </c>
      <c r="J2301" s="8">
        <f t="shared" si="105"/>
        <v>-7902</v>
      </c>
      <c r="K2301" s="10">
        <f t="shared" si="106"/>
        <v>0</v>
      </c>
      <c r="L2301" s="17">
        <f t="shared" si="107"/>
        <v>0</v>
      </c>
      <c r="M2301" t="str">
        <f>VLOOKUP(D2301,'Jer-Tip-Emp'!B:E,4,0)</f>
        <v>Arma tu plato</v>
      </c>
      <c r="N2301" t="str">
        <f>VLOOKUP(D2301,'Jer-Tip-Emp'!B:F,5,0)</f>
        <v>Personal</v>
      </c>
      <c r="O2301" t="str">
        <f>VLOOKUP(D2301,'Jer-Tip-Emp'!B:G,6,0)</f>
        <v>Caja</v>
      </c>
    </row>
    <row r="2302" spans="1:15" ht="27.5" hidden="1" customHeight="1" x14ac:dyDescent="0.2">
      <c r="A2302">
        <v>2025</v>
      </c>
      <c r="B2302" t="s">
        <v>626</v>
      </c>
      <c r="C2302" t="s">
        <v>594</v>
      </c>
      <c r="D2302" s="19" t="s">
        <v>367</v>
      </c>
      <c r="E2302" s="18" t="s">
        <v>566</v>
      </c>
      <c r="F2302" s="18">
        <v>3</v>
      </c>
      <c r="G2302" s="20">
        <v>3000</v>
      </c>
      <c r="H2302" s="18">
        <v>0</v>
      </c>
      <c r="I2302" s="18">
        <v>0</v>
      </c>
      <c r="J2302" s="8">
        <f t="shared" si="105"/>
        <v>3000</v>
      </c>
      <c r="K2302" s="10">
        <f t="shared" si="106"/>
        <v>1</v>
      </c>
      <c r="L2302" s="17">
        <f t="shared" si="107"/>
        <v>0</v>
      </c>
      <c r="M2302" t="str">
        <f>VLOOKUP(D2302,'Jer-Tip-Emp'!B:E,4,0)</f>
        <v>Adición</v>
      </c>
      <c r="N2302" t="str">
        <f>VLOOKUP(D2302,'Jer-Tip-Emp'!B:F,5,0)</f>
        <v>Adición</v>
      </c>
      <c r="O2302" t="str">
        <f>VLOOKUP(D2302,'Jer-Tip-Emp'!B:G,6,0)</f>
        <v>Adición</v>
      </c>
    </row>
    <row r="2303" spans="1:15" ht="27.5" hidden="1" customHeight="1" x14ac:dyDescent="0.2">
      <c r="A2303">
        <v>2025</v>
      </c>
      <c r="B2303" t="s">
        <v>626</v>
      </c>
      <c r="C2303" t="s">
        <v>594</v>
      </c>
      <c r="D2303" s="19" t="s">
        <v>236</v>
      </c>
      <c r="E2303" s="18" t="s">
        <v>624</v>
      </c>
      <c r="F2303" s="18">
        <v>3</v>
      </c>
      <c r="G2303" s="20">
        <v>4200</v>
      </c>
      <c r="H2303" s="18">
        <v>0</v>
      </c>
      <c r="I2303" s="18">
        <v>0</v>
      </c>
      <c r="J2303" s="8">
        <f t="shared" si="105"/>
        <v>4200</v>
      </c>
      <c r="K2303" s="10">
        <f t="shared" si="106"/>
        <v>1</v>
      </c>
      <c r="L2303" s="17">
        <f t="shared" si="107"/>
        <v>0</v>
      </c>
      <c r="M2303" t="str">
        <f>VLOOKUP(D2303,'Jer-Tip-Emp'!B:E,4,0)</f>
        <v>Otro</v>
      </c>
      <c r="N2303" t="str">
        <f>VLOOKUP(D2303,'Jer-Tip-Emp'!B:F,5,0)</f>
        <v>Otro</v>
      </c>
      <c r="O2303" t="str">
        <f>VLOOKUP(D2303,'Jer-Tip-Emp'!B:G,6,0)</f>
        <v>Otro</v>
      </c>
    </row>
    <row r="2304" spans="1:15" ht="27.5" customHeight="1" x14ac:dyDescent="0.2">
      <c r="A2304">
        <v>2025</v>
      </c>
      <c r="B2304" t="s">
        <v>626</v>
      </c>
      <c r="C2304" t="s">
        <v>594</v>
      </c>
      <c r="D2304" s="19" t="s">
        <v>393</v>
      </c>
      <c r="E2304" s="18" t="s">
        <v>549</v>
      </c>
      <c r="F2304" s="18">
        <v>3</v>
      </c>
      <c r="G2304" s="20">
        <v>6000</v>
      </c>
      <c r="H2304" s="18">
        <v>0</v>
      </c>
      <c r="I2304" s="20">
        <v>6105</v>
      </c>
      <c r="J2304" s="8">
        <f t="shared" si="105"/>
        <v>-105</v>
      </c>
      <c r="K2304" s="10">
        <f t="shared" si="106"/>
        <v>-1.7500000000000002E-2</v>
      </c>
      <c r="L2304" s="17">
        <f t="shared" si="107"/>
        <v>0</v>
      </c>
      <c r="M2304" t="str">
        <f>VLOOKUP(D2304,'Jer-Tip-Emp'!B:E,4,0)</f>
        <v>Arma tu plato</v>
      </c>
      <c r="N2304" t="str">
        <f>VLOOKUP(D2304,'Jer-Tip-Emp'!B:F,5,0)</f>
        <v>Personal</v>
      </c>
      <c r="O2304" t="str">
        <f>VLOOKUP(D2304,'Jer-Tip-Emp'!B:G,6,0)</f>
        <v>Caja</v>
      </c>
    </row>
    <row r="2305" spans="1:15" ht="27.5" hidden="1" customHeight="1" x14ac:dyDescent="0.2">
      <c r="A2305">
        <v>2025</v>
      </c>
      <c r="B2305" t="s">
        <v>626</v>
      </c>
      <c r="C2305" t="s">
        <v>594</v>
      </c>
      <c r="D2305" s="19" t="s">
        <v>327</v>
      </c>
      <c r="E2305" s="18" t="s">
        <v>44</v>
      </c>
      <c r="F2305" s="18">
        <v>2</v>
      </c>
      <c r="G2305" s="20">
        <v>9800</v>
      </c>
      <c r="H2305" s="18">
        <v>0</v>
      </c>
      <c r="I2305" s="20">
        <v>2190</v>
      </c>
      <c r="J2305" s="8">
        <f t="shared" ref="J2305:J2368" si="108">G2305-I2305</f>
        <v>7610</v>
      </c>
      <c r="K2305" s="10">
        <f t="shared" ref="K2305:K2368" si="109">IFERROR(J2305/G2305,0)</f>
        <v>0.77653061224489794</v>
      </c>
      <c r="L2305" s="17">
        <f t="shared" ref="L2305:L2368" si="110">IFERROR((H2305/G2305)*-1,0)</f>
        <v>0</v>
      </c>
      <c r="M2305" t="str">
        <f>VLOOKUP(D2305,'Jer-Tip-Emp'!B:E,4,0)</f>
        <v>Bebidas</v>
      </c>
      <c r="N2305" t="str">
        <f>VLOOKUP(D2305,'Jer-Tip-Emp'!B:F,5,0)</f>
        <v>Bebidas</v>
      </c>
      <c r="O2305" t="str">
        <f>VLOOKUP(D2305,'Jer-Tip-Emp'!B:G,6,0)</f>
        <v>Bebidas</v>
      </c>
    </row>
    <row r="2306" spans="1:15" ht="27.5" customHeight="1" x14ac:dyDescent="0.2">
      <c r="A2306">
        <v>2025</v>
      </c>
      <c r="B2306" t="s">
        <v>626</v>
      </c>
      <c r="C2306" t="s">
        <v>594</v>
      </c>
      <c r="D2306" s="19" t="s">
        <v>214</v>
      </c>
      <c r="E2306" s="18" t="s">
        <v>81</v>
      </c>
      <c r="F2306" s="18">
        <v>2</v>
      </c>
      <c r="G2306" s="20">
        <v>109300</v>
      </c>
      <c r="H2306" s="20">
        <v>-36500</v>
      </c>
      <c r="I2306" s="20">
        <v>47276</v>
      </c>
      <c r="J2306" s="8">
        <f t="shared" si="108"/>
        <v>62024</v>
      </c>
      <c r="K2306" s="10">
        <f t="shared" si="109"/>
        <v>0.56746569075937781</v>
      </c>
      <c r="L2306" s="17">
        <f t="shared" si="110"/>
        <v>0.33394327538883806</v>
      </c>
      <c r="M2306" t="str">
        <f>VLOOKUP(D2306,'Jer-Tip-Emp'!B:E,4,0)</f>
        <v>Combos para compartir</v>
      </c>
      <c r="N2306" t="str">
        <f>VLOOKUP(D2306,'Jer-Tip-Emp'!B:F,5,0)</f>
        <v>No Personal</v>
      </c>
      <c r="O2306" t="str">
        <f>VLOOKUP(D2306,'Jer-Tip-Emp'!B:G,6,0)</f>
        <v>Combo</v>
      </c>
    </row>
    <row r="2307" spans="1:15" ht="27.5" hidden="1" customHeight="1" x14ac:dyDescent="0.2">
      <c r="A2307">
        <v>2025</v>
      </c>
      <c r="B2307" t="s">
        <v>626</v>
      </c>
      <c r="C2307" t="s">
        <v>594</v>
      </c>
      <c r="D2307" s="19" t="s">
        <v>254</v>
      </c>
      <c r="E2307" s="18" t="s">
        <v>20</v>
      </c>
      <c r="F2307" s="18">
        <v>2</v>
      </c>
      <c r="G2307" s="20">
        <v>11800</v>
      </c>
      <c r="H2307" s="18">
        <v>0</v>
      </c>
      <c r="I2307" s="20">
        <v>6020</v>
      </c>
      <c r="J2307" s="8">
        <f t="shared" si="108"/>
        <v>5780</v>
      </c>
      <c r="K2307" s="10">
        <f t="shared" si="109"/>
        <v>0.48983050847457626</v>
      </c>
      <c r="L2307" s="17">
        <f t="shared" si="110"/>
        <v>0</v>
      </c>
      <c r="M2307" t="str">
        <f>VLOOKUP(D2307,'Jer-Tip-Emp'!B:E,4,0)</f>
        <v>Adición</v>
      </c>
      <c r="N2307" t="str">
        <f>VLOOKUP(D2307,'Jer-Tip-Emp'!B:F,5,0)</f>
        <v>Adición</v>
      </c>
      <c r="O2307" t="str">
        <f>VLOOKUP(D2307,'Jer-Tip-Emp'!B:G,6,0)</f>
        <v>Adición</v>
      </c>
    </row>
    <row r="2308" spans="1:15" ht="27.5" hidden="1" customHeight="1" x14ac:dyDescent="0.2">
      <c r="A2308">
        <v>2025</v>
      </c>
      <c r="B2308" t="s">
        <v>626</v>
      </c>
      <c r="C2308" t="s">
        <v>594</v>
      </c>
      <c r="D2308" s="19" t="s">
        <v>296</v>
      </c>
      <c r="E2308" s="18" t="s">
        <v>22</v>
      </c>
      <c r="F2308" s="18">
        <v>2</v>
      </c>
      <c r="G2308" s="20">
        <v>16400</v>
      </c>
      <c r="H2308" s="18">
        <v>0</v>
      </c>
      <c r="I2308" s="20">
        <v>1378</v>
      </c>
      <c r="J2308" s="8">
        <f t="shared" si="108"/>
        <v>15022</v>
      </c>
      <c r="K2308" s="10">
        <f t="shared" si="109"/>
        <v>0.9159756097560976</v>
      </c>
      <c r="L2308" s="17">
        <f t="shared" si="110"/>
        <v>0</v>
      </c>
      <c r="M2308" t="str">
        <f>VLOOKUP(D2308,'Jer-Tip-Emp'!B:E,4,0)</f>
        <v>Adición</v>
      </c>
      <c r="N2308" t="str">
        <f>VLOOKUP(D2308,'Jer-Tip-Emp'!B:F,5,0)</f>
        <v>Adición</v>
      </c>
      <c r="O2308" t="str">
        <f>VLOOKUP(D2308,'Jer-Tip-Emp'!B:G,6,0)</f>
        <v>Adición</v>
      </c>
    </row>
    <row r="2309" spans="1:15" ht="27.5" hidden="1" customHeight="1" x14ac:dyDescent="0.2">
      <c r="A2309">
        <v>2025</v>
      </c>
      <c r="B2309" t="s">
        <v>626</v>
      </c>
      <c r="C2309" t="s">
        <v>594</v>
      </c>
      <c r="D2309" s="19" t="s">
        <v>282</v>
      </c>
      <c r="E2309" s="18" t="s">
        <v>19</v>
      </c>
      <c r="F2309" s="18">
        <v>2</v>
      </c>
      <c r="G2309" s="20">
        <v>11800</v>
      </c>
      <c r="H2309" s="18">
        <v>0</v>
      </c>
      <c r="I2309" s="20">
        <v>8196</v>
      </c>
      <c r="J2309" s="8">
        <f t="shared" si="108"/>
        <v>3604</v>
      </c>
      <c r="K2309" s="10">
        <f t="shared" si="109"/>
        <v>0.30542372881355934</v>
      </c>
      <c r="L2309" s="17">
        <f t="shared" si="110"/>
        <v>0</v>
      </c>
      <c r="M2309" t="str">
        <f>VLOOKUP(D2309,'Jer-Tip-Emp'!B:E,4,0)</f>
        <v>Adición</v>
      </c>
      <c r="N2309" t="str">
        <f>VLOOKUP(D2309,'Jer-Tip-Emp'!B:F,5,0)</f>
        <v>Adición</v>
      </c>
      <c r="O2309" t="str">
        <f>VLOOKUP(D2309,'Jer-Tip-Emp'!B:G,6,0)</f>
        <v>Adición</v>
      </c>
    </row>
    <row r="2310" spans="1:15" ht="27.5" customHeight="1" x14ac:dyDescent="0.2">
      <c r="A2310">
        <v>2025</v>
      </c>
      <c r="B2310" t="s">
        <v>626</v>
      </c>
      <c r="C2310" t="s">
        <v>594</v>
      </c>
      <c r="D2310" s="19" t="s">
        <v>213</v>
      </c>
      <c r="E2310" s="18" t="s">
        <v>101</v>
      </c>
      <c r="F2310" s="18">
        <v>2</v>
      </c>
      <c r="G2310" s="20">
        <v>77800</v>
      </c>
      <c r="H2310" s="18">
        <v>0</v>
      </c>
      <c r="I2310" s="20">
        <v>65602</v>
      </c>
      <c r="J2310" s="8">
        <f t="shared" si="108"/>
        <v>12198</v>
      </c>
      <c r="K2310" s="10">
        <f t="shared" si="109"/>
        <v>0.1567866323907455</v>
      </c>
      <c r="L2310" s="17">
        <f t="shared" si="110"/>
        <v>0</v>
      </c>
      <c r="M2310" t="str">
        <f>VLOOKUP(D2310,'Jer-Tip-Emp'!B:E,4,0)</f>
        <v>Combos personales</v>
      </c>
      <c r="N2310" t="str">
        <f>VLOOKUP(D2310,'Jer-Tip-Emp'!B:F,5,0)</f>
        <v>Personal</v>
      </c>
      <c r="O2310" t="str">
        <f>VLOOKUP(D2310,'Jer-Tip-Emp'!B:G,6,0)</f>
        <v>Combo</v>
      </c>
    </row>
    <row r="2311" spans="1:15" ht="27.5" customHeight="1" x14ac:dyDescent="0.2">
      <c r="A2311">
        <v>2025</v>
      </c>
      <c r="B2311" t="s">
        <v>626</v>
      </c>
      <c r="C2311" t="s">
        <v>594</v>
      </c>
      <c r="D2311" s="19" t="s">
        <v>206</v>
      </c>
      <c r="E2311" s="18" t="s">
        <v>117</v>
      </c>
      <c r="F2311" s="18">
        <v>1</v>
      </c>
      <c r="G2311" s="20">
        <v>19900</v>
      </c>
      <c r="H2311" s="18">
        <v>0</v>
      </c>
      <c r="I2311" s="20">
        <v>7125</v>
      </c>
      <c r="J2311" s="8">
        <f t="shared" si="108"/>
        <v>12775</v>
      </c>
      <c r="K2311" s="10">
        <f t="shared" si="109"/>
        <v>0.64195979899497491</v>
      </c>
      <c r="L2311" s="17">
        <f t="shared" si="110"/>
        <v>0</v>
      </c>
      <c r="M2311" t="str">
        <f>VLOOKUP(D2311,'Jer-Tip-Emp'!B:E,4,0)</f>
        <v>Platos especiales</v>
      </c>
      <c r="N2311" t="str">
        <f>VLOOKUP(D2311,'Jer-Tip-Emp'!B:F,5,0)</f>
        <v>Personal</v>
      </c>
      <c r="O2311" t="str">
        <f>VLOOKUP(D2311,'Jer-Tip-Emp'!B:G,6,0)</f>
        <v>Platos especiales</v>
      </c>
    </row>
    <row r="2312" spans="1:15" ht="27.5" hidden="1" customHeight="1" x14ac:dyDescent="0.2">
      <c r="A2312">
        <v>2025</v>
      </c>
      <c r="B2312" t="s">
        <v>626</v>
      </c>
      <c r="C2312" t="s">
        <v>594</v>
      </c>
      <c r="D2312" s="19" t="s">
        <v>236</v>
      </c>
      <c r="E2312" s="18" t="s">
        <v>627</v>
      </c>
      <c r="F2312" s="18">
        <v>1</v>
      </c>
      <c r="G2312" s="20">
        <v>1400</v>
      </c>
      <c r="H2312" s="18">
        <v>0</v>
      </c>
      <c r="I2312" s="18">
        <v>0</v>
      </c>
      <c r="J2312" s="8">
        <f t="shared" si="108"/>
        <v>1400</v>
      </c>
      <c r="K2312" s="10">
        <f t="shared" si="109"/>
        <v>1</v>
      </c>
      <c r="L2312" s="17">
        <f t="shared" si="110"/>
        <v>0</v>
      </c>
      <c r="M2312" t="str">
        <f>VLOOKUP(D2312,'Jer-Tip-Emp'!B:E,4,0)</f>
        <v>Otro</v>
      </c>
      <c r="N2312" t="str">
        <f>VLOOKUP(D2312,'Jer-Tip-Emp'!B:F,5,0)</f>
        <v>Otro</v>
      </c>
      <c r="O2312" t="str">
        <f>VLOOKUP(D2312,'Jer-Tip-Emp'!B:G,6,0)</f>
        <v>Otro</v>
      </c>
    </row>
    <row r="2313" spans="1:15" ht="27.5" hidden="1" customHeight="1" x14ac:dyDescent="0.2">
      <c r="A2313">
        <v>2025</v>
      </c>
      <c r="B2313" t="s">
        <v>626</v>
      </c>
      <c r="C2313" t="s">
        <v>594</v>
      </c>
      <c r="D2313" s="19" t="s">
        <v>310</v>
      </c>
      <c r="E2313" s="18" t="s">
        <v>53</v>
      </c>
      <c r="F2313" s="18">
        <v>1</v>
      </c>
      <c r="G2313" s="20">
        <v>5500</v>
      </c>
      <c r="H2313" s="18">
        <v>0</v>
      </c>
      <c r="I2313" s="20">
        <v>1695</v>
      </c>
      <c r="J2313" s="8">
        <f t="shared" si="108"/>
        <v>3805</v>
      </c>
      <c r="K2313" s="10">
        <f t="shared" si="109"/>
        <v>0.69181818181818178</v>
      </c>
      <c r="L2313" s="17">
        <f t="shared" si="110"/>
        <v>0</v>
      </c>
      <c r="M2313" t="str">
        <f>VLOOKUP(D2313,'Jer-Tip-Emp'!B:E,4,0)</f>
        <v>Bebidas</v>
      </c>
      <c r="N2313" t="str">
        <f>VLOOKUP(D2313,'Jer-Tip-Emp'!B:F,5,0)</f>
        <v>Bebidas</v>
      </c>
      <c r="O2313" t="str">
        <f>VLOOKUP(D2313,'Jer-Tip-Emp'!B:G,6,0)</f>
        <v>Bebidas</v>
      </c>
    </row>
    <row r="2314" spans="1:15" ht="27.5" customHeight="1" x14ac:dyDescent="0.2">
      <c r="A2314">
        <v>2025</v>
      </c>
      <c r="B2314" t="s">
        <v>626</v>
      </c>
      <c r="C2314" t="s">
        <v>594</v>
      </c>
      <c r="D2314" s="19" t="s">
        <v>228</v>
      </c>
      <c r="E2314" s="18" t="s">
        <v>96</v>
      </c>
      <c r="F2314" s="18">
        <v>1</v>
      </c>
      <c r="G2314" s="20">
        <v>32900</v>
      </c>
      <c r="H2314" s="18">
        <v>0</v>
      </c>
      <c r="I2314" s="20">
        <v>10247</v>
      </c>
      <c r="J2314" s="8">
        <f t="shared" si="108"/>
        <v>22653</v>
      </c>
      <c r="K2314" s="10">
        <f t="shared" si="109"/>
        <v>0.68854103343465045</v>
      </c>
      <c r="L2314" s="17">
        <f t="shared" si="110"/>
        <v>0</v>
      </c>
      <c r="M2314" t="str">
        <f>VLOOKUP(D2314,'Jer-Tip-Emp'!B:E,4,0)</f>
        <v>Combos personales</v>
      </c>
      <c r="N2314" t="str">
        <f>VLOOKUP(D2314,'Jer-Tip-Emp'!B:F,5,0)</f>
        <v>Personal</v>
      </c>
      <c r="O2314" t="str">
        <f>VLOOKUP(D2314,'Jer-Tip-Emp'!B:G,6,0)</f>
        <v>Combo</v>
      </c>
    </row>
    <row r="2315" spans="1:15" ht="27.5" hidden="1" customHeight="1" x14ac:dyDescent="0.2">
      <c r="A2315">
        <v>2025</v>
      </c>
      <c r="B2315" t="s">
        <v>626</v>
      </c>
      <c r="C2315" t="s">
        <v>594</v>
      </c>
      <c r="D2315" s="19" t="s">
        <v>351</v>
      </c>
      <c r="E2315" s="18" t="s">
        <v>55</v>
      </c>
      <c r="F2315" s="18">
        <v>1</v>
      </c>
      <c r="G2315" s="20">
        <v>5500</v>
      </c>
      <c r="H2315" s="18">
        <v>0</v>
      </c>
      <c r="I2315" s="20">
        <v>1448</v>
      </c>
      <c r="J2315" s="8">
        <f t="shared" si="108"/>
        <v>4052</v>
      </c>
      <c r="K2315" s="10">
        <f t="shared" si="109"/>
        <v>0.73672727272727268</v>
      </c>
      <c r="L2315" s="17">
        <f t="shared" si="110"/>
        <v>0</v>
      </c>
      <c r="M2315" t="str">
        <f>VLOOKUP(D2315,'Jer-Tip-Emp'!B:E,4,0)</f>
        <v>Bebidas</v>
      </c>
      <c r="N2315" t="str">
        <f>VLOOKUP(D2315,'Jer-Tip-Emp'!B:F,5,0)</f>
        <v>Bebidas</v>
      </c>
      <c r="O2315" t="str">
        <f>VLOOKUP(D2315,'Jer-Tip-Emp'!B:G,6,0)</f>
        <v>Bebidas</v>
      </c>
    </row>
    <row r="2316" spans="1:15" ht="27.5" hidden="1" customHeight="1" x14ac:dyDescent="0.2">
      <c r="A2316">
        <v>2025</v>
      </c>
      <c r="B2316" t="s">
        <v>626</v>
      </c>
      <c r="C2316" t="s">
        <v>594</v>
      </c>
      <c r="D2316" s="19" t="s">
        <v>193</v>
      </c>
      <c r="E2316" s="18" t="s">
        <v>18</v>
      </c>
      <c r="F2316" s="18">
        <v>1</v>
      </c>
      <c r="G2316" s="20">
        <v>8900</v>
      </c>
      <c r="H2316" s="18">
        <v>0</v>
      </c>
      <c r="I2316" s="20">
        <v>3108</v>
      </c>
      <c r="J2316" s="8">
        <f t="shared" si="108"/>
        <v>5792</v>
      </c>
      <c r="K2316" s="10">
        <f t="shared" si="109"/>
        <v>0.65078651685393263</v>
      </c>
      <c r="L2316" s="17">
        <f t="shared" si="110"/>
        <v>0</v>
      </c>
      <c r="M2316" t="str">
        <f>VLOOKUP(D2316,'Jer-Tip-Emp'!B:E,4,0)</f>
        <v>Adición</v>
      </c>
      <c r="N2316" t="str">
        <f>VLOOKUP(D2316,'Jer-Tip-Emp'!B:F,5,0)</f>
        <v>Adición</v>
      </c>
      <c r="O2316" t="str">
        <f>VLOOKUP(D2316,'Jer-Tip-Emp'!B:G,6,0)</f>
        <v>Adición</v>
      </c>
    </row>
    <row r="2317" spans="1:15" ht="27.5" customHeight="1" x14ac:dyDescent="0.2">
      <c r="A2317">
        <v>2025</v>
      </c>
      <c r="B2317" t="s">
        <v>628</v>
      </c>
      <c r="C2317" t="s">
        <v>609</v>
      </c>
      <c r="D2317" s="19" t="s">
        <v>207</v>
      </c>
      <c r="E2317" s="18" t="s">
        <v>92</v>
      </c>
      <c r="F2317" s="18">
        <v>218</v>
      </c>
      <c r="G2317" s="20">
        <v>4761631</v>
      </c>
      <c r="H2317" s="20">
        <v>-12569</v>
      </c>
      <c r="I2317" s="20">
        <v>2098686</v>
      </c>
      <c r="J2317" s="8">
        <f t="shared" si="108"/>
        <v>2662945</v>
      </c>
      <c r="K2317" s="10">
        <f t="shared" si="109"/>
        <v>0.55925060131706972</v>
      </c>
      <c r="L2317" s="17">
        <f t="shared" si="110"/>
        <v>2.6396417530043801E-3</v>
      </c>
      <c r="M2317" t="str">
        <f>VLOOKUP(D2317,'Jer-Tip-Emp'!B:E,4,0)</f>
        <v>Combos personales</v>
      </c>
      <c r="N2317" t="str">
        <f>VLOOKUP(D2317,'Jer-Tip-Emp'!B:F,5,0)</f>
        <v>Personal</v>
      </c>
      <c r="O2317" t="str">
        <f>VLOOKUP(D2317,'Jer-Tip-Emp'!B:G,6,0)</f>
        <v>Combo</v>
      </c>
    </row>
    <row r="2318" spans="1:15" ht="27.5" customHeight="1" x14ac:dyDescent="0.2">
      <c r="A2318">
        <v>2025</v>
      </c>
      <c r="B2318" t="s">
        <v>628</v>
      </c>
      <c r="C2318" t="s">
        <v>609</v>
      </c>
      <c r="D2318" s="19" t="s">
        <v>273</v>
      </c>
      <c r="E2318" s="18" t="s">
        <v>23</v>
      </c>
      <c r="F2318" s="18">
        <v>180</v>
      </c>
      <c r="G2318" s="20">
        <v>4375039</v>
      </c>
      <c r="H2318" s="20">
        <v>-106961</v>
      </c>
      <c r="I2318" s="18">
        <v>0</v>
      </c>
      <c r="J2318" s="8">
        <f t="shared" si="108"/>
        <v>4375039</v>
      </c>
      <c r="K2318" s="10">
        <f t="shared" si="109"/>
        <v>1</v>
      </c>
      <c r="L2318" s="17">
        <f t="shared" si="110"/>
        <v>2.4448010634876626E-2</v>
      </c>
      <c r="M2318" t="str">
        <f>VLOOKUP(D2318,'Jer-Tip-Emp'!B:E,4,0)</f>
        <v>Arma tu plato</v>
      </c>
      <c r="N2318" t="str">
        <f>VLOOKUP(D2318,'Jer-Tip-Emp'!B:F,5,0)</f>
        <v>Personal</v>
      </c>
      <c r="O2318" t="str">
        <f>VLOOKUP(D2318,'Jer-Tip-Emp'!B:G,6,0)</f>
        <v>Caja</v>
      </c>
    </row>
    <row r="2319" spans="1:15" ht="27.5" customHeight="1" x14ac:dyDescent="0.2">
      <c r="A2319">
        <v>2025</v>
      </c>
      <c r="B2319" t="s">
        <v>628</v>
      </c>
      <c r="C2319" t="s">
        <v>609</v>
      </c>
      <c r="D2319" s="19" t="s">
        <v>294</v>
      </c>
      <c r="E2319" s="18" t="s">
        <v>108</v>
      </c>
      <c r="F2319" s="18">
        <v>161</v>
      </c>
      <c r="G2319" s="20">
        <v>3038100</v>
      </c>
      <c r="H2319" s="20">
        <v>-4800</v>
      </c>
      <c r="I2319" s="20">
        <v>1317463</v>
      </c>
      <c r="J2319" s="8">
        <f t="shared" si="108"/>
        <v>1720637</v>
      </c>
      <c r="K2319" s="10">
        <f t="shared" si="109"/>
        <v>0.56635298377275267</v>
      </c>
      <c r="L2319" s="17">
        <f t="shared" si="110"/>
        <v>1.5799348276883578E-3</v>
      </c>
      <c r="M2319" t="str">
        <f>VLOOKUP(D2319,'Jer-Tip-Emp'!B:E,4,0)</f>
        <v>Mong Express</v>
      </c>
      <c r="N2319" t="str">
        <f>VLOOKUP(D2319,'Jer-Tip-Emp'!B:F,5,0)</f>
        <v>Personal</v>
      </c>
      <c r="O2319" t="str">
        <f>VLOOKUP(D2319,'Jer-Tip-Emp'!B:G,6,0)</f>
        <v>Caja</v>
      </c>
    </row>
    <row r="2320" spans="1:15" ht="27.5" customHeight="1" x14ac:dyDescent="0.2">
      <c r="A2320">
        <v>2025</v>
      </c>
      <c r="B2320" t="s">
        <v>628</v>
      </c>
      <c r="C2320" t="s">
        <v>609</v>
      </c>
      <c r="D2320" s="19" t="s">
        <v>313</v>
      </c>
      <c r="E2320" s="18" t="s">
        <v>540</v>
      </c>
      <c r="F2320" s="18">
        <v>136</v>
      </c>
      <c r="G2320" s="18">
        <v>0</v>
      </c>
      <c r="H2320" s="18">
        <v>0</v>
      </c>
      <c r="I2320" s="20">
        <v>746776</v>
      </c>
      <c r="J2320" s="8">
        <f t="shared" si="108"/>
        <v>-746776</v>
      </c>
      <c r="K2320" s="10">
        <f t="shared" si="109"/>
        <v>0</v>
      </c>
      <c r="L2320" s="17">
        <f t="shared" si="110"/>
        <v>0</v>
      </c>
      <c r="M2320" t="str">
        <f>VLOOKUP(D2320,'Jer-Tip-Emp'!B:E,4,0)</f>
        <v>Arma tu plato</v>
      </c>
      <c r="N2320" t="str">
        <f>VLOOKUP(D2320,'Jer-Tip-Emp'!B:F,5,0)</f>
        <v>Personal</v>
      </c>
      <c r="O2320" t="str">
        <f>VLOOKUP(D2320,'Jer-Tip-Emp'!B:G,6,0)</f>
        <v>Caja</v>
      </c>
    </row>
    <row r="2321" spans="1:15" ht="27.5" customHeight="1" x14ac:dyDescent="0.2">
      <c r="A2321">
        <v>2025</v>
      </c>
      <c r="B2321" t="s">
        <v>628</v>
      </c>
      <c r="C2321" t="s">
        <v>609</v>
      </c>
      <c r="D2321" s="19" t="s">
        <v>196</v>
      </c>
      <c r="E2321" s="18" t="s">
        <v>159</v>
      </c>
      <c r="F2321" s="18">
        <v>115</v>
      </c>
      <c r="G2321" s="20">
        <v>2746200</v>
      </c>
      <c r="H2321" s="20">
        <v>-2300</v>
      </c>
      <c r="I2321" s="20">
        <v>1092615</v>
      </c>
      <c r="J2321" s="8">
        <f t="shared" si="108"/>
        <v>1653585</v>
      </c>
      <c r="K2321" s="10">
        <f t="shared" si="109"/>
        <v>0.60213567839195981</v>
      </c>
      <c r="L2321" s="17">
        <f t="shared" si="110"/>
        <v>8.375209380234506E-4</v>
      </c>
      <c r="M2321" t="str">
        <f>VLOOKUP(D2321,'Jer-Tip-Emp'!B:E,4,0)</f>
        <v>Combos personales</v>
      </c>
      <c r="N2321" t="str">
        <f>VLOOKUP(D2321,'Jer-Tip-Emp'!B:F,5,0)</f>
        <v>Personal</v>
      </c>
      <c r="O2321" t="str">
        <f>VLOOKUP(D2321,'Jer-Tip-Emp'!B:G,6,0)</f>
        <v>Combo</v>
      </c>
    </row>
    <row r="2322" spans="1:15" ht="27.5" customHeight="1" x14ac:dyDescent="0.2">
      <c r="A2322">
        <v>2025</v>
      </c>
      <c r="B2322" t="s">
        <v>628</v>
      </c>
      <c r="C2322" t="s">
        <v>609</v>
      </c>
      <c r="D2322" s="19" t="s">
        <v>186</v>
      </c>
      <c r="E2322" s="18" t="s">
        <v>95</v>
      </c>
      <c r="F2322" s="18">
        <v>96</v>
      </c>
      <c r="G2322" s="20">
        <v>2582400</v>
      </c>
      <c r="H2322" s="18">
        <v>0</v>
      </c>
      <c r="I2322" s="20">
        <v>918720</v>
      </c>
      <c r="J2322" s="8">
        <f t="shared" si="108"/>
        <v>1663680</v>
      </c>
      <c r="K2322" s="10">
        <f t="shared" si="109"/>
        <v>0.64423791821561338</v>
      </c>
      <c r="L2322" s="17">
        <f t="shared" si="110"/>
        <v>0</v>
      </c>
      <c r="M2322" t="str">
        <f>VLOOKUP(D2322,'Jer-Tip-Emp'!B:E,4,0)</f>
        <v>Combos personales</v>
      </c>
      <c r="N2322" t="str">
        <f>VLOOKUP(D2322,'Jer-Tip-Emp'!B:F,5,0)</f>
        <v>Personal</v>
      </c>
      <c r="O2322" t="str">
        <f>VLOOKUP(D2322,'Jer-Tip-Emp'!B:G,6,0)</f>
        <v>Combo</v>
      </c>
    </row>
    <row r="2323" spans="1:15" ht="27.5" customHeight="1" x14ac:dyDescent="0.2">
      <c r="A2323">
        <v>2025</v>
      </c>
      <c r="B2323" t="s">
        <v>628</v>
      </c>
      <c r="C2323" t="s">
        <v>609</v>
      </c>
      <c r="D2323" s="19" t="s">
        <v>245</v>
      </c>
      <c r="E2323" s="18" t="s">
        <v>167</v>
      </c>
      <c r="F2323" s="18">
        <v>93</v>
      </c>
      <c r="G2323" s="20">
        <v>1716900</v>
      </c>
      <c r="H2323" s="20">
        <v>-40800</v>
      </c>
      <c r="I2323" s="18">
        <v>0</v>
      </c>
      <c r="J2323" s="8">
        <f t="shared" si="108"/>
        <v>1716900</v>
      </c>
      <c r="K2323" s="10">
        <f t="shared" si="109"/>
        <v>1</v>
      </c>
      <c r="L2323" s="17">
        <f t="shared" si="110"/>
        <v>2.3763760265594968E-2</v>
      </c>
      <c r="M2323" t="str">
        <f>VLOOKUP(D2323,'Jer-Tip-Emp'!B:E,4,0)</f>
        <v>Mong Express</v>
      </c>
      <c r="N2323" t="str">
        <f>VLOOKUP(D2323,'Jer-Tip-Emp'!B:F,5,0)</f>
        <v>Personal</v>
      </c>
      <c r="O2323" t="str">
        <f>VLOOKUP(D2323,'Jer-Tip-Emp'!B:G,6,0)</f>
        <v>Caja</v>
      </c>
    </row>
    <row r="2324" spans="1:15" ht="27.5" hidden="1" customHeight="1" x14ac:dyDescent="0.2">
      <c r="A2324">
        <v>2025</v>
      </c>
      <c r="B2324" t="s">
        <v>628</v>
      </c>
      <c r="C2324" t="s">
        <v>609</v>
      </c>
      <c r="D2324" s="19" t="s">
        <v>284</v>
      </c>
      <c r="E2324" s="18" t="s">
        <v>106</v>
      </c>
      <c r="F2324" s="18">
        <v>88</v>
      </c>
      <c r="G2324" s="20">
        <v>769816</v>
      </c>
      <c r="H2324" s="20">
        <v>-13384</v>
      </c>
      <c r="I2324" s="20">
        <v>276232</v>
      </c>
      <c r="J2324" s="8">
        <f t="shared" si="108"/>
        <v>493584</v>
      </c>
      <c r="K2324" s="10">
        <f t="shared" si="109"/>
        <v>0.64117139680131352</v>
      </c>
      <c r="L2324" s="17">
        <f t="shared" si="110"/>
        <v>1.738597275193033E-2</v>
      </c>
      <c r="M2324" t="str">
        <f>VLOOKUP(D2324,'Jer-Tip-Emp'!B:E,4,0)</f>
        <v>Entradas</v>
      </c>
      <c r="N2324" t="str">
        <f>VLOOKUP(D2324,'Jer-Tip-Emp'!B:F,5,0)</f>
        <v>Otro</v>
      </c>
      <c r="O2324" t="str">
        <f>VLOOKUP(D2324,'Jer-Tip-Emp'!B:G,6,0)</f>
        <v>Otro</v>
      </c>
    </row>
    <row r="2325" spans="1:15" ht="27.5" customHeight="1" x14ac:dyDescent="0.2">
      <c r="A2325">
        <v>2025</v>
      </c>
      <c r="B2325" t="s">
        <v>628</v>
      </c>
      <c r="C2325" t="s">
        <v>609</v>
      </c>
      <c r="D2325" s="19" t="s">
        <v>212</v>
      </c>
      <c r="E2325" s="18" t="s">
        <v>160</v>
      </c>
      <c r="F2325" s="18">
        <v>81</v>
      </c>
      <c r="G2325" s="20">
        <v>2178900</v>
      </c>
      <c r="H2325" s="18">
        <v>0</v>
      </c>
      <c r="I2325" s="20">
        <v>911493</v>
      </c>
      <c r="J2325" s="8">
        <f t="shared" si="108"/>
        <v>1267407</v>
      </c>
      <c r="K2325" s="10">
        <f t="shared" si="109"/>
        <v>0.58167286245353156</v>
      </c>
      <c r="L2325" s="17">
        <f t="shared" si="110"/>
        <v>0</v>
      </c>
      <c r="M2325" t="str">
        <f>VLOOKUP(D2325,'Jer-Tip-Emp'!B:E,4,0)</f>
        <v>Combos personales</v>
      </c>
      <c r="N2325" t="str">
        <f>VLOOKUP(D2325,'Jer-Tip-Emp'!B:F,5,0)</f>
        <v>Personal</v>
      </c>
      <c r="O2325" t="str">
        <f>VLOOKUP(D2325,'Jer-Tip-Emp'!B:G,6,0)</f>
        <v>Combo</v>
      </c>
    </row>
    <row r="2326" spans="1:15" ht="27.5" customHeight="1" x14ac:dyDescent="0.2">
      <c r="A2326">
        <v>2025</v>
      </c>
      <c r="B2326" t="s">
        <v>628</v>
      </c>
      <c r="C2326" t="s">
        <v>609</v>
      </c>
      <c r="D2326" s="19" t="s">
        <v>393</v>
      </c>
      <c r="E2326" s="18" t="s">
        <v>549</v>
      </c>
      <c r="F2326" s="18">
        <v>74</v>
      </c>
      <c r="G2326" s="20">
        <v>145529</v>
      </c>
      <c r="H2326" s="20">
        <v>-2471</v>
      </c>
      <c r="I2326" s="20">
        <v>150590</v>
      </c>
      <c r="J2326" s="8">
        <f t="shared" si="108"/>
        <v>-5061</v>
      </c>
      <c r="K2326" s="10">
        <f t="shared" si="109"/>
        <v>-3.4776573741316166E-2</v>
      </c>
      <c r="L2326" s="17">
        <f t="shared" si="110"/>
        <v>1.6979433652399178E-2</v>
      </c>
      <c r="M2326" t="str">
        <f>VLOOKUP(D2326,'Jer-Tip-Emp'!B:E,4,0)</f>
        <v>Arma tu plato</v>
      </c>
      <c r="N2326" t="str">
        <f>VLOOKUP(D2326,'Jer-Tip-Emp'!B:F,5,0)</f>
        <v>Personal</v>
      </c>
      <c r="O2326" t="str">
        <f>VLOOKUP(D2326,'Jer-Tip-Emp'!B:G,6,0)</f>
        <v>Caja</v>
      </c>
    </row>
    <row r="2327" spans="1:15" ht="27.5" customHeight="1" x14ac:dyDescent="0.2">
      <c r="A2327">
        <v>2025</v>
      </c>
      <c r="B2327" t="s">
        <v>628</v>
      </c>
      <c r="C2327" t="s">
        <v>609</v>
      </c>
      <c r="D2327" s="19" t="s">
        <v>322</v>
      </c>
      <c r="E2327" s="18" t="s">
        <v>545</v>
      </c>
      <c r="F2327" s="18">
        <v>69</v>
      </c>
      <c r="G2327" s="20">
        <v>137328</v>
      </c>
      <c r="H2327" s="18">
        <v>-672</v>
      </c>
      <c r="I2327" s="20">
        <v>214452</v>
      </c>
      <c r="J2327" s="8">
        <f t="shared" si="108"/>
        <v>-77124</v>
      </c>
      <c r="K2327" s="10">
        <f t="shared" si="109"/>
        <v>-0.56160433414889899</v>
      </c>
      <c r="L2327" s="17">
        <f t="shared" si="110"/>
        <v>4.8933939182104159E-3</v>
      </c>
      <c r="M2327" t="str">
        <f>VLOOKUP(D2327,'Jer-Tip-Emp'!B:E,4,0)</f>
        <v>Arma tu plato</v>
      </c>
      <c r="N2327" t="str">
        <f>VLOOKUP(D2327,'Jer-Tip-Emp'!B:F,5,0)</f>
        <v>Personal</v>
      </c>
      <c r="O2327" t="str">
        <f>VLOOKUP(D2327,'Jer-Tip-Emp'!B:G,6,0)</f>
        <v>Caja</v>
      </c>
    </row>
    <row r="2328" spans="1:15" ht="27.5" customHeight="1" x14ac:dyDescent="0.2">
      <c r="A2328">
        <v>2025</v>
      </c>
      <c r="B2328" t="s">
        <v>628</v>
      </c>
      <c r="C2328" t="s">
        <v>609</v>
      </c>
      <c r="D2328" s="19" t="s">
        <v>389</v>
      </c>
      <c r="E2328" s="18" t="s">
        <v>541</v>
      </c>
      <c r="F2328" s="18">
        <v>60</v>
      </c>
      <c r="G2328" s="18">
        <v>0</v>
      </c>
      <c r="H2328" s="18">
        <v>0</v>
      </c>
      <c r="I2328" s="20">
        <v>328020</v>
      </c>
      <c r="J2328" s="8">
        <f t="shared" si="108"/>
        <v>-328020</v>
      </c>
      <c r="K2328" s="10">
        <f t="shared" si="109"/>
        <v>0</v>
      </c>
      <c r="L2328" s="17">
        <f t="shared" si="110"/>
        <v>0</v>
      </c>
      <c r="M2328" t="str">
        <f>VLOOKUP(D2328,'Jer-Tip-Emp'!B:E,4,0)</f>
        <v>Arma tu plato</v>
      </c>
      <c r="N2328" t="str">
        <f>VLOOKUP(D2328,'Jer-Tip-Emp'!B:F,5,0)</f>
        <v>Personal</v>
      </c>
      <c r="O2328" t="str">
        <f>VLOOKUP(D2328,'Jer-Tip-Emp'!B:G,6,0)</f>
        <v>Caja</v>
      </c>
    </row>
    <row r="2329" spans="1:15" ht="27.5" customHeight="1" x14ac:dyDescent="0.2">
      <c r="A2329">
        <v>2025</v>
      </c>
      <c r="B2329" t="s">
        <v>628</v>
      </c>
      <c r="C2329" t="s">
        <v>609</v>
      </c>
      <c r="D2329" s="19" t="s">
        <v>333</v>
      </c>
      <c r="E2329" s="18" t="s">
        <v>547</v>
      </c>
      <c r="F2329" s="18">
        <v>55</v>
      </c>
      <c r="G2329" s="18">
        <v>0</v>
      </c>
      <c r="H2329" s="18">
        <v>0</v>
      </c>
      <c r="I2329" s="20">
        <v>182710</v>
      </c>
      <c r="J2329" s="8">
        <f t="shared" si="108"/>
        <v>-182710</v>
      </c>
      <c r="K2329" s="10">
        <f t="shared" si="109"/>
        <v>0</v>
      </c>
      <c r="L2329" s="17">
        <f t="shared" si="110"/>
        <v>0</v>
      </c>
      <c r="M2329" t="str">
        <f>VLOOKUP(D2329,'Jer-Tip-Emp'!B:E,4,0)</f>
        <v>Arma tu plato</v>
      </c>
      <c r="N2329" t="str">
        <f>VLOOKUP(D2329,'Jer-Tip-Emp'!B:F,5,0)</f>
        <v>Personal</v>
      </c>
      <c r="O2329" t="str">
        <f>VLOOKUP(D2329,'Jer-Tip-Emp'!B:G,6,0)</f>
        <v>Caja</v>
      </c>
    </row>
    <row r="2330" spans="1:15" ht="27.5" hidden="1" customHeight="1" x14ac:dyDescent="0.2">
      <c r="A2330">
        <v>2025</v>
      </c>
      <c r="B2330" t="s">
        <v>628</v>
      </c>
      <c r="C2330" t="s">
        <v>609</v>
      </c>
      <c r="D2330" s="19" t="s">
        <v>310</v>
      </c>
      <c r="E2330" s="18" t="s">
        <v>53</v>
      </c>
      <c r="F2330" s="18">
        <v>49</v>
      </c>
      <c r="G2330" s="20">
        <v>264000</v>
      </c>
      <c r="H2330" s="20">
        <v>-5500</v>
      </c>
      <c r="I2330" s="20">
        <v>83055</v>
      </c>
      <c r="J2330" s="8">
        <f t="shared" si="108"/>
        <v>180945</v>
      </c>
      <c r="K2330" s="10">
        <f t="shared" si="109"/>
        <v>0.6853977272727273</v>
      </c>
      <c r="L2330" s="17">
        <f t="shared" si="110"/>
        <v>2.0833333333333332E-2</v>
      </c>
      <c r="M2330" t="str">
        <f>VLOOKUP(D2330,'Jer-Tip-Emp'!B:E,4,0)</f>
        <v>Bebidas</v>
      </c>
      <c r="N2330" t="str">
        <f>VLOOKUP(D2330,'Jer-Tip-Emp'!B:F,5,0)</f>
        <v>Bebidas</v>
      </c>
      <c r="O2330" t="str">
        <f>VLOOKUP(D2330,'Jer-Tip-Emp'!B:G,6,0)</f>
        <v>Bebidas</v>
      </c>
    </row>
    <row r="2331" spans="1:15" ht="27.5" customHeight="1" x14ac:dyDescent="0.2">
      <c r="A2331">
        <v>2025</v>
      </c>
      <c r="B2331" t="s">
        <v>628</v>
      </c>
      <c r="C2331" t="s">
        <v>609</v>
      </c>
      <c r="D2331" s="19" t="s">
        <v>206</v>
      </c>
      <c r="E2331" s="18" t="s">
        <v>117</v>
      </c>
      <c r="F2331" s="18">
        <v>46</v>
      </c>
      <c r="G2331" s="20">
        <v>707000</v>
      </c>
      <c r="H2331" s="20">
        <v>-70400</v>
      </c>
      <c r="I2331" s="20">
        <v>327750</v>
      </c>
      <c r="J2331" s="8">
        <f t="shared" si="108"/>
        <v>379250</v>
      </c>
      <c r="K2331" s="10">
        <f t="shared" si="109"/>
        <v>0.53642149929278637</v>
      </c>
      <c r="L2331" s="17">
        <f t="shared" si="110"/>
        <v>9.9575671852899575E-2</v>
      </c>
      <c r="M2331" t="str">
        <f>VLOOKUP(D2331,'Jer-Tip-Emp'!B:E,4,0)</f>
        <v>Platos especiales</v>
      </c>
      <c r="N2331" t="str">
        <f>VLOOKUP(D2331,'Jer-Tip-Emp'!B:F,5,0)</f>
        <v>Personal</v>
      </c>
      <c r="O2331" t="str">
        <f>VLOOKUP(D2331,'Jer-Tip-Emp'!B:G,6,0)</f>
        <v>Platos especiales</v>
      </c>
    </row>
    <row r="2332" spans="1:15" ht="27.5" customHeight="1" x14ac:dyDescent="0.2">
      <c r="A2332">
        <v>2025</v>
      </c>
      <c r="B2332" t="s">
        <v>628</v>
      </c>
      <c r="C2332" t="s">
        <v>609</v>
      </c>
      <c r="D2332" s="19" t="s">
        <v>228</v>
      </c>
      <c r="E2332" s="18" t="s">
        <v>96</v>
      </c>
      <c r="F2332" s="18">
        <v>44</v>
      </c>
      <c r="G2332" s="20">
        <v>1271600</v>
      </c>
      <c r="H2332" s="18">
        <v>0</v>
      </c>
      <c r="I2332" s="20">
        <v>450868</v>
      </c>
      <c r="J2332" s="8">
        <f t="shared" si="108"/>
        <v>820732</v>
      </c>
      <c r="K2332" s="10">
        <f t="shared" si="109"/>
        <v>0.64543252595155709</v>
      </c>
      <c r="L2332" s="17">
        <f t="shared" si="110"/>
        <v>0</v>
      </c>
      <c r="M2332" t="str">
        <f>VLOOKUP(D2332,'Jer-Tip-Emp'!B:E,4,0)</f>
        <v>Combos personales</v>
      </c>
      <c r="N2332" t="str">
        <f>VLOOKUP(D2332,'Jer-Tip-Emp'!B:F,5,0)</f>
        <v>Personal</v>
      </c>
      <c r="O2332" t="str">
        <f>VLOOKUP(D2332,'Jer-Tip-Emp'!B:G,6,0)</f>
        <v>Combo</v>
      </c>
    </row>
    <row r="2333" spans="1:15" ht="27.5" hidden="1" customHeight="1" x14ac:dyDescent="0.2">
      <c r="A2333">
        <v>2025</v>
      </c>
      <c r="B2333" t="s">
        <v>628</v>
      </c>
      <c r="C2333" t="s">
        <v>609</v>
      </c>
      <c r="D2333" s="19" t="s">
        <v>309</v>
      </c>
      <c r="E2333" s="18" t="s">
        <v>48</v>
      </c>
      <c r="F2333" s="18">
        <v>43</v>
      </c>
      <c r="G2333" s="20">
        <v>150500</v>
      </c>
      <c r="H2333" s="18">
        <v>0</v>
      </c>
      <c r="I2333" s="20">
        <v>50009</v>
      </c>
      <c r="J2333" s="8">
        <f t="shared" si="108"/>
        <v>100491</v>
      </c>
      <c r="K2333" s="10">
        <f t="shared" si="109"/>
        <v>0.6677142857142857</v>
      </c>
      <c r="L2333" s="17">
        <f t="shared" si="110"/>
        <v>0</v>
      </c>
      <c r="M2333" t="str">
        <f>VLOOKUP(D2333,'Jer-Tip-Emp'!B:E,4,0)</f>
        <v>Bebidas</v>
      </c>
      <c r="N2333" t="str">
        <f>VLOOKUP(D2333,'Jer-Tip-Emp'!B:F,5,0)</f>
        <v>Bebidas</v>
      </c>
      <c r="O2333" t="str">
        <f>VLOOKUP(D2333,'Jer-Tip-Emp'!B:G,6,0)</f>
        <v>Bebidas</v>
      </c>
    </row>
    <row r="2334" spans="1:15" ht="27.5" customHeight="1" x14ac:dyDescent="0.2">
      <c r="A2334">
        <v>2025</v>
      </c>
      <c r="B2334" t="s">
        <v>628</v>
      </c>
      <c r="C2334" t="s">
        <v>609</v>
      </c>
      <c r="D2334" s="19" t="s">
        <v>376</v>
      </c>
      <c r="E2334" s="18" t="s">
        <v>543</v>
      </c>
      <c r="F2334" s="18">
        <v>41</v>
      </c>
      <c r="G2334" s="18">
        <v>0</v>
      </c>
      <c r="H2334" s="18">
        <v>0</v>
      </c>
      <c r="I2334" s="20">
        <v>52562</v>
      </c>
      <c r="J2334" s="8">
        <f t="shared" si="108"/>
        <v>-52562</v>
      </c>
      <c r="K2334" s="10">
        <f t="shared" si="109"/>
        <v>0</v>
      </c>
      <c r="L2334" s="17">
        <f t="shared" si="110"/>
        <v>0</v>
      </c>
      <c r="M2334" t="str">
        <f>VLOOKUP(D2334,'Jer-Tip-Emp'!B:E,4,0)</f>
        <v>Arma tu plato</v>
      </c>
      <c r="N2334" t="str">
        <f>VLOOKUP(D2334,'Jer-Tip-Emp'!B:F,5,0)</f>
        <v>Personal</v>
      </c>
      <c r="O2334" t="str">
        <f>VLOOKUP(D2334,'Jer-Tip-Emp'!B:G,6,0)</f>
        <v>Caja</v>
      </c>
    </row>
    <row r="2335" spans="1:15" ht="27.5" customHeight="1" x14ac:dyDescent="0.2">
      <c r="A2335">
        <v>2025</v>
      </c>
      <c r="B2335" t="s">
        <v>628</v>
      </c>
      <c r="C2335" t="s">
        <v>609</v>
      </c>
      <c r="D2335" s="19" t="s">
        <v>180</v>
      </c>
      <c r="E2335" s="18" t="s">
        <v>128</v>
      </c>
      <c r="F2335" s="18">
        <v>36</v>
      </c>
      <c r="G2335" s="20">
        <v>716400</v>
      </c>
      <c r="H2335" s="18">
        <v>0</v>
      </c>
      <c r="I2335" s="20">
        <v>246168</v>
      </c>
      <c r="J2335" s="8">
        <f t="shared" si="108"/>
        <v>470232</v>
      </c>
      <c r="K2335" s="10">
        <f t="shared" si="109"/>
        <v>0.65638190954773867</v>
      </c>
      <c r="L2335" s="17">
        <f t="shared" si="110"/>
        <v>0</v>
      </c>
      <c r="M2335" t="str">
        <f>VLOOKUP(D2335,'Jer-Tip-Emp'!B:E,4,0)</f>
        <v>Platos mong</v>
      </c>
      <c r="N2335" t="str">
        <f>VLOOKUP(D2335,'Jer-Tip-Emp'!B:F,5,0)</f>
        <v>Personal</v>
      </c>
      <c r="O2335" t="str">
        <f>VLOOKUP(D2335,'Jer-Tip-Emp'!B:G,6,0)</f>
        <v>Caja</v>
      </c>
    </row>
    <row r="2336" spans="1:15" ht="27.5" hidden="1" customHeight="1" x14ac:dyDescent="0.2">
      <c r="A2336">
        <v>2025</v>
      </c>
      <c r="B2336" t="s">
        <v>628</v>
      </c>
      <c r="C2336" t="s">
        <v>609</v>
      </c>
      <c r="D2336" s="19" t="s">
        <v>327</v>
      </c>
      <c r="E2336" s="18" t="s">
        <v>44</v>
      </c>
      <c r="F2336" s="18">
        <v>36</v>
      </c>
      <c r="G2336" s="20">
        <v>171500</v>
      </c>
      <c r="H2336" s="20">
        <v>-4900</v>
      </c>
      <c r="I2336" s="20">
        <v>39420</v>
      </c>
      <c r="J2336" s="8">
        <f t="shared" si="108"/>
        <v>132080</v>
      </c>
      <c r="K2336" s="10">
        <f t="shared" si="109"/>
        <v>0.77014577259475214</v>
      </c>
      <c r="L2336" s="17">
        <f t="shared" si="110"/>
        <v>2.8571428571428571E-2</v>
      </c>
      <c r="M2336" t="str">
        <f>VLOOKUP(D2336,'Jer-Tip-Emp'!B:E,4,0)</f>
        <v>Bebidas</v>
      </c>
      <c r="N2336" t="str">
        <f>VLOOKUP(D2336,'Jer-Tip-Emp'!B:F,5,0)</f>
        <v>Bebidas</v>
      </c>
      <c r="O2336" t="str">
        <f>VLOOKUP(D2336,'Jer-Tip-Emp'!B:G,6,0)</f>
        <v>Bebidas</v>
      </c>
    </row>
    <row r="2337" spans="1:15" ht="27.5" hidden="1" customHeight="1" x14ac:dyDescent="0.2">
      <c r="A2337">
        <v>2025</v>
      </c>
      <c r="B2337" t="s">
        <v>628</v>
      </c>
      <c r="C2337" t="s">
        <v>609</v>
      </c>
      <c r="D2337" s="19" t="s">
        <v>500</v>
      </c>
      <c r="E2337" s="18" t="s">
        <v>546</v>
      </c>
      <c r="F2337" s="18">
        <v>34</v>
      </c>
      <c r="G2337" s="18">
        <v>0</v>
      </c>
      <c r="H2337" s="18">
        <v>0</v>
      </c>
      <c r="I2337" s="20">
        <v>29512</v>
      </c>
      <c r="J2337" s="8">
        <f t="shared" si="108"/>
        <v>-29512</v>
      </c>
      <c r="K2337" s="10">
        <f t="shared" si="109"/>
        <v>0</v>
      </c>
      <c r="L2337" s="17">
        <f t="shared" si="110"/>
        <v>0</v>
      </c>
      <c r="M2337" t="str">
        <f>VLOOKUP(D2337,'Jer-Tip-Emp'!B:E,4,0)</f>
        <v>Bebidas</v>
      </c>
      <c r="N2337" t="str">
        <f>VLOOKUP(D2337,'Jer-Tip-Emp'!B:F,5,0)</f>
        <v>Bebidas Cambio de bebida</v>
      </c>
      <c r="O2337" t="str">
        <f>VLOOKUP(D2337,'Jer-Tip-Emp'!B:G,6,0)</f>
        <v>Bebidas</v>
      </c>
    </row>
    <row r="2338" spans="1:15" ht="27.5" customHeight="1" x14ac:dyDescent="0.2">
      <c r="A2338">
        <v>2025</v>
      </c>
      <c r="B2338" t="s">
        <v>628</v>
      </c>
      <c r="C2338" t="s">
        <v>609</v>
      </c>
      <c r="D2338" s="19" t="s">
        <v>470</v>
      </c>
      <c r="E2338" s="18" t="s">
        <v>550</v>
      </c>
      <c r="F2338" s="18">
        <v>33</v>
      </c>
      <c r="G2338" s="18">
        <v>0</v>
      </c>
      <c r="H2338" s="18">
        <v>0</v>
      </c>
      <c r="I2338" s="20">
        <v>102201</v>
      </c>
      <c r="J2338" s="8">
        <f t="shared" si="108"/>
        <v>-102201</v>
      </c>
      <c r="K2338" s="10">
        <f t="shared" si="109"/>
        <v>0</v>
      </c>
      <c r="L2338" s="17">
        <f t="shared" si="110"/>
        <v>0</v>
      </c>
      <c r="M2338" t="str">
        <f>VLOOKUP(D2338,'Jer-Tip-Emp'!B:E,4,0)</f>
        <v>Arma tu plato</v>
      </c>
      <c r="N2338" t="str">
        <f>VLOOKUP(D2338,'Jer-Tip-Emp'!B:F,5,0)</f>
        <v>Personal</v>
      </c>
      <c r="O2338" t="str">
        <f>VLOOKUP(D2338,'Jer-Tip-Emp'!B:G,6,0)</f>
        <v>Caja</v>
      </c>
    </row>
    <row r="2339" spans="1:15" ht="27.5" customHeight="1" x14ac:dyDescent="0.2">
      <c r="A2339">
        <v>2025</v>
      </c>
      <c r="B2339" t="s">
        <v>628</v>
      </c>
      <c r="C2339" t="s">
        <v>609</v>
      </c>
      <c r="D2339" s="19" t="s">
        <v>354</v>
      </c>
      <c r="E2339" s="18" t="s">
        <v>548</v>
      </c>
      <c r="F2339" s="18">
        <v>32</v>
      </c>
      <c r="G2339" s="18">
        <v>0</v>
      </c>
      <c r="H2339" s="18">
        <v>0</v>
      </c>
      <c r="I2339" s="20">
        <v>84288</v>
      </c>
      <c r="J2339" s="8">
        <f t="shared" si="108"/>
        <v>-84288</v>
      </c>
      <c r="K2339" s="10">
        <f t="shared" si="109"/>
        <v>0</v>
      </c>
      <c r="L2339" s="17">
        <f t="shared" si="110"/>
        <v>0</v>
      </c>
      <c r="M2339" t="str">
        <f>VLOOKUP(D2339,'Jer-Tip-Emp'!B:E,4,0)</f>
        <v>Arma tu plato</v>
      </c>
      <c r="N2339" t="str">
        <f>VLOOKUP(D2339,'Jer-Tip-Emp'!B:F,5,0)</f>
        <v>Personal</v>
      </c>
      <c r="O2339" t="str">
        <f>VLOOKUP(D2339,'Jer-Tip-Emp'!B:G,6,0)</f>
        <v>Caja</v>
      </c>
    </row>
    <row r="2340" spans="1:15" ht="27.5" customHeight="1" x14ac:dyDescent="0.2">
      <c r="A2340">
        <v>2025</v>
      </c>
      <c r="B2340" t="s">
        <v>628</v>
      </c>
      <c r="C2340" t="s">
        <v>609</v>
      </c>
      <c r="D2340" s="19" t="s">
        <v>303</v>
      </c>
      <c r="E2340" s="18" t="s">
        <v>120</v>
      </c>
      <c r="F2340" s="18">
        <v>32</v>
      </c>
      <c r="G2340" s="20">
        <v>732800</v>
      </c>
      <c r="H2340" s="18">
        <v>0</v>
      </c>
      <c r="I2340" s="20">
        <v>240448</v>
      </c>
      <c r="J2340" s="8">
        <f t="shared" si="108"/>
        <v>492352</v>
      </c>
      <c r="K2340" s="10">
        <f t="shared" si="109"/>
        <v>0.67187772925764189</v>
      </c>
      <c r="L2340" s="17">
        <f t="shared" si="110"/>
        <v>0</v>
      </c>
      <c r="M2340" t="str">
        <f>VLOOKUP(D2340,'Jer-Tip-Emp'!B:E,4,0)</f>
        <v>Platos mong</v>
      </c>
      <c r="N2340" t="str">
        <f>VLOOKUP(D2340,'Jer-Tip-Emp'!B:F,5,0)</f>
        <v>Personal</v>
      </c>
      <c r="O2340" t="str">
        <f>VLOOKUP(D2340,'Jer-Tip-Emp'!B:G,6,0)</f>
        <v>Caja</v>
      </c>
    </row>
    <row r="2341" spans="1:15" ht="27.5" customHeight="1" x14ac:dyDescent="0.2">
      <c r="A2341">
        <v>2025</v>
      </c>
      <c r="B2341" t="s">
        <v>628</v>
      </c>
      <c r="C2341" t="s">
        <v>609</v>
      </c>
      <c r="D2341" s="19" t="s">
        <v>295</v>
      </c>
      <c r="E2341" s="18" t="s">
        <v>110</v>
      </c>
      <c r="F2341" s="18">
        <v>31</v>
      </c>
      <c r="G2341" s="20">
        <v>553097</v>
      </c>
      <c r="H2341" s="20">
        <v>-1803</v>
      </c>
      <c r="I2341" s="20">
        <v>209808</v>
      </c>
      <c r="J2341" s="8">
        <f t="shared" si="108"/>
        <v>343289</v>
      </c>
      <c r="K2341" s="10">
        <f t="shared" si="109"/>
        <v>0.62066689929614516</v>
      </c>
      <c r="L2341" s="17">
        <f t="shared" si="110"/>
        <v>3.2598260341314455E-3</v>
      </c>
      <c r="M2341" t="str">
        <f>VLOOKUP(D2341,'Jer-Tip-Emp'!B:E,4,0)</f>
        <v>Platos mong</v>
      </c>
      <c r="N2341" t="str">
        <f>VLOOKUP(D2341,'Jer-Tip-Emp'!B:F,5,0)</f>
        <v>Personal</v>
      </c>
      <c r="O2341" t="str">
        <f>VLOOKUP(D2341,'Jer-Tip-Emp'!B:G,6,0)</f>
        <v>Caja</v>
      </c>
    </row>
    <row r="2342" spans="1:15" ht="27.5" customHeight="1" x14ac:dyDescent="0.2">
      <c r="A2342">
        <v>2025</v>
      </c>
      <c r="B2342" t="s">
        <v>628</v>
      </c>
      <c r="C2342" t="s">
        <v>609</v>
      </c>
      <c r="D2342" s="19" t="s">
        <v>448</v>
      </c>
      <c r="E2342" s="18" t="s">
        <v>552</v>
      </c>
      <c r="F2342" s="18">
        <v>29</v>
      </c>
      <c r="G2342" s="18">
        <v>0</v>
      </c>
      <c r="H2342" s="18">
        <v>0</v>
      </c>
      <c r="I2342" s="20">
        <v>152627</v>
      </c>
      <c r="J2342" s="8">
        <f t="shared" si="108"/>
        <v>-152627</v>
      </c>
      <c r="K2342" s="10">
        <f t="shared" si="109"/>
        <v>0</v>
      </c>
      <c r="L2342" s="17">
        <f t="shared" si="110"/>
        <v>0</v>
      </c>
      <c r="M2342" t="str">
        <f>VLOOKUP(D2342,'Jer-Tip-Emp'!B:E,4,0)</f>
        <v>Arma tu plato</v>
      </c>
      <c r="N2342" t="str">
        <f>VLOOKUP(D2342,'Jer-Tip-Emp'!B:F,5,0)</f>
        <v>Personal</v>
      </c>
      <c r="O2342" t="str">
        <f>VLOOKUP(D2342,'Jer-Tip-Emp'!B:G,6,0)</f>
        <v>Caja</v>
      </c>
    </row>
    <row r="2343" spans="1:15" ht="27.5" hidden="1" customHeight="1" x14ac:dyDescent="0.2">
      <c r="A2343">
        <v>2025</v>
      </c>
      <c r="B2343" t="s">
        <v>628</v>
      </c>
      <c r="C2343" t="s">
        <v>609</v>
      </c>
      <c r="D2343" s="19" t="s">
        <v>253</v>
      </c>
      <c r="E2343" s="18" t="s">
        <v>105</v>
      </c>
      <c r="F2343" s="18">
        <v>27</v>
      </c>
      <c r="G2343" s="20">
        <v>129442</v>
      </c>
      <c r="H2343" s="20">
        <v>-5558</v>
      </c>
      <c r="I2343" s="20">
        <v>42363</v>
      </c>
      <c r="J2343" s="8">
        <f t="shared" si="108"/>
        <v>87079</v>
      </c>
      <c r="K2343" s="10">
        <f t="shared" si="109"/>
        <v>0.67272600855981834</v>
      </c>
      <c r="L2343" s="17">
        <f t="shared" si="110"/>
        <v>4.2938149904976748E-2</v>
      </c>
      <c r="M2343" t="str">
        <f>VLOOKUP(D2343,'Jer-Tip-Emp'!B:E,4,0)</f>
        <v>Entradas</v>
      </c>
      <c r="N2343" t="str">
        <f>VLOOKUP(D2343,'Jer-Tip-Emp'!B:F,5,0)</f>
        <v>Otro</v>
      </c>
      <c r="O2343" t="str">
        <f>VLOOKUP(D2343,'Jer-Tip-Emp'!B:G,6,0)</f>
        <v>Otro</v>
      </c>
    </row>
    <row r="2344" spans="1:15" ht="27.5" hidden="1" customHeight="1" x14ac:dyDescent="0.2">
      <c r="A2344">
        <v>2025</v>
      </c>
      <c r="B2344" t="s">
        <v>628</v>
      </c>
      <c r="C2344" t="s">
        <v>609</v>
      </c>
      <c r="D2344" s="19" t="s">
        <v>173</v>
      </c>
      <c r="E2344" s="18" t="s">
        <v>542</v>
      </c>
      <c r="F2344" s="18">
        <v>23</v>
      </c>
      <c r="G2344" s="18">
        <v>0</v>
      </c>
      <c r="H2344" s="18">
        <v>0</v>
      </c>
      <c r="I2344" s="18">
        <v>0</v>
      </c>
      <c r="J2344" s="8">
        <f t="shared" si="108"/>
        <v>0</v>
      </c>
      <c r="K2344" s="10">
        <f t="shared" si="109"/>
        <v>0</v>
      </c>
      <c r="L2344" s="17">
        <f t="shared" si="110"/>
        <v>0</v>
      </c>
      <c r="M2344" t="str">
        <f>VLOOKUP(D2344,'Jer-Tip-Emp'!B:E,4,0)</f>
        <v>Bebidas</v>
      </c>
      <c r="N2344" t="str">
        <f>VLOOKUP(D2344,'Jer-Tip-Emp'!B:F,5,0)</f>
        <v>Bebidas Cambio de bebida</v>
      </c>
      <c r="O2344" t="str">
        <f>VLOOKUP(D2344,'Jer-Tip-Emp'!B:G,6,0)</f>
        <v>Bebidas</v>
      </c>
    </row>
    <row r="2345" spans="1:15" ht="27.5" customHeight="1" x14ac:dyDescent="0.2">
      <c r="A2345">
        <v>2025</v>
      </c>
      <c r="B2345" t="s">
        <v>628</v>
      </c>
      <c r="C2345" t="s">
        <v>609</v>
      </c>
      <c r="D2345" s="19" t="s">
        <v>185</v>
      </c>
      <c r="E2345" s="18" t="s">
        <v>98</v>
      </c>
      <c r="F2345" s="18">
        <v>22</v>
      </c>
      <c r="G2345" s="20">
        <v>917679</v>
      </c>
      <c r="H2345" s="20">
        <v>-4121</v>
      </c>
      <c r="I2345" s="20">
        <v>441166</v>
      </c>
      <c r="J2345" s="8">
        <f t="shared" si="108"/>
        <v>476513</v>
      </c>
      <c r="K2345" s="10">
        <f t="shared" si="109"/>
        <v>0.51925891297501636</v>
      </c>
      <c r="L2345" s="17">
        <f t="shared" si="110"/>
        <v>4.4906770232292555E-3</v>
      </c>
      <c r="M2345" t="str">
        <f>VLOOKUP(D2345,'Jer-Tip-Emp'!B:E,4,0)</f>
        <v>Platos mong</v>
      </c>
      <c r="N2345" t="str">
        <f>VLOOKUP(D2345,'Jer-Tip-Emp'!B:F,5,0)</f>
        <v>No Personal</v>
      </c>
      <c r="O2345" t="str">
        <f>VLOOKUP(D2345,'Jer-Tip-Emp'!B:G,6,0)</f>
        <v>Platos Especiales</v>
      </c>
    </row>
    <row r="2346" spans="1:15" ht="27.5" customHeight="1" x14ac:dyDescent="0.2">
      <c r="A2346">
        <v>2025</v>
      </c>
      <c r="B2346" t="s">
        <v>628</v>
      </c>
      <c r="C2346" t="s">
        <v>609</v>
      </c>
      <c r="D2346" s="19" t="s">
        <v>205</v>
      </c>
      <c r="E2346" s="18" t="s">
        <v>141</v>
      </c>
      <c r="F2346" s="18">
        <v>22</v>
      </c>
      <c r="G2346" s="20">
        <v>326400</v>
      </c>
      <c r="H2346" s="20">
        <v>-1400</v>
      </c>
      <c r="I2346" s="20">
        <v>133408</v>
      </c>
      <c r="J2346" s="8">
        <f t="shared" si="108"/>
        <v>192992</v>
      </c>
      <c r="K2346" s="10">
        <f t="shared" si="109"/>
        <v>0.5912745098039216</v>
      </c>
      <c r="L2346" s="17">
        <f t="shared" si="110"/>
        <v>4.2892156862745102E-3</v>
      </c>
      <c r="M2346" t="str">
        <f>VLOOKUP(D2346,'Jer-Tip-Emp'!B:E,4,0)</f>
        <v>Platos mong</v>
      </c>
      <c r="N2346" t="str">
        <f>VLOOKUP(D2346,'Jer-Tip-Emp'!B:F,5,0)</f>
        <v>Personal</v>
      </c>
      <c r="O2346" t="str">
        <f>VLOOKUP(D2346,'Jer-Tip-Emp'!B:G,6,0)</f>
        <v>Caja</v>
      </c>
    </row>
    <row r="2347" spans="1:15" ht="27.5" customHeight="1" x14ac:dyDescent="0.2">
      <c r="A2347">
        <v>2025</v>
      </c>
      <c r="B2347" t="s">
        <v>628</v>
      </c>
      <c r="C2347" t="s">
        <v>609</v>
      </c>
      <c r="D2347" s="19" t="s">
        <v>297</v>
      </c>
      <c r="E2347" s="18" t="s">
        <v>131</v>
      </c>
      <c r="F2347" s="18">
        <v>21</v>
      </c>
      <c r="G2347" s="20">
        <v>358000</v>
      </c>
      <c r="H2347" s="20">
        <v>-17900</v>
      </c>
      <c r="I2347" s="20">
        <v>114681</v>
      </c>
      <c r="J2347" s="8">
        <f t="shared" si="108"/>
        <v>243319</v>
      </c>
      <c r="K2347" s="10">
        <f t="shared" si="109"/>
        <v>0.67966201117318437</v>
      </c>
      <c r="L2347" s="17">
        <f t="shared" si="110"/>
        <v>0.05</v>
      </c>
      <c r="M2347" t="str">
        <f>VLOOKUP(D2347,'Jer-Tip-Emp'!B:E,4,0)</f>
        <v>Platos mong</v>
      </c>
      <c r="N2347" t="str">
        <f>VLOOKUP(D2347,'Jer-Tip-Emp'!B:F,5,0)</f>
        <v>Personal</v>
      </c>
      <c r="O2347" t="str">
        <f>VLOOKUP(D2347,'Jer-Tip-Emp'!B:G,6,0)</f>
        <v>Caja</v>
      </c>
    </row>
    <row r="2348" spans="1:15" ht="27.5" hidden="1" customHeight="1" x14ac:dyDescent="0.2">
      <c r="A2348">
        <v>2025</v>
      </c>
      <c r="B2348" t="s">
        <v>628</v>
      </c>
      <c r="C2348" t="s">
        <v>609</v>
      </c>
      <c r="D2348" s="19" t="s">
        <v>189</v>
      </c>
      <c r="E2348" s="18" t="s">
        <v>21</v>
      </c>
      <c r="F2348" s="18">
        <v>20</v>
      </c>
      <c r="G2348" s="20">
        <v>138000</v>
      </c>
      <c r="H2348" s="18">
        <v>0</v>
      </c>
      <c r="I2348" s="20">
        <v>49280</v>
      </c>
      <c r="J2348" s="8">
        <f t="shared" si="108"/>
        <v>88720</v>
      </c>
      <c r="K2348" s="10">
        <f t="shared" si="109"/>
        <v>0.64289855072463764</v>
      </c>
      <c r="L2348" s="17">
        <f t="shared" si="110"/>
        <v>0</v>
      </c>
      <c r="M2348" t="str">
        <f>VLOOKUP(D2348,'Jer-Tip-Emp'!B:E,4,0)</f>
        <v>Adición</v>
      </c>
      <c r="N2348" t="str">
        <f>VLOOKUP(D2348,'Jer-Tip-Emp'!B:F,5,0)</f>
        <v>Adición</v>
      </c>
      <c r="O2348" t="str">
        <f>VLOOKUP(D2348,'Jer-Tip-Emp'!B:G,6,0)</f>
        <v>Adición</v>
      </c>
    </row>
    <row r="2349" spans="1:15" ht="27.5" hidden="1" customHeight="1" x14ac:dyDescent="0.2">
      <c r="A2349">
        <v>2025</v>
      </c>
      <c r="B2349" t="s">
        <v>628</v>
      </c>
      <c r="C2349" t="s">
        <v>609</v>
      </c>
      <c r="D2349" s="19" t="s">
        <v>282</v>
      </c>
      <c r="E2349" s="18" t="s">
        <v>19</v>
      </c>
      <c r="F2349" s="18">
        <v>18</v>
      </c>
      <c r="G2349" s="20">
        <v>105627</v>
      </c>
      <c r="H2349" s="18">
        <v>-573</v>
      </c>
      <c r="I2349" s="20">
        <v>73764</v>
      </c>
      <c r="J2349" s="8">
        <f t="shared" si="108"/>
        <v>31863</v>
      </c>
      <c r="K2349" s="10">
        <f t="shared" si="109"/>
        <v>0.30165582663523532</v>
      </c>
      <c r="L2349" s="17">
        <f t="shared" si="110"/>
        <v>5.4247493538583883E-3</v>
      </c>
      <c r="M2349" t="str">
        <f>VLOOKUP(D2349,'Jer-Tip-Emp'!B:E,4,0)</f>
        <v>Adición</v>
      </c>
      <c r="N2349" t="str">
        <f>VLOOKUP(D2349,'Jer-Tip-Emp'!B:F,5,0)</f>
        <v>Adición</v>
      </c>
      <c r="O2349" t="str">
        <f>VLOOKUP(D2349,'Jer-Tip-Emp'!B:G,6,0)</f>
        <v>Adición</v>
      </c>
    </row>
    <row r="2350" spans="1:15" ht="27.5" customHeight="1" x14ac:dyDescent="0.2">
      <c r="A2350">
        <v>2025</v>
      </c>
      <c r="B2350" t="s">
        <v>628</v>
      </c>
      <c r="C2350" t="s">
        <v>609</v>
      </c>
      <c r="D2350" s="19" t="s">
        <v>285</v>
      </c>
      <c r="E2350" s="18" t="s">
        <v>146</v>
      </c>
      <c r="F2350" s="18">
        <v>18</v>
      </c>
      <c r="G2350" s="20">
        <v>358200</v>
      </c>
      <c r="H2350" s="18">
        <v>0</v>
      </c>
      <c r="I2350" s="20">
        <v>152352</v>
      </c>
      <c r="J2350" s="8">
        <f t="shared" si="108"/>
        <v>205848</v>
      </c>
      <c r="K2350" s="10">
        <f t="shared" si="109"/>
        <v>0.57467336683417081</v>
      </c>
      <c r="L2350" s="17">
        <f t="shared" si="110"/>
        <v>0</v>
      </c>
      <c r="M2350" t="str">
        <f>VLOOKUP(D2350,'Jer-Tip-Emp'!B:E,4,0)</f>
        <v>Platos mong</v>
      </c>
      <c r="N2350" t="str">
        <f>VLOOKUP(D2350,'Jer-Tip-Emp'!B:F,5,0)</f>
        <v>Personal</v>
      </c>
      <c r="O2350" t="str">
        <f>VLOOKUP(D2350,'Jer-Tip-Emp'!B:G,6,0)</f>
        <v>Caja</v>
      </c>
    </row>
    <row r="2351" spans="1:15" ht="27.5" hidden="1" customHeight="1" x14ac:dyDescent="0.2">
      <c r="A2351">
        <v>2025</v>
      </c>
      <c r="B2351" t="s">
        <v>628</v>
      </c>
      <c r="C2351" t="s">
        <v>609</v>
      </c>
      <c r="D2351" s="19" t="s">
        <v>336</v>
      </c>
      <c r="E2351" s="18" t="s">
        <v>60</v>
      </c>
      <c r="F2351" s="18">
        <v>17</v>
      </c>
      <c r="G2351" s="20">
        <v>83300</v>
      </c>
      <c r="H2351" s="18">
        <v>0</v>
      </c>
      <c r="I2351" s="20">
        <v>26520</v>
      </c>
      <c r="J2351" s="8">
        <f t="shared" si="108"/>
        <v>56780</v>
      </c>
      <c r="K2351" s="10">
        <f t="shared" si="109"/>
        <v>0.68163265306122445</v>
      </c>
      <c r="L2351" s="17">
        <f t="shared" si="110"/>
        <v>0</v>
      </c>
      <c r="M2351" t="str">
        <f>VLOOKUP(D2351,'Jer-Tip-Emp'!B:E,4,0)</f>
        <v>Bebidas</v>
      </c>
      <c r="N2351" t="str">
        <f>VLOOKUP(D2351,'Jer-Tip-Emp'!B:F,5,0)</f>
        <v>Bebidas</v>
      </c>
      <c r="O2351" t="str">
        <f>VLOOKUP(D2351,'Jer-Tip-Emp'!B:G,6,0)</f>
        <v>Bebidas</v>
      </c>
    </row>
    <row r="2352" spans="1:15" ht="27.5" hidden="1" customHeight="1" x14ac:dyDescent="0.2">
      <c r="A2352">
        <v>2025</v>
      </c>
      <c r="B2352" t="s">
        <v>628</v>
      </c>
      <c r="C2352" t="s">
        <v>609</v>
      </c>
      <c r="D2352" s="19" t="s">
        <v>335</v>
      </c>
      <c r="E2352" s="18" t="s">
        <v>40</v>
      </c>
      <c r="F2352" s="18">
        <v>16</v>
      </c>
      <c r="G2352" s="20">
        <v>78400</v>
      </c>
      <c r="H2352" s="18">
        <v>0</v>
      </c>
      <c r="I2352" s="20">
        <v>21968</v>
      </c>
      <c r="J2352" s="8">
        <f t="shared" si="108"/>
        <v>56432</v>
      </c>
      <c r="K2352" s="10">
        <f t="shared" si="109"/>
        <v>0.71979591836734691</v>
      </c>
      <c r="L2352" s="17">
        <f t="shared" si="110"/>
        <v>0</v>
      </c>
      <c r="M2352" t="str">
        <f>VLOOKUP(D2352,'Jer-Tip-Emp'!B:E,4,0)</f>
        <v>Bebidas</v>
      </c>
      <c r="N2352" t="str">
        <f>VLOOKUP(D2352,'Jer-Tip-Emp'!B:F,5,0)</f>
        <v>Bebidas</v>
      </c>
      <c r="O2352" t="str">
        <f>VLOOKUP(D2352,'Jer-Tip-Emp'!B:G,6,0)</f>
        <v>Bebidas</v>
      </c>
    </row>
    <row r="2353" spans="1:15" ht="27.5" customHeight="1" x14ac:dyDescent="0.2">
      <c r="A2353">
        <v>2025</v>
      </c>
      <c r="B2353" t="s">
        <v>628</v>
      </c>
      <c r="C2353" t="s">
        <v>609</v>
      </c>
      <c r="D2353" s="19" t="s">
        <v>244</v>
      </c>
      <c r="E2353" s="18" t="s">
        <v>113</v>
      </c>
      <c r="F2353" s="18">
        <v>14</v>
      </c>
      <c r="G2353" s="20">
        <v>350900</v>
      </c>
      <c r="H2353" s="20">
        <v>-95700</v>
      </c>
      <c r="I2353" s="20">
        <v>106470</v>
      </c>
      <c r="J2353" s="8">
        <f t="shared" si="108"/>
        <v>244430</v>
      </c>
      <c r="K2353" s="10">
        <f t="shared" si="109"/>
        <v>0.69658022228555139</v>
      </c>
      <c r="L2353" s="17">
        <f t="shared" si="110"/>
        <v>0.27272727272727271</v>
      </c>
      <c r="M2353" t="str">
        <f>VLOOKUP(D2353,'Jer-Tip-Emp'!B:E,4,0)</f>
        <v>Platos especiales</v>
      </c>
      <c r="N2353" t="str">
        <f>VLOOKUP(D2353,'Jer-Tip-Emp'!B:F,5,0)</f>
        <v>Personal</v>
      </c>
      <c r="O2353" t="str">
        <f>VLOOKUP(D2353,'Jer-Tip-Emp'!B:G,6,0)</f>
        <v>Platos especiales</v>
      </c>
    </row>
    <row r="2354" spans="1:15" ht="27.5" hidden="1" customHeight="1" x14ac:dyDescent="0.2">
      <c r="A2354">
        <v>2025</v>
      </c>
      <c r="B2354" t="s">
        <v>628</v>
      </c>
      <c r="C2354" t="s">
        <v>609</v>
      </c>
      <c r="D2354" s="19" t="s">
        <v>330</v>
      </c>
      <c r="E2354" s="18" t="s">
        <v>38</v>
      </c>
      <c r="F2354" s="18">
        <v>13</v>
      </c>
      <c r="G2354" s="20">
        <v>63700</v>
      </c>
      <c r="H2354" s="18">
        <v>0</v>
      </c>
      <c r="I2354" s="20">
        <v>16744</v>
      </c>
      <c r="J2354" s="8">
        <f t="shared" si="108"/>
        <v>46956</v>
      </c>
      <c r="K2354" s="10">
        <f t="shared" si="109"/>
        <v>0.7371428571428571</v>
      </c>
      <c r="L2354" s="17">
        <f t="shared" si="110"/>
        <v>0</v>
      </c>
      <c r="M2354" t="str">
        <f>VLOOKUP(D2354,'Jer-Tip-Emp'!B:E,4,0)</f>
        <v>Bebidas</v>
      </c>
      <c r="N2354" t="str">
        <f>VLOOKUP(D2354,'Jer-Tip-Emp'!B:F,5,0)</f>
        <v>Bebidas</v>
      </c>
      <c r="O2354" t="str">
        <f>VLOOKUP(D2354,'Jer-Tip-Emp'!B:G,6,0)</f>
        <v>Bebidas</v>
      </c>
    </row>
    <row r="2355" spans="1:15" ht="27.5" hidden="1" customHeight="1" x14ac:dyDescent="0.2">
      <c r="A2355">
        <v>2025</v>
      </c>
      <c r="B2355" t="s">
        <v>628</v>
      </c>
      <c r="C2355" t="s">
        <v>609</v>
      </c>
      <c r="D2355" s="19" t="s">
        <v>193</v>
      </c>
      <c r="E2355" s="18" t="s">
        <v>18</v>
      </c>
      <c r="F2355" s="18">
        <v>13</v>
      </c>
      <c r="G2355" s="20">
        <v>115700</v>
      </c>
      <c r="H2355" s="18">
        <v>0</v>
      </c>
      <c r="I2355" s="20">
        <v>40404</v>
      </c>
      <c r="J2355" s="8">
        <f t="shared" si="108"/>
        <v>75296</v>
      </c>
      <c r="K2355" s="10">
        <f t="shared" si="109"/>
        <v>0.65078651685393263</v>
      </c>
      <c r="L2355" s="17">
        <f t="shared" si="110"/>
        <v>0</v>
      </c>
      <c r="M2355" t="str">
        <f>VLOOKUP(D2355,'Jer-Tip-Emp'!B:E,4,0)</f>
        <v>Adición</v>
      </c>
      <c r="N2355" t="str">
        <f>VLOOKUP(D2355,'Jer-Tip-Emp'!B:F,5,0)</f>
        <v>Adición</v>
      </c>
      <c r="O2355" t="str">
        <f>VLOOKUP(D2355,'Jer-Tip-Emp'!B:G,6,0)</f>
        <v>Adición</v>
      </c>
    </row>
    <row r="2356" spans="1:15" ht="27.5" hidden="1" customHeight="1" x14ac:dyDescent="0.2">
      <c r="A2356">
        <v>2025</v>
      </c>
      <c r="B2356" t="s">
        <v>628</v>
      </c>
      <c r="C2356" t="s">
        <v>609</v>
      </c>
      <c r="D2356" s="19" t="s">
        <v>408</v>
      </c>
      <c r="E2356" s="18" t="s">
        <v>35</v>
      </c>
      <c r="F2356" s="18">
        <v>13</v>
      </c>
      <c r="G2356" s="20">
        <v>45500</v>
      </c>
      <c r="H2356" s="18">
        <v>0</v>
      </c>
      <c r="I2356" s="20">
        <v>11284</v>
      </c>
      <c r="J2356" s="8">
        <f t="shared" si="108"/>
        <v>34216</v>
      </c>
      <c r="K2356" s="10">
        <f t="shared" si="109"/>
        <v>0.752</v>
      </c>
      <c r="L2356" s="17">
        <f t="shared" si="110"/>
        <v>0</v>
      </c>
      <c r="M2356" t="str">
        <f>VLOOKUP(D2356,'Jer-Tip-Emp'!B:E,4,0)</f>
        <v>Bebidas</v>
      </c>
      <c r="N2356" t="str">
        <f>VLOOKUP(D2356,'Jer-Tip-Emp'!B:F,5,0)</f>
        <v>Bebidas</v>
      </c>
      <c r="O2356" t="str">
        <f>VLOOKUP(D2356,'Jer-Tip-Emp'!B:G,6,0)</f>
        <v>Bebidas</v>
      </c>
    </row>
    <row r="2357" spans="1:15" ht="27.5" customHeight="1" x14ac:dyDescent="0.2">
      <c r="A2357">
        <v>2025</v>
      </c>
      <c r="B2357" t="s">
        <v>628</v>
      </c>
      <c r="C2357" t="s">
        <v>609</v>
      </c>
      <c r="D2357" s="19" t="s">
        <v>246</v>
      </c>
      <c r="E2357" s="18" t="s">
        <v>29</v>
      </c>
      <c r="F2357" s="18">
        <v>13</v>
      </c>
      <c r="G2357" s="20">
        <v>82900</v>
      </c>
      <c r="H2357" s="20">
        <v>-6800</v>
      </c>
      <c r="I2357" s="18">
        <v>0</v>
      </c>
      <c r="J2357" s="8">
        <f t="shared" si="108"/>
        <v>82900</v>
      </c>
      <c r="K2357" s="10">
        <f t="shared" si="109"/>
        <v>1</v>
      </c>
      <c r="L2357" s="17">
        <f t="shared" si="110"/>
        <v>8.2026537997587454E-2</v>
      </c>
      <c r="M2357" t="str">
        <f>VLOOKUP(D2357,'Jer-Tip-Emp'!B:E,4,0)</f>
        <v>Armalo en combo</v>
      </c>
      <c r="N2357" t="str">
        <f>VLOOKUP(D2357,'Jer-Tip-Emp'!B:F,5,0)</f>
        <v>Personal</v>
      </c>
      <c r="O2357" t="str">
        <f>VLOOKUP(D2357,'Jer-Tip-Emp'!B:G,6,0)</f>
        <v>Combo</v>
      </c>
    </row>
    <row r="2358" spans="1:15" ht="27.5" hidden="1" customHeight="1" x14ac:dyDescent="0.2">
      <c r="A2358">
        <v>2025</v>
      </c>
      <c r="B2358" t="s">
        <v>628</v>
      </c>
      <c r="C2358" t="s">
        <v>609</v>
      </c>
      <c r="D2358" s="19" t="s">
        <v>410</v>
      </c>
      <c r="E2358" s="18" t="s">
        <v>559</v>
      </c>
      <c r="F2358" s="18">
        <v>13</v>
      </c>
      <c r="G2358" s="20">
        <v>26000</v>
      </c>
      <c r="H2358" s="18">
        <v>0</v>
      </c>
      <c r="I2358" s="20">
        <v>29055</v>
      </c>
      <c r="J2358" s="8">
        <f t="shared" si="108"/>
        <v>-3055</v>
      </c>
      <c r="K2358" s="10">
        <f t="shared" si="109"/>
        <v>-0.11749999999999999</v>
      </c>
      <c r="L2358" s="17">
        <f t="shared" si="110"/>
        <v>0</v>
      </c>
      <c r="M2358" t="str">
        <f>VLOOKUP(D2358,'Jer-Tip-Emp'!B:E,4,0)</f>
        <v>Bebidas</v>
      </c>
      <c r="N2358" t="str">
        <f>VLOOKUP(D2358,'Jer-Tip-Emp'!B:F,5,0)</f>
        <v>Bebidas Cambio de bebida</v>
      </c>
      <c r="O2358" t="str">
        <f>VLOOKUP(D2358,'Jer-Tip-Emp'!B:G,6,0)</f>
        <v>Bebidas</v>
      </c>
    </row>
    <row r="2359" spans="1:15" ht="27.5" hidden="1" customHeight="1" x14ac:dyDescent="0.2">
      <c r="A2359">
        <v>2025</v>
      </c>
      <c r="B2359" t="s">
        <v>628</v>
      </c>
      <c r="C2359" t="s">
        <v>609</v>
      </c>
      <c r="D2359" s="19" t="s">
        <v>337</v>
      </c>
      <c r="E2359" s="18" t="s">
        <v>58</v>
      </c>
      <c r="F2359" s="18">
        <v>13</v>
      </c>
      <c r="G2359" s="20">
        <v>63700</v>
      </c>
      <c r="H2359" s="18">
        <v>0</v>
      </c>
      <c r="I2359" s="20">
        <v>20280</v>
      </c>
      <c r="J2359" s="8">
        <f t="shared" si="108"/>
        <v>43420</v>
      </c>
      <c r="K2359" s="10">
        <f t="shared" si="109"/>
        <v>0.68163265306122445</v>
      </c>
      <c r="L2359" s="17">
        <f t="shared" si="110"/>
        <v>0</v>
      </c>
      <c r="M2359" t="str">
        <f>VLOOKUP(D2359,'Jer-Tip-Emp'!B:E,4,0)</f>
        <v>Bebidas</v>
      </c>
      <c r="N2359" t="str">
        <f>VLOOKUP(D2359,'Jer-Tip-Emp'!B:F,5,0)</f>
        <v>Bebidas</v>
      </c>
      <c r="O2359" t="str">
        <f>VLOOKUP(D2359,'Jer-Tip-Emp'!B:G,6,0)</f>
        <v>Bebidas</v>
      </c>
    </row>
    <row r="2360" spans="1:15" ht="27.5" hidden="1" customHeight="1" x14ac:dyDescent="0.2">
      <c r="A2360">
        <v>2025</v>
      </c>
      <c r="B2360" t="s">
        <v>628</v>
      </c>
      <c r="C2360" t="s">
        <v>609</v>
      </c>
      <c r="D2360" s="19" t="s">
        <v>403</v>
      </c>
      <c r="E2360" s="18" t="s">
        <v>45</v>
      </c>
      <c r="F2360" s="18">
        <v>12</v>
      </c>
      <c r="G2360" s="20">
        <v>116917</v>
      </c>
      <c r="H2360" s="20">
        <v>-1883</v>
      </c>
      <c r="I2360" s="20">
        <v>54012</v>
      </c>
      <c r="J2360" s="8">
        <f t="shared" si="108"/>
        <v>62905</v>
      </c>
      <c r="K2360" s="10">
        <f t="shared" si="109"/>
        <v>0.53803125294011989</v>
      </c>
      <c r="L2360" s="17">
        <f t="shared" si="110"/>
        <v>1.6105442322331225E-2</v>
      </c>
      <c r="M2360" t="str">
        <f>VLOOKUP(D2360,'Jer-Tip-Emp'!B:E,4,0)</f>
        <v>Bebidas</v>
      </c>
      <c r="N2360" t="str">
        <f>VLOOKUP(D2360,'Jer-Tip-Emp'!B:F,5,0)</f>
        <v>Bebidas</v>
      </c>
      <c r="O2360" t="str">
        <f>VLOOKUP(D2360,'Jer-Tip-Emp'!B:G,6,0)</f>
        <v>Bebidas</v>
      </c>
    </row>
    <row r="2361" spans="1:15" ht="27.5" hidden="1" customHeight="1" x14ac:dyDescent="0.2">
      <c r="A2361">
        <v>2025</v>
      </c>
      <c r="B2361" t="s">
        <v>628</v>
      </c>
      <c r="C2361" t="s">
        <v>609</v>
      </c>
      <c r="D2361" s="19" t="s">
        <v>351</v>
      </c>
      <c r="E2361" s="18" t="s">
        <v>55</v>
      </c>
      <c r="F2361" s="18">
        <v>12</v>
      </c>
      <c r="G2361" s="20">
        <v>66000</v>
      </c>
      <c r="H2361" s="18">
        <v>0</v>
      </c>
      <c r="I2361" s="20">
        <v>17376</v>
      </c>
      <c r="J2361" s="8">
        <f t="shared" si="108"/>
        <v>48624</v>
      </c>
      <c r="K2361" s="10">
        <f t="shared" si="109"/>
        <v>0.73672727272727268</v>
      </c>
      <c r="L2361" s="17">
        <f t="shared" si="110"/>
        <v>0</v>
      </c>
      <c r="M2361" t="str">
        <f>VLOOKUP(D2361,'Jer-Tip-Emp'!B:E,4,0)</f>
        <v>Bebidas</v>
      </c>
      <c r="N2361" t="str">
        <f>VLOOKUP(D2361,'Jer-Tip-Emp'!B:F,5,0)</f>
        <v>Bebidas</v>
      </c>
      <c r="O2361" t="str">
        <f>VLOOKUP(D2361,'Jer-Tip-Emp'!B:G,6,0)</f>
        <v>Bebidas</v>
      </c>
    </row>
    <row r="2362" spans="1:15" ht="27.5" customHeight="1" x14ac:dyDescent="0.2">
      <c r="A2362">
        <v>2025</v>
      </c>
      <c r="B2362" t="s">
        <v>628</v>
      </c>
      <c r="C2362" t="s">
        <v>609</v>
      </c>
      <c r="D2362" s="19" t="s">
        <v>197</v>
      </c>
      <c r="E2362" s="18" t="s">
        <v>31</v>
      </c>
      <c r="F2362" s="18">
        <v>11</v>
      </c>
      <c r="G2362" s="20">
        <v>75221</v>
      </c>
      <c r="H2362" s="18">
        <v>-679</v>
      </c>
      <c r="I2362" s="20">
        <v>35332</v>
      </c>
      <c r="J2362" s="8">
        <f t="shared" si="108"/>
        <v>39889</v>
      </c>
      <c r="K2362" s="10">
        <f t="shared" si="109"/>
        <v>0.53029074327647863</v>
      </c>
      <c r="L2362" s="17">
        <f t="shared" si="110"/>
        <v>9.0267345555097647E-3</v>
      </c>
      <c r="M2362" t="str">
        <f>VLOOKUP(D2362,'Jer-Tip-Emp'!B:E,4,0)</f>
        <v>Armalo en combo</v>
      </c>
      <c r="N2362" t="str">
        <f>VLOOKUP(D2362,'Jer-Tip-Emp'!B:F,5,0)</f>
        <v>Personal</v>
      </c>
      <c r="O2362" t="str">
        <f>VLOOKUP(D2362,'Jer-Tip-Emp'!B:G,6,0)</f>
        <v>Combo</v>
      </c>
    </row>
    <row r="2363" spans="1:15" ht="27.5" hidden="1" customHeight="1" x14ac:dyDescent="0.2">
      <c r="A2363">
        <v>2025</v>
      </c>
      <c r="B2363" t="s">
        <v>628</v>
      </c>
      <c r="C2363" t="s">
        <v>609</v>
      </c>
      <c r="D2363" s="19" t="s">
        <v>268</v>
      </c>
      <c r="E2363" s="18" t="s">
        <v>17</v>
      </c>
      <c r="F2363" s="18">
        <v>11</v>
      </c>
      <c r="G2363" s="20">
        <v>55000</v>
      </c>
      <c r="H2363" s="18">
        <v>0</v>
      </c>
      <c r="I2363" s="20">
        <v>14102</v>
      </c>
      <c r="J2363" s="8">
        <f t="shared" si="108"/>
        <v>40898</v>
      </c>
      <c r="K2363" s="10">
        <f t="shared" si="109"/>
        <v>0.74360000000000004</v>
      </c>
      <c r="L2363" s="17">
        <f t="shared" si="110"/>
        <v>0</v>
      </c>
      <c r="M2363" t="str">
        <f>VLOOKUP(D2363,'Jer-Tip-Emp'!B:E,4,0)</f>
        <v>Adición</v>
      </c>
      <c r="N2363" t="str">
        <f>VLOOKUP(D2363,'Jer-Tip-Emp'!B:F,5,0)</f>
        <v>Adición</v>
      </c>
      <c r="O2363" t="str">
        <f>VLOOKUP(D2363,'Jer-Tip-Emp'!B:G,6,0)</f>
        <v>Adición</v>
      </c>
    </row>
    <row r="2364" spans="1:15" ht="27.5" customHeight="1" x14ac:dyDescent="0.2">
      <c r="A2364">
        <v>2025</v>
      </c>
      <c r="B2364" t="s">
        <v>628</v>
      </c>
      <c r="C2364" t="s">
        <v>609</v>
      </c>
      <c r="D2364" s="19" t="s">
        <v>235</v>
      </c>
      <c r="E2364" s="18" t="s">
        <v>143</v>
      </c>
      <c r="F2364" s="18">
        <v>11</v>
      </c>
      <c r="G2364" s="20">
        <v>504900</v>
      </c>
      <c r="H2364" s="18">
        <v>0</v>
      </c>
      <c r="I2364" s="20">
        <v>206998</v>
      </c>
      <c r="J2364" s="8">
        <f t="shared" si="108"/>
        <v>297902</v>
      </c>
      <c r="K2364" s="10">
        <f t="shared" si="109"/>
        <v>0.59002178649237469</v>
      </c>
      <c r="L2364" s="17">
        <f t="shared" si="110"/>
        <v>0</v>
      </c>
      <c r="M2364" t="str">
        <f>VLOOKUP(D2364,'Jer-Tip-Emp'!B:E,4,0)</f>
        <v>Platos mong</v>
      </c>
      <c r="N2364" t="str">
        <f>VLOOKUP(D2364,'Jer-Tip-Emp'!B:F,5,0)</f>
        <v>No Personal</v>
      </c>
      <c r="O2364" t="str">
        <f>VLOOKUP(D2364,'Jer-Tip-Emp'!B:G,6,0)</f>
        <v>Caja</v>
      </c>
    </row>
    <row r="2365" spans="1:15" ht="27.5" customHeight="1" x14ac:dyDescent="0.2">
      <c r="A2365">
        <v>2025</v>
      </c>
      <c r="B2365" t="s">
        <v>628</v>
      </c>
      <c r="C2365" t="s">
        <v>609</v>
      </c>
      <c r="D2365" s="19" t="s">
        <v>232</v>
      </c>
      <c r="E2365" s="18" t="s">
        <v>94</v>
      </c>
      <c r="F2365" s="18">
        <v>11</v>
      </c>
      <c r="G2365" s="20">
        <v>240900</v>
      </c>
      <c r="H2365" s="18">
        <v>0</v>
      </c>
      <c r="I2365" s="20">
        <v>103444</v>
      </c>
      <c r="J2365" s="8">
        <f t="shared" si="108"/>
        <v>137456</v>
      </c>
      <c r="K2365" s="10">
        <f t="shared" si="109"/>
        <v>0.57059360730593611</v>
      </c>
      <c r="L2365" s="17">
        <f t="shared" si="110"/>
        <v>0</v>
      </c>
      <c r="M2365" t="str">
        <f>VLOOKUP(D2365,'Jer-Tip-Emp'!B:E,4,0)</f>
        <v>Platos mong</v>
      </c>
      <c r="N2365" t="str">
        <f>VLOOKUP(D2365,'Jer-Tip-Emp'!B:F,5,0)</f>
        <v>Personal</v>
      </c>
      <c r="O2365" t="str">
        <f>VLOOKUP(D2365,'Jer-Tip-Emp'!B:G,6,0)</f>
        <v>Caja</v>
      </c>
    </row>
    <row r="2366" spans="1:15" ht="27.5" hidden="1" customHeight="1" x14ac:dyDescent="0.2">
      <c r="A2366">
        <v>2025</v>
      </c>
      <c r="B2366" t="s">
        <v>628</v>
      </c>
      <c r="C2366" t="s">
        <v>609</v>
      </c>
      <c r="D2366" s="19" t="s">
        <v>382</v>
      </c>
      <c r="E2366" s="18" t="s">
        <v>42</v>
      </c>
      <c r="F2366" s="18">
        <v>11</v>
      </c>
      <c r="G2366" s="20">
        <v>53900</v>
      </c>
      <c r="H2366" s="18">
        <v>0</v>
      </c>
      <c r="I2366" s="20">
        <v>15103</v>
      </c>
      <c r="J2366" s="8">
        <f t="shared" si="108"/>
        <v>38797</v>
      </c>
      <c r="K2366" s="10">
        <f t="shared" si="109"/>
        <v>0.71979591836734691</v>
      </c>
      <c r="L2366" s="17">
        <f t="shared" si="110"/>
        <v>0</v>
      </c>
      <c r="M2366" t="str">
        <f>VLOOKUP(D2366,'Jer-Tip-Emp'!B:E,4,0)</f>
        <v>Bebidas</v>
      </c>
      <c r="N2366" t="str">
        <f>VLOOKUP(D2366,'Jer-Tip-Emp'!B:F,5,0)</f>
        <v>Bebidas</v>
      </c>
      <c r="O2366" t="str">
        <f>VLOOKUP(D2366,'Jer-Tip-Emp'!B:G,6,0)</f>
        <v>Bebidas</v>
      </c>
    </row>
    <row r="2367" spans="1:15" ht="27.5" customHeight="1" x14ac:dyDescent="0.2">
      <c r="A2367">
        <v>2025</v>
      </c>
      <c r="B2367" t="s">
        <v>628</v>
      </c>
      <c r="C2367" t="s">
        <v>609</v>
      </c>
      <c r="D2367" s="19" t="s">
        <v>298</v>
      </c>
      <c r="E2367" s="18" t="s">
        <v>153</v>
      </c>
      <c r="F2367" s="18">
        <v>10</v>
      </c>
      <c r="G2367" s="20">
        <v>199000</v>
      </c>
      <c r="H2367" s="18">
        <v>0</v>
      </c>
      <c r="I2367" s="20">
        <v>85210</v>
      </c>
      <c r="J2367" s="8">
        <f t="shared" si="108"/>
        <v>113790</v>
      </c>
      <c r="K2367" s="10">
        <f t="shared" si="109"/>
        <v>0.57180904522613063</v>
      </c>
      <c r="L2367" s="17">
        <f t="shared" si="110"/>
        <v>0</v>
      </c>
      <c r="M2367" t="str">
        <f>VLOOKUP(D2367,'Jer-Tip-Emp'!B:E,4,0)</f>
        <v>Platos mong</v>
      </c>
      <c r="N2367" t="str">
        <f>VLOOKUP(D2367,'Jer-Tip-Emp'!B:F,5,0)</f>
        <v>Personal</v>
      </c>
      <c r="O2367" t="str">
        <f>VLOOKUP(D2367,'Jer-Tip-Emp'!B:G,6,0)</f>
        <v>Caja</v>
      </c>
    </row>
    <row r="2368" spans="1:15" ht="27.5" hidden="1" customHeight="1" x14ac:dyDescent="0.2">
      <c r="A2368">
        <v>2025</v>
      </c>
      <c r="B2368" t="s">
        <v>628</v>
      </c>
      <c r="C2368" t="s">
        <v>609</v>
      </c>
      <c r="D2368" s="19" t="s">
        <v>369</v>
      </c>
      <c r="E2368" s="18" t="s">
        <v>68</v>
      </c>
      <c r="F2368" s="18">
        <v>10</v>
      </c>
      <c r="G2368" s="20">
        <v>49000</v>
      </c>
      <c r="H2368" s="18">
        <v>0</v>
      </c>
      <c r="I2368" s="20">
        <v>13300</v>
      </c>
      <c r="J2368" s="8">
        <f t="shared" si="108"/>
        <v>35700</v>
      </c>
      <c r="K2368" s="10">
        <f t="shared" si="109"/>
        <v>0.72857142857142854</v>
      </c>
      <c r="L2368" s="17">
        <f t="shared" si="110"/>
        <v>0</v>
      </c>
      <c r="M2368" t="str">
        <f>VLOOKUP(D2368,'Jer-Tip-Emp'!B:E,4,0)</f>
        <v>Bebidas</v>
      </c>
      <c r="N2368" t="str">
        <f>VLOOKUP(D2368,'Jer-Tip-Emp'!B:F,5,0)</f>
        <v>Bebidas</v>
      </c>
      <c r="O2368" t="str">
        <f>VLOOKUP(D2368,'Jer-Tip-Emp'!B:G,6,0)</f>
        <v>Bebidas</v>
      </c>
    </row>
    <row r="2369" spans="1:15" ht="27.5" customHeight="1" x14ac:dyDescent="0.2">
      <c r="A2369">
        <v>2025</v>
      </c>
      <c r="B2369" t="s">
        <v>628</v>
      </c>
      <c r="C2369" t="s">
        <v>609</v>
      </c>
      <c r="D2369" s="19" t="s">
        <v>219</v>
      </c>
      <c r="E2369" s="18" t="s">
        <v>111</v>
      </c>
      <c r="F2369" s="18">
        <v>10</v>
      </c>
      <c r="G2369" s="20">
        <v>299000</v>
      </c>
      <c r="H2369" s="18">
        <v>0</v>
      </c>
      <c r="I2369" s="20">
        <v>135670</v>
      </c>
      <c r="J2369" s="8">
        <f t="shared" ref="J2369:J2432" si="111">G2369-I2369</f>
        <v>163330</v>
      </c>
      <c r="K2369" s="10">
        <f t="shared" ref="K2369:K2432" si="112">IFERROR(J2369/G2369,0)</f>
        <v>0.5462541806020067</v>
      </c>
      <c r="L2369" s="17">
        <f t="shared" ref="L2369:L2432" si="113">IFERROR((H2369/G2369)*-1,0)</f>
        <v>0</v>
      </c>
      <c r="M2369" t="str">
        <f>VLOOKUP(D2369,'Jer-Tip-Emp'!B:E,4,0)</f>
        <v>Platos especiales</v>
      </c>
      <c r="N2369" t="str">
        <f>VLOOKUP(D2369,'Jer-Tip-Emp'!B:F,5,0)</f>
        <v>Personal</v>
      </c>
      <c r="O2369" t="str">
        <f>VLOOKUP(D2369,'Jer-Tip-Emp'!B:G,6,0)</f>
        <v>Platos especiales</v>
      </c>
    </row>
    <row r="2370" spans="1:15" ht="27.5" hidden="1" customHeight="1" x14ac:dyDescent="0.2">
      <c r="A2370">
        <v>2025</v>
      </c>
      <c r="B2370" t="s">
        <v>628</v>
      </c>
      <c r="C2370" t="s">
        <v>609</v>
      </c>
      <c r="D2370" s="19" t="s">
        <v>321</v>
      </c>
      <c r="E2370" s="18" t="s">
        <v>72</v>
      </c>
      <c r="F2370" s="18">
        <v>9</v>
      </c>
      <c r="G2370" s="20">
        <v>39200</v>
      </c>
      <c r="H2370" s="20">
        <v>-4900</v>
      </c>
      <c r="I2370" s="20">
        <v>11970</v>
      </c>
      <c r="J2370" s="8">
        <f t="shared" si="111"/>
        <v>27230</v>
      </c>
      <c r="K2370" s="10">
        <f t="shared" si="112"/>
        <v>0.69464285714285712</v>
      </c>
      <c r="L2370" s="17">
        <f t="shared" si="113"/>
        <v>0.125</v>
      </c>
      <c r="M2370" t="str">
        <f>VLOOKUP(D2370,'Jer-Tip-Emp'!B:E,4,0)</f>
        <v>Bebidas</v>
      </c>
      <c r="N2370" t="str">
        <f>VLOOKUP(D2370,'Jer-Tip-Emp'!B:F,5,0)</f>
        <v>Bebidas</v>
      </c>
      <c r="O2370" t="str">
        <f>VLOOKUP(D2370,'Jer-Tip-Emp'!B:G,6,0)</f>
        <v>Bebidas</v>
      </c>
    </row>
    <row r="2371" spans="1:15" ht="27.5" hidden="1" customHeight="1" x14ac:dyDescent="0.2">
      <c r="A2371">
        <v>2025</v>
      </c>
      <c r="B2371" t="s">
        <v>628</v>
      </c>
      <c r="C2371" t="s">
        <v>609</v>
      </c>
      <c r="D2371" s="19" t="s">
        <v>262</v>
      </c>
      <c r="E2371" s="18" t="s">
        <v>102</v>
      </c>
      <c r="F2371" s="18">
        <v>8</v>
      </c>
      <c r="G2371" s="20">
        <v>175200</v>
      </c>
      <c r="H2371" s="18">
        <v>0</v>
      </c>
      <c r="I2371" s="20">
        <v>49720</v>
      </c>
      <c r="J2371" s="8">
        <f t="shared" si="111"/>
        <v>125480</v>
      </c>
      <c r="K2371" s="10">
        <f t="shared" si="112"/>
        <v>0.71621004566210045</v>
      </c>
      <c r="L2371" s="17">
        <f t="shared" si="113"/>
        <v>0</v>
      </c>
      <c r="M2371" t="str">
        <f>VLOOKUP(D2371,'Jer-Tip-Emp'!B:E,4,0)</f>
        <v>Entradas</v>
      </c>
      <c r="N2371" t="str">
        <f>VLOOKUP(D2371,'Jer-Tip-Emp'!B:F,5,0)</f>
        <v>Otro</v>
      </c>
      <c r="O2371" t="str">
        <f>VLOOKUP(D2371,'Jer-Tip-Emp'!B:G,6,0)</f>
        <v>Otro</v>
      </c>
    </row>
    <row r="2372" spans="1:15" ht="27.5" hidden="1" customHeight="1" x14ac:dyDescent="0.2">
      <c r="A2372">
        <v>2025</v>
      </c>
      <c r="B2372" t="s">
        <v>628</v>
      </c>
      <c r="C2372" t="s">
        <v>609</v>
      </c>
      <c r="D2372" s="19" t="s">
        <v>296</v>
      </c>
      <c r="E2372" s="18" t="s">
        <v>22</v>
      </c>
      <c r="F2372" s="18">
        <v>8</v>
      </c>
      <c r="G2372" s="20">
        <v>54400</v>
      </c>
      <c r="H2372" s="18">
        <v>0</v>
      </c>
      <c r="I2372" s="20">
        <v>5512</v>
      </c>
      <c r="J2372" s="8">
        <f t="shared" si="111"/>
        <v>48888</v>
      </c>
      <c r="K2372" s="10">
        <f t="shared" si="112"/>
        <v>0.8986764705882353</v>
      </c>
      <c r="L2372" s="17">
        <f t="shared" si="113"/>
        <v>0</v>
      </c>
      <c r="M2372" t="str">
        <f>VLOOKUP(D2372,'Jer-Tip-Emp'!B:E,4,0)</f>
        <v>Adición</v>
      </c>
      <c r="N2372" t="str">
        <f>VLOOKUP(D2372,'Jer-Tip-Emp'!B:F,5,0)</f>
        <v>Adición</v>
      </c>
      <c r="O2372" t="str">
        <f>VLOOKUP(D2372,'Jer-Tip-Emp'!B:G,6,0)</f>
        <v>Adición</v>
      </c>
    </row>
    <row r="2373" spans="1:15" ht="27.5" customHeight="1" x14ac:dyDescent="0.2">
      <c r="A2373">
        <v>2025</v>
      </c>
      <c r="B2373" t="s">
        <v>628</v>
      </c>
      <c r="C2373" t="s">
        <v>609</v>
      </c>
      <c r="D2373" s="19" t="s">
        <v>266</v>
      </c>
      <c r="E2373" s="18" t="s">
        <v>85</v>
      </c>
      <c r="F2373" s="18">
        <v>8</v>
      </c>
      <c r="G2373" s="20">
        <v>639200</v>
      </c>
      <c r="H2373" s="18">
        <v>0</v>
      </c>
      <c r="I2373" s="20">
        <v>313768</v>
      </c>
      <c r="J2373" s="8">
        <f t="shared" si="111"/>
        <v>325432</v>
      </c>
      <c r="K2373" s="10">
        <f t="shared" si="112"/>
        <v>0.50912390488110137</v>
      </c>
      <c r="L2373" s="17">
        <f t="shared" si="113"/>
        <v>0</v>
      </c>
      <c r="M2373" t="str">
        <f>VLOOKUP(D2373,'Jer-Tip-Emp'!B:E,4,0)</f>
        <v>Combos para compartir</v>
      </c>
      <c r="N2373" t="str">
        <f>VLOOKUP(D2373,'Jer-Tip-Emp'!B:F,5,0)</f>
        <v>No Personal</v>
      </c>
      <c r="O2373" t="str">
        <f>VLOOKUP(D2373,'Jer-Tip-Emp'!B:G,6,0)</f>
        <v>Combo</v>
      </c>
    </row>
    <row r="2374" spans="1:15" ht="27.5" customHeight="1" x14ac:dyDescent="0.2">
      <c r="A2374">
        <v>2025</v>
      </c>
      <c r="B2374" t="s">
        <v>628</v>
      </c>
      <c r="C2374" t="s">
        <v>609</v>
      </c>
      <c r="D2374" s="19" t="s">
        <v>221</v>
      </c>
      <c r="E2374" s="18" t="s">
        <v>27</v>
      </c>
      <c r="F2374" s="18">
        <v>8</v>
      </c>
      <c r="G2374" s="20">
        <v>55200</v>
      </c>
      <c r="H2374" s="18">
        <v>0</v>
      </c>
      <c r="I2374" s="18">
        <v>0</v>
      </c>
      <c r="J2374" s="8">
        <f t="shared" si="111"/>
        <v>55200</v>
      </c>
      <c r="K2374" s="10">
        <f t="shared" si="112"/>
        <v>1</v>
      </c>
      <c r="L2374" s="17">
        <f t="shared" si="113"/>
        <v>0</v>
      </c>
      <c r="M2374" t="str">
        <f>VLOOKUP(D2374,'Jer-Tip-Emp'!B:E,4,0)</f>
        <v>Armalo en combo</v>
      </c>
      <c r="N2374" t="str">
        <f>VLOOKUP(D2374,'Jer-Tip-Emp'!B:F,5,0)</f>
        <v>Personal</v>
      </c>
      <c r="O2374" t="str">
        <f>VLOOKUP(D2374,'Jer-Tip-Emp'!B:G,6,0)</f>
        <v>Combo</v>
      </c>
    </row>
    <row r="2375" spans="1:15" ht="27.5" hidden="1" customHeight="1" x14ac:dyDescent="0.2">
      <c r="A2375">
        <v>2025</v>
      </c>
      <c r="B2375" t="s">
        <v>628</v>
      </c>
      <c r="C2375" t="s">
        <v>609</v>
      </c>
      <c r="D2375" s="19" t="s">
        <v>326</v>
      </c>
      <c r="E2375" s="18" t="s">
        <v>69</v>
      </c>
      <c r="F2375" s="18">
        <v>8</v>
      </c>
      <c r="G2375" s="20">
        <v>39200</v>
      </c>
      <c r="H2375" s="18">
        <v>0</v>
      </c>
      <c r="I2375" s="20">
        <v>10640</v>
      </c>
      <c r="J2375" s="8">
        <f t="shared" si="111"/>
        <v>28560</v>
      </c>
      <c r="K2375" s="10">
        <f t="shared" si="112"/>
        <v>0.72857142857142854</v>
      </c>
      <c r="L2375" s="17">
        <f t="shared" si="113"/>
        <v>0</v>
      </c>
      <c r="M2375" t="str">
        <f>VLOOKUP(D2375,'Jer-Tip-Emp'!B:E,4,0)</f>
        <v>Bebidas</v>
      </c>
      <c r="N2375" t="str">
        <f>VLOOKUP(D2375,'Jer-Tip-Emp'!B:F,5,0)</f>
        <v>Bebidas</v>
      </c>
      <c r="O2375" t="str">
        <f>VLOOKUP(D2375,'Jer-Tip-Emp'!B:G,6,0)</f>
        <v>Bebidas</v>
      </c>
    </row>
    <row r="2376" spans="1:15" ht="27.5" customHeight="1" x14ac:dyDescent="0.2">
      <c r="A2376">
        <v>2025</v>
      </c>
      <c r="B2376" t="s">
        <v>628</v>
      </c>
      <c r="C2376" t="s">
        <v>609</v>
      </c>
      <c r="D2376" s="19" t="s">
        <v>202</v>
      </c>
      <c r="E2376" s="18" t="s">
        <v>138</v>
      </c>
      <c r="F2376" s="18">
        <v>8</v>
      </c>
      <c r="G2376" s="20">
        <v>287200</v>
      </c>
      <c r="H2376" s="18">
        <v>0</v>
      </c>
      <c r="I2376" s="20">
        <v>113848</v>
      </c>
      <c r="J2376" s="8">
        <f t="shared" si="111"/>
        <v>173352</v>
      </c>
      <c r="K2376" s="10">
        <f t="shared" si="112"/>
        <v>0.60359331476323119</v>
      </c>
      <c r="L2376" s="17">
        <f t="shared" si="113"/>
        <v>0</v>
      </c>
      <c r="M2376" t="str">
        <f>VLOOKUP(D2376,'Jer-Tip-Emp'!B:E,4,0)</f>
        <v>Platos mong</v>
      </c>
      <c r="N2376" t="str">
        <f>VLOOKUP(D2376,'Jer-Tip-Emp'!B:F,5,0)</f>
        <v>No Personal</v>
      </c>
      <c r="O2376" t="str">
        <f>VLOOKUP(D2376,'Jer-Tip-Emp'!B:G,6,0)</f>
        <v>Caja</v>
      </c>
    </row>
    <row r="2377" spans="1:15" ht="27.5" hidden="1" customHeight="1" x14ac:dyDescent="0.2">
      <c r="A2377">
        <v>2025</v>
      </c>
      <c r="B2377" t="s">
        <v>628</v>
      </c>
      <c r="C2377" t="s">
        <v>609</v>
      </c>
      <c r="D2377" s="19" t="s">
        <v>350</v>
      </c>
      <c r="E2377" s="18" t="s">
        <v>66</v>
      </c>
      <c r="F2377" s="18">
        <v>7</v>
      </c>
      <c r="G2377" s="20">
        <v>34300</v>
      </c>
      <c r="H2377" s="18">
        <v>0</v>
      </c>
      <c r="I2377" s="20">
        <v>10920</v>
      </c>
      <c r="J2377" s="8">
        <f t="shared" si="111"/>
        <v>23380</v>
      </c>
      <c r="K2377" s="10">
        <f t="shared" si="112"/>
        <v>0.68163265306122445</v>
      </c>
      <c r="L2377" s="17">
        <f t="shared" si="113"/>
        <v>0</v>
      </c>
      <c r="M2377" t="str">
        <f>VLOOKUP(D2377,'Jer-Tip-Emp'!B:E,4,0)</f>
        <v>Bebidas</v>
      </c>
      <c r="N2377" t="str">
        <f>VLOOKUP(D2377,'Jer-Tip-Emp'!B:F,5,0)</f>
        <v>Bebidas</v>
      </c>
      <c r="O2377" t="str">
        <f>VLOOKUP(D2377,'Jer-Tip-Emp'!B:G,6,0)</f>
        <v>Bebidas</v>
      </c>
    </row>
    <row r="2378" spans="1:15" ht="27.5" hidden="1" customHeight="1" x14ac:dyDescent="0.2">
      <c r="A2378">
        <v>2025</v>
      </c>
      <c r="B2378" t="s">
        <v>628</v>
      </c>
      <c r="C2378" t="s">
        <v>609</v>
      </c>
      <c r="D2378" s="19" t="s">
        <v>397</v>
      </c>
      <c r="E2378" s="18" t="s">
        <v>61</v>
      </c>
      <c r="F2378" s="18">
        <v>7</v>
      </c>
      <c r="G2378" s="20">
        <v>29400</v>
      </c>
      <c r="H2378" s="20">
        <v>-4900</v>
      </c>
      <c r="I2378" s="20">
        <v>13272</v>
      </c>
      <c r="J2378" s="8">
        <f t="shared" si="111"/>
        <v>16128</v>
      </c>
      <c r="K2378" s="10">
        <f t="shared" si="112"/>
        <v>0.5485714285714286</v>
      </c>
      <c r="L2378" s="17">
        <f t="shared" si="113"/>
        <v>0.16666666666666666</v>
      </c>
      <c r="M2378" t="str">
        <f>VLOOKUP(D2378,'Jer-Tip-Emp'!B:E,4,0)</f>
        <v>Bebidas</v>
      </c>
      <c r="N2378" t="str">
        <f>VLOOKUP(D2378,'Jer-Tip-Emp'!B:F,5,0)</f>
        <v>Bebidas</v>
      </c>
      <c r="O2378" t="str">
        <f>VLOOKUP(D2378,'Jer-Tip-Emp'!B:G,6,0)</f>
        <v>Bebidas</v>
      </c>
    </row>
    <row r="2379" spans="1:15" ht="27.5" hidden="1" customHeight="1" x14ac:dyDescent="0.2">
      <c r="A2379">
        <v>2025</v>
      </c>
      <c r="B2379" t="s">
        <v>628</v>
      </c>
      <c r="C2379" t="s">
        <v>609</v>
      </c>
      <c r="D2379" s="19" t="s">
        <v>402</v>
      </c>
      <c r="E2379" s="18" t="s">
        <v>63</v>
      </c>
      <c r="F2379" s="18">
        <v>7</v>
      </c>
      <c r="G2379" s="20">
        <v>34300</v>
      </c>
      <c r="H2379" s="18">
        <v>0</v>
      </c>
      <c r="I2379" s="20">
        <v>10920</v>
      </c>
      <c r="J2379" s="8">
        <f t="shared" si="111"/>
        <v>23380</v>
      </c>
      <c r="K2379" s="10">
        <f t="shared" si="112"/>
        <v>0.68163265306122445</v>
      </c>
      <c r="L2379" s="17">
        <f t="shared" si="113"/>
        <v>0</v>
      </c>
      <c r="M2379" t="str">
        <f>VLOOKUP(D2379,'Jer-Tip-Emp'!B:E,4,0)</f>
        <v>Bebidas</v>
      </c>
      <c r="N2379" t="str">
        <f>VLOOKUP(D2379,'Jer-Tip-Emp'!B:F,5,0)</f>
        <v>Bebidas</v>
      </c>
      <c r="O2379" t="str">
        <f>VLOOKUP(D2379,'Jer-Tip-Emp'!B:G,6,0)</f>
        <v>Bebidas</v>
      </c>
    </row>
    <row r="2380" spans="1:15" ht="27.5" customHeight="1" x14ac:dyDescent="0.2">
      <c r="A2380">
        <v>2025</v>
      </c>
      <c r="B2380" t="s">
        <v>628</v>
      </c>
      <c r="C2380" t="s">
        <v>609</v>
      </c>
      <c r="D2380" s="19" t="s">
        <v>474</v>
      </c>
      <c r="E2380" s="18" t="s">
        <v>553</v>
      </c>
      <c r="F2380" s="18">
        <v>7</v>
      </c>
      <c r="G2380" s="18">
        <v>0</v>
      </c>
      <c r="H2380" s="18">
        <v>0</v>
      </c>
      <c r="I2380" s="20">
        <v>19943</v>
      </c>
      <c r="J2380" s="8">
        <f t="shared" si="111"/>
        <v>-19943</v>
      </c>
      <c r="K2380" s="10">
        <f t="shared" si="112"/>
        <v>0</v>
      </c>
      <c r="L2380" s="17">
        <f t="shared" si="113"/>
        <v>0</v>
      </c>
      <c r="M2380" t="str">
        <f>VLOOKUP(D2380,'Jer-Tip-Emp'!B:E,4,0)</f>
        <v>Arma tu plato</v>
      </c>
      <c r="N2380" t="str">
        <f>VLOOKUP(D2380,'Jer-Tip-Emp'!B:F,5,0)</f>
        <v>Personal</v>
      </c>
      <c r="O2380" t="str">
        <f>VLOOKUP(D2380,'Jer-Tip-Emp'!B:G,6,0)</f>
        <v>Caja</v>
      </c>
    </row>
    <row r="2381" spans="1:15" ht="27.5" customHeight="1" x14ac:dyDescent="0.2">
      <c r="A2381">
        <v>2025</v>
      </c>
      <c r="B2381" t="s">
        <v>628</v>
      </c>
      <c r="C2381" t="s">
        <v>609</v>
      </c>
      <c r="D2381" s="19" t="s">
        <v>290</v>
      </c>
      <c r="E2381" s="18" t="s">
        <v>86</v>
      </c>
      <c r="F2381" s="18">
        <v>7</v>
      </c>
      <c r="G2381" s="20">
        <v>629300</v>
      </c>
      <c r="H2381" s="18">
        <v>0</v>
      </c>
      <c r="I2381" s="20">
        <v>327460</v>
      </c>
      <c r="J2381" s="8">
        <f t="shared" si="111"/>
        <v>301840</v>
      </c>
      <c r="K2381" s="10">
        <f t="shared" si="112"/>
        <v>0.47964404894327028</v>
      </c>
      <c r="L2381" s="17">
        <f t="shared" si="113"/>
        <v>0</v>
      </c>
      <c r="M2381" t="str">
        <f>VLOOKUP(D2381,'Jer-Tip-Emp'!B:E,4,0)</f>
        <v>Combos para compartir</v>
      </c>
      <c r="N2381" t="str">
        <f>VLOOKUP(D2381,'Jer-Tip-Emp'!B:F,5,0)</f>
        <v>No Personal</v>
      </c>
      <c r="O2381" t="str">
        <f>VLOOKUP(D2381,'Jer-Tip-Emp'!B:G,6,0)</f>
        <v>Combo</v>
      </c>
    </row>
    <row r="2382" spans="1:15" ht="27.5" customHeight="1" x14ac:dyDescent="0.2">
      <c r="A2382">
        <v>2025</v>
      </c>
      <c r="B2382" t="s">
        <v>628</v>
      </c>
      <c r="C2382" t="s">
        <v>609</v>
      </c>
      <c r="D2382" s="19" t="s">
        <v>252</v>
      </c>
      <c r="E2382" s="18" t="s">
        <v>100</v>
      </c>
      <c r="F2382" s="18">
        <v>7</v>
      </c>
      <c r="G2382" s="20">
        <v>468300</v>
      </c>
      <c r="H2382" s="18">
        <v>0</v>
      </c>
      <c r="I2382" s="20">
        <v>226457</v>
      </c>
      <c r="J2382" s="8">
        <f t="shared" si="111"/>
        <v>241843</v>
      </c>
      <c r="K2382" s="10">
        <f t="shared" si="112"/>
        <v>0.51642750373692081</v>
      </c>
      <c r="L2382" s="17">
        <f t="shared" si="113"/>
        <v>0</v>
      </c>
      <c r="M2382" t="str">
        <f>VLOOKUP(D2382,'Jer-Tip-Emp'!B:E,4,0)</f>
        <v>Platos mong</v>
      </c>
      <c r="N2382" t="str">
        <f>VLOOKUP(D2382,'Jer-Tip-Emp'!B:F,5,0)</f>
        <v>No Personal</v>
      </c>
      <c r="O2382" t="str">
        <f>VLOOKUP(D2382,'Jer-Tip-Emp'!B:G,6,0)</f>
        <v>Caja</v>
      </c>
    </row>
    <row r="2383" spans="1:15" ht="27.5" customHeight="1" x14ac:dyDescent="0.2">
      <c r="A2383">
        <v>2025</v>
      </c>
      <c r="B2383" t="s">
        <v>628</v>
      </c>
      <c r="C2383" t="s">
        <v>609</v>
      </c>
      <c r="D2383" s="19" t="s">
        <v>299</v>
      </c>
      <c r="E2383" s="18" t="s">
        <v>126</v>
      </c>
      <c r="F2383" s="18">
        <v>7</v>
      </c>
      <c r="G2383" s="20">
        <v>321300</v>
      </c>
      <c r="H2383" s="18">
        <v>0</v>
      </c>
      <c r="I2383" s="20">
        <v>79324</v>
      </c>
      <c r="J2383" s="8">
        <f t="shared" si="111"/>
        <v>241976</v>
      </c>
      <c r="K2383" s="10">
        <f t="shared" si="112"/>
        <v>0.7531154684095861</v>
      </c>
      <c r="L2383" s="17">
        <f t="shared" si="113"/>
        <v>0</v>
      </c>
      <c r="M2383" t="str">
        <f>VLOOKUP(D2383,'Jer-Tip-Emp'!B:E,4,0)</f>
        <v>Platos mong</v>
      </c>
      <c r="N2383" t="str">
        <f>VLOOKUP(D2383,'Jer-Tip-Emp'!B:F,5,0)</f>
        <v>No Personal</v>
      </c>
      <c r="O2383" t="str">
        <f>VLOOKUP(D2383,'Jer-Tip-Emp'!B:G,6,0)</f>
        <v>Caja</v>
      </c>
    </row>
    <row r="2384" spans="1:15" ht="27.5" customHeight="1" x14ac:dyDescent="0.2">
      <c r="A2384">
        <v>2025</v>
      </c>
      <c r="B2384" t="s">
        <v>628</v>
      </c>
      <c r="C2384" t="s">
        <v>609</v>
      </c>
      <c r="D2384" s="19" t="s">
        <v>223</v>
      </c>
      <c r="E2384" s="18" t="s">
        <v>116</v>
      </c>
      <c r="F2384" s="18">
        <v>7</v>
      </c>
      <c r="G2384" s="20">
        <v>209300</v>
      </c>
      <c r="H2384" s="18">
        <v>0</v>
      </c>
      <c r="I2384" s="20">
        <v>95466</v>
      </c>
      <c r="J2384" s="8">
        <f t="shared" si="111"/>
        <v>113834</v>
      </c>
      <c r="K2384" s="10">
        <f t="shared" si="112"/>
        <v>0.54387959866220736</v>
      </c>
      <c r="L2384" s="17">
        <f t="shared" si="113"/>
        <v>0</v>
      </c>
      <c r="M2384" t="str">
        <f>VLOOKUP(D2384,'Jer-Tip-Emp'!B:E,4,0)</f>
        <v>Platos especiales</v>
      </c>
      <c r="N2384" t="str">
        <f>VLOOKUP(D2384,'Jer-Tip-Emp'!B:F,5,0)</f>
        <v>Personal</v>
      </c>
      <c r="O2384" t="str">
        <f>VLOOKUP(D2384,'Jer-Tip-Emp'!B:G,6,0)</f>
        <v>Platos especiales</v>
      </c>
    </row>
    <row r="2385" spans="1:15" ht="27.5" customHeight="1" x14ac:dyDescent="0.2">
      <c r="A2385">
        <v>2025</v>
      </c>
      <c r="B2385" t="s">
        <v>628</v>
      </c>
      <c r="C2385" t="s">
        <v>609</v>
      </c>
      <c r="D2385" s="19" t="s">
        <v>278</v>
      </c>
      <c r="E2385" s="18" t="s">
        <v>84</v>
      </c>
      <c r="F2385" s="18">
        <v>6</v>
      </c>
      <c r="G2385" s="20">
        <v>131400</v>
      </c>
      <c r="H2385" s="18">
        <v>0</v>
      </c>
      <c r="I2385" s="20">
        <v>47838</v>
      </c>
      <c r="J2385" s="8">
        <f t="shared" si="111"/>
        <v>83562</v>
      </c>
      <c r="K2385" s="10">
        <f t="shared" si="112"/>
        <v>0.63593607305936073</v>
      </c>
      <c r="L2385" s="17">
        <f t="shared" si="113"/>
        <v>0</v>
      </c>
      <c r="M2385" t="str">
        <f>VLOOKUP(D2385,'Jer-Tip-Emp'!B:E,4,0)</f>
        <v>Combos para compartir</v>
      </c>
      <c r="N2385" t="str">
        <f>VLOOKUP(D2385,'Jer-Tip-Emp'!B:F,5,0)</f>
        <v>No Personal</v>
      </c>
      <c r="O2385" t="str">
        <f>VLOOKUP(D2385,'Jer-Tip-Emp'!B:G,6,0)</f>
        <v>Combo</v>
      </c>
    </row>
    <row r="2386" spans="1:15" ht="27.5" customHeight="1" x14ac:dyDescent="0.2">
      <c r="A2386">
        <v>2025</v>
      </c>
      <c r="B2386" t="s">
        <v>628</v>
      </c>
      <c r="C2386" t="s">
        <v>609</v>
      </c>
      <c r="D2386" s="19" t="s">
        <v>225</v>
      </c>
      <c r="E2386" s="18" t="s">
        <v>157</v>
      </c>
      <c r="F2386" s="18">
        <v>6</v>
      </c>
      <c r="G2386" s="20">
        <v>107400</v>
      </c>
      <c r="H2386" s="18">
        <v>0</v>
      </c>
      <c r="I2386" s="20">
        <v>42846</v>
      </c>
      <c r="J2386" s="8">
        <f t="shared" si="111"/>
        <v>64554</v>
      </c>
      <c r="K2386" s="10">
        <f t="shared" si="112"/>
        <v>0.60106145251396648</v>
      </c>
      <c r="L2386" s="17">
        <f t="shared" si="113"/>
        <v>0</v>
      </c>
      <c r="M2386" t="str">
        <f>VLOOKUP(D2386,'Jer-Tip-Emp'!B:E,4,0)</f>
        <v>Platos mong</v>
      </c>
      <c r="N2386" t="str">
        <f>VLOOKUP(D2386,'Jer-Tip-Emp'!B:F,5,0)</f>
        <v>Personal</v>
      </c>
      <c r="O2386" t="str">
        <f>VLOOKUP(D2386,'Jer-Tip-Emp'!B:G,6,0)</f>
        <v>Caja</v>
      </c>
    </row>
    <row r="2387" spans="1:15" ht="27.5" hidden="1" customHeight="1" x14ac:dyDescent="0.2">
      <c r="A2387">
        <v>2025</v>
      </c>
      <c r="B2387" t="s">
        <v>628</v>
      </c>
      <c r="C2387" t="s">
        <v>609</v>
      </c>
      <c r="D2387" s="19" t="s">
        <v>314</v>
      </c>
      <c r="E2387" s="18" t="s">
        <v>67</v>
      </c>
      <c r="F2387" s="18">
        <v>6</v>
      </c>
      <c r="G2387" s="20">
        <v>29400</v>
      </c>
      <c r="H2387" s="18">
        <v>0</v>
      </c>
      <c r="I2387" s="20">
        <v>7980</v>
      </c>
      <c r="J2387" s="8">
        <f t="shared" si="111"/>
        <v>21420</v>
      </c>
      <c r="K2387" s="10">
        <f t="shared" si="112"/>
        <v>0.72857142857142854</v>
      </c>
      <c r="L2387" s="17">
        <f t="shared" si="113"/>
        <v>0</v>
      </c>
      <c r="M2387" t="str">
        <f>VLOOKUP(D2387,'Jer-Tip-Emp'!B:E,4,0)</f>
        <v>Bebidas</v>
      </c>
      <c r="N2387" t="str">
        <f>VLOOKUP(D2387,'Jer-Tip-Emp'!B:F,5,0)</f>
        <v>Bebidas</v>
      </c>
      <c r="O2387" t="str">
        <f>VLOOKUP(D2387,'Jer-Tip-Emp'!B:G,6,0)</f>
        <v>Bebidas</v>
      </c>
    </row>
    <row r="2388" spans="1:15" ht="27.5" customHeight="1" x14ac:dyDescent="0.2">
      <c r="A2388">
        <v>2025</v>
      </c>
      <c r="B2388" t="s">
        <v>628</v>
      </c>
      <c r="C2388" t="s">
        <v>609</v>
      </c>
      <c r="D2388" s="19" t="s">
        <v>240</v>
      </c>
      <c r="E2388" s="18" t="s">
        <v>139</v>
      </c>
      <c r="F2388" s="18">
        <v>5</v>
      </c>
      <c r="G2388" s="20">
        <v>279500</v>
      </c>
      <c r="H2388" s="18">
        <v>0</v>
      </c>
      <c r="I2388" s="20">
        <v>121275</v>
      </c>
      <c r="J2388" s="8">
        <f t="shared" si="111"/>
        <v>158225</v>
      </c>
      <c r="K2388" s="10">
        <f t="shared" si="112"/>
        <v>0.5661001788908766</v>
      </c>
      <c r="L2388" s="17">
        <f t="shared" si="113"/>
        <v>0</v>
      </c>
      <c r="M2388" t="str">
        <f>VLOOKUP(D2388,'Jer-Tip-Emp'!B:E,4,0)</f>
        <v>Platos mong</v>
      </c>
      <c r="N2388" t="str">
        <f>VLOOKUP(D2388,'Jer-Tip-Emp'!B:F,5,0)</f>
        <v>No Personal</v>
      </c>
      <c r="O2388" t="str">
        <f>VLOOKUP(D2388,'Jer-Tip-Emp'!B:G,6,0)</f>
        <v>Caja</v>
      </c>
    </row>
    <row r="2389" spans="1:15" ht="27.5" hidden="1" customHeight="1" x14ac:dyDescent="0.2">
      <c r="A2389">
        <v>2025</v>
      </c>
      <c r="B2389" t="s">
        <v>628</v>
      </c>
      <c r="C2389" t="s">
        <v>609</v>
      </c>
      <c r="D2389" s="19" t="s">
        <v>426</v>
      </c>
      <c r="E2389" s="18" t="s">
        <v>561</v>
      </c>
      <c r="F2389" s="18">
        <v>5</v>
      </c>
      <c r="G2389" s="20">
        <v>7000</v>
      </c>
      <c r="H2389" s="18">
        <v>0</v>
      </c>
      <c r="I2389" s="20">
        <v>7580</v>
      </c>
      <c r="J2389" s="8">
        <f t="shared" si="111"/>
        <v>-580</v>
      </c>
      <c r="K2389" s="10">
        <f t="shared" si="112"/>
        <v>-8.2857142857142851E-2</v>
      </c>
      <c r="L2389" s="17">
        <f t="shared" si="113"/>
        <v>0</v>
      </c>
      <c r="M2389" t="str">
        <f>VLOOKUP(D2389,'Jer-Tip-Emp'!B:E,4,0)</f>
        <v>Bebidas</v>
      </c>
      <c r="N2389" t="str">
        <f>VLOOKUP(D2389,'Jer-Tip-Emp'!B:F,5,0)</f>
        <v>Bebidas Cambio de bebida</v>
      </c>
      <c r="O2389" t="str">
        <f>VLOOKUP(D2389,'Jer-Tip-Emp'!B:G,6,0)</f>
        <v>Bebidas</v>
      </c>
    </row>
    <row r="2390" spans="1:15" ht="27.5" customHeight="1" x14ac:dyDescent="0.2">
      <c r="A2390">
        <v>2025</v>
      </c>
      <c r="B2390" t="s">
        <v>628</v>
      </c>
      <c r="C2390" t="s">
        <v>609</v>
      </c>
      <c r="D2390" s="19" t="s">
        <v>198</v>
      </c>
      <c r="E2390" s="18" t="s">
        <v>124</v>
      </c>
      <c r="F2390" s="18">
        <v>4</v>
      </c>
      <c r="G2390" s="20">
        <v>99600</v>
      </c>
      <c r="H2390" s="18">
        <v>0</v>
      </c>
      <c r="I2390" s="20">
        <v>35028</v>
      </c>
      <c r="J2390" s="8">
        <f t="shared" si="111"/>
        <v>64572</v>
      </c>
      <c r="K2390" s="10">
        <f t="shared" si="112"/>
        <v>0.64831325301204823</v>
      </c>
      <c r="L2390" s="17">
        <f t="shared" si="113"/>
        <v>0</v>
      </c>
      <c r="M2390" t="str">
        <f>VLOOKUP(D2390,'Jer-Tip-Emp'!B:E,4,0)</f>
        <v>Platos mong</v>
      </c>
      <c r="N2390" t="str">
        <f>VLOOKUP(D2390,'Jer-Tip-Emp'!B:F,5,0)</f>
        <v>Personal</v>
      </c>
      <c r="O2390" t="str">
        <f>VLOOKUP(D2390,'Jer-Tip-Emp'!B:G,6,0)</f>
        <v>Caja</v>
      </c>
    </row>
    <row r="2391" spans="1:15" ht="27.5" hidden="1" customHeight="1" x14ac:dyDescent="0.2">
      <c r="A2391">
        <v>2025</v>
      </c>
      <c r="B2391" t="s">
        <v>628</v>
      </c>
      <c r="C2391" t="s">
        <v>609</v>
      </c>
      <c r="D2391" s="19" t="s">
        <v>364</v>
      </c>
      <c r="E2391" s="18" t="s">
        <v>51</v>
      </c>
      <c r="F2391" s="18">
        <v>4</v>
      </c>
      <c r="G2391" s="20">
        <v>14000</v>
      </c>
      <c r="H2391" s="18">
        <v>0</v>
      </c>
      <c r="I2391" s="20">
        <v>5164</v>
      </c>
      <c r="J2391" s="8">
        <f t="shared" si="111"/>
        <v>8836</v>
      </c>
      <c r="K2391" s="10">
        <f t="shared" si="112"/>
        <v>0.63114285714285712</v>
      </c>
      <c r="L2391" s="17">
        <f t="shared" si="113"/>
        <v>0</v>
      </c>
      <c r="M2391" t="str">
        <f>VLOOKUP(D2391,'Jer-Tip-Emp'!B:E,4,0)</f>
        <v>Bebidas</v>
      </c>
      <c r="N2391" t="str">
        <f>VLOOKUP(D2391,'Jer-Tip-Emp'!B:F,5,0)</f>
        <v>Bebidas</v>
      </c>
      <c r="O2391" t="str">
        <f>VLOOKUP(D2391,'Jer-Tip-Emp'!B:G,6,0)</f>
        <v>Bebidas</v>
      </c>
    </row>
    <row r="2392" spans="1:15" ht="27.5" customHeight="1" x14ac:dyDescent="0.2">
      <c r="A2392">
        <v>2025</v>
      </c>
      <c r="B2392" t="s">
        <v>628</v>
      </c>
      <c r="C2392" t="s">
        <v>609</v>
      </c>
      <c r="D2392" s="19" t="s">
        <v>261</v>
      </c>
      <c r="E2392" s="18" t="s">
        <v>135</v>
      </c>
      <c r="F2392" s="18">
        <v>4</v>
      </c>
      <c r="G2392" s="20">
        <v>63600</v>
      </c>
      <c r="H2392" s="18">
        <v>0</v>
      </c>
      <c r="I2392" s="20">
        <v>21864</v>
      </c>
      <c r="J2392" s="8">
        <f t="shared" si="111"/>
        <v>41736</v>
      </c>
      <c r="K2392" s="10">
        <f t="shared" si="112"/>
        <v>0.65622641509433965</v>
      </c>
      <c r="L2392" s="17">
        <f t="shared" si="113"/>
        <v>0</v>
      </c>
      <c r="M2392" t="str">
        <f>VLOOKUP(D2392,'Jer-Tip-Emp'!B:E,4,0)</f>
        <v>Platos mong</v>
      </c>
      <c r="N2392" t="str">
        <f>VLOOKUP(D2392,'Jer-Tip-Emp'!B:F,5,0)</f>
        <v>Personal</v>
      </c>
      <c r="O2392" t="str">
        <f>VLOOKUP(D2392,'Jer-Tip-Emp'!B:G,6,0)</f>
        <v>Caja</v>
      </c>
    </row>
    <row r="2393" spans="1:15" ht="27.5" hidden="1" customHeight="1" x14ac:dyDescent="0.2">
      <c r="A2393">
        <v>2025</v>
      </c>
      <c r="B2393" t="s">
        <v>628</v>
      </c>
      <c r="C2393" t="s">
        <v>609</v>
      </c>
      <c r="D2393" s="19" t="s">
        <v>452</v>
      </c>
      <c r="E2393" s="18" t="s">
        <v>573</v>
      </c>
      <c r="F2393" s="18">
        <v>4</v>
      </c>
      <c r="G2393" s="20">
        <v>5600</v>
      </c>
      <c r="H2393" s="18">
        <v>0</v>
      </c>
      <c r="I2393" s="20">
        <v>7496</v>
      </c>
      <c r="J2393" s="8">
        <f t="shared" si="111"/>
        <v>-1896</v>
      </c>
      <c r="K2393" s="10">
        <f t="shared" si="112"/>
        <v>-0.33857142857142858</v>
      </c>
      <c r="L2393" s="17">
        <f t="shared" si="113"/>
        <v>0</v>
      </c>
      <c r="M2393" t="str">
        <f>VLOOKUP(D2393,'Jer-Tip-Emp'!B:E,4,0)</f>
        <v>Bebidas</v>
      </c>
      <c r="N2393" t="str">
        <f>VLOOKUP(D2393,'Jer-Tip-Emp'!B:F,5,0)</f>
        <v>Bebidas Cambio de bebida</v>
      </c>
      <c r="O2393" t="str">
        <f>VLOOKUP(D2393,'Jer-Tip-Emp'!B:G,6,0)</f>
        <v>Bebidas</v>
      </c>
    </row>
    <row r="2394" spans="1:15" ht="27.5" customHeight="1" x14ac:dyDescent="0.2">
      <c r="A2394">
        <v>2025</v>
      </c>
      <c r="B2394" t="s">
        <v>628</v>
      </c>
      <c r="C2394" t="s">
        <v>609</v>
      </c>
      <c r="D2394" s="19" t="s">
        <v>279</v>
      </c>
      <c r="E2394" s="18" t="s">
        <v>130</v>
      </c>
      <c r="F2394" s="18">
        <v>4</v>
      </c>
      <c r="G2394" s="20">
        <v>159600</v>
      </c>
      <c r="H2394" s="18">
        <v>0</v>
      </c>
      <c r="I2394" s="20">
        <v>44868</v>
      </c>
      <c r="J2394" s="8">
        <f t="shared" si="111"/>
        <v>114732</v>
      </c>
      <c r="K2394" s="10">
        <f t="shared" si="112"/>
        <v>0.71887218045112777</v>
      </c>
      <c r="L2394" s="17">
        <f t="shared" si="113"/>
        <v>0</v>
      </c>
      <c r="M2394" t="str">
        <f>VLOOKUP(D2394,'Jer-Tip-Emp'!B:E,4,0)</f>
        <v>Platos mong</v>
      </c>
      <c r="N2394" t="str">
        <f>VLOOKUP(D2394,'Jer-Tip-Emp'!B:F,5,0)</f>
        <v>No Personal</v>
      </c>
      <c r="O2394" t="str">
        <f>VLOOKUP(D2394,'Jer-Tip-Emp'!B:G,6,0)</f>
        <v>Caja</v>
      </c>
    </row>
    <row r="2395" spans="1:15" ht="27.5" hidden="1" customHeight="1" x14ac:dyDescent="0.2">
      <c r="A2395">
        <v>2025</v>
      </c>
      <c r="B2395" t="s">
        <v>628</v>
      </c>
      <c r="C2395" t="s">
        <v>609</v>
      </c>
      <c r="D2395" s="19" t="s">
        <v>411</v>
      </c>
      <c r="E2395" s="18" t="s">
        <v>569</v>
      </c>
      <c r="F2395" s="18">
        <v>3</v>
      </c>
      <c r="G2395" s="20">
        <v>6000</v>
      </c>
      <c r="H2395" s="18">
        <v>0</v>
      </c>
      <c r="I2395" s="20">
        <v>6705</v>
      </c>
      <c r="J2395" s="8">
        <f t="shared" si="111"/>
        <v>-705</v>
      </c>
      <c r="K2395" s="10">
        <f t="shared" si="112"/>
        <v>-0.11749999999999999</v>
      </c>
      <c r="L2395" s="17">
        <f t="shared" si="113"/>
        <v>0</v>
      </c>
      <c r="M2395" t="str">
        <f>VLOOKUP(D2395,'Jer-Tip-Emp'!B:E,4,0)</f>
        <v>Bebidas</v>
      </c>
      <c r="N2395" t="str">
        <f>VLOOKUP(D2395,'Jer-Tip-Emp'!B:F,5,0)</f>
        <v>Bebidas Cambio de bebida</v>
      </c>
      <c r="O2395" t="str">
        <f>VLOOKUP(D2395,'Jer-Tip-Emp'!B:G,6,0)</f>
        <v>Bebidas</v>
      </c>
    </row>
    <row r="2396" spans="1:15" ht="27.5" customHeight="1" x14ac:dyDescent="0.2">
      <c r="A2396">
        <v>2025</v>
      </c>
      <c r="B2396" t="s">
        <v>628</v>
      </c>
      <c r="C2396" t="s">
        <v>609</v>
      </c>
      <c r="D2396" s="19" t="s">
        <v>274</v>
      </c>
      <c r="E2396" s="18" t="s">
        <v>91</v>
      </c>
      <c r="F2396" s="18">
        <v>3</v>
      </c>
      <c r="G2396" s="20">
        <v>239700</v>
      </c>
      <c r="H2396" s="18">
        <v>0</v>
      </c>
      <c r="I2396" s="20">
        <v>86445</v>
      </c>
      <c r="J2396" s="8">
        <f t="shared" si="111"/>
        <v>153255</v>
      </c>
      <c r="K2396" s="10">
        <f t="shared" si="112"/>
        <v>0.63936170212765953</v>
      </c>
      <c r="L2396" s="17">
        <f t="shared" si="113"/>
        <v>0</v>
      </c>
      <c r="M2396" t="str">
        <f>VLOOKUP(D2396,'Jer-Tip-Emp'!B:E,4,0)</f>
        <v>Platos mong</v>
      </c>
      <c r="N2396" t="str">
        <f>VLOOKUP(D2396,'Jer-Tip-Emp'!B:F,5,0)</f>
        <v>No Personal</v>
      </c>
      <c r="O2396" t="str">
        <f>VLOOKUP(D2396,'Jer-Tip-Emp'!B:G,6,0)</f>
        <v>Caja</v>
      </c>
    </row>
    <row r="2397" spans="1:15" ht="27.5" customHeight="1" x14ac:dyDescent="0.2">
      <c r="A2397">
        <v>2025</v>
      </c>
      <c r="B2397" t="s">
        <v>628</v>
      </c>
      <c r="C2397" t="s">
        <v>609</v>
      </c>
      <c r="D2397" s="19" t="s">
        <v>251</v>
      </c>
      <c r="E2397" s="18" t="s">
        <v>123</v>
      </c>
      <c r="F2397" s="18">
        <v>3</v>
      </c>
      <c r="G2397" s="20">
        <v>239700</v>
      </c>
      <c r="H2397" s="18">
        <v>0</v>
      </c>
      <c r="I2397" s="20">
        <v>101031</v>
      </c>
      <c r="J2397" s="8">
        <f t="shared" si="111"/>
        <v>138669</v>
      </c>
      <c r="K2397" s="10">
        <f t="shared" si="112"/>
        <v>0.5785106382978723</v>
      </c>
      <c r="L2397" s="17">
        <f t="shared" si="113"/>
        <v>0</v>
      </c>
      <c r="M2397" t="str">
        <f>VLOOKUP(D2397,'Jer-Tip-Emp'!B:E,4,0)</f>
        <v>Platos mong</v>
      </c>
      <c r="N2397" t="str">
        <f>VLOOKUP(D2397,'Jer-Tip-Emp'!B:F,5,0)</f>
        <v>No Personal</v>
      </c>
      <c r="O2397" t="str">
        <f>VLOOKUP(D2397,'Jer-Tip-Emp'!B:G,6,0)</f>
        <v>Caja</v>
      </c>
    </row>
    <row r="2398" spans="1:15" ht="27.5" hidden="1" customHeight="1" x14ac:dyDescent="0.2">
      <c r="A2398">
        <v>2025</v>
      </c>
      <c r="B2398" t="s">
        <v>628</v>
      </c>
      <c r="C2398" t="s">
        <v>609</v>
      </c>
      <c r="D2398" s="19" t="s">
        <v>490</v>
      </c>
      <c r="E2398" s="18" t="s">
        <v>554</v>
      </c>
      <c r="F2398" s="18">
        <v>3</v>
      </c>
      <c r="G2398" s="18">
        <v>0</v>
      </c>
      <c r="H2398" s="18">
        <v>0</v>
      </c>
      <c r="I2398" s="20">
        <v>6147</v>
      </c>
      <c r="J2398" s="8">
        <f t="shared" si="111"/>
        <v>-6147</v>
      </c>
      <c r="K2398" s="10">
        <f t="shared" si="112"/>
        <v>0</v>
      </c>
      <c r="L2398" s="17">
        <f t="shared" si="113"/>
        <v>0</v>
      </c>
      <c r="M2398" t="str">
        <f>VLOOKUP(D2398,'Jer-Tip-Emp'!B:E,4,0)</f>
        <v>Adición</v>
      </c>
      <c r="N2398" t="str">
        <f>VLOOKUP(D2398,'Jer-Tip-Emp'!B:F,5,0)</f>
        <v>Otro</v>
      </c>
      <c r="O2398" t="str">
        <f>VLOOKUP(D2398,'Jer-Tip-Emp'!B:G,6,0)</f>
        <v>Otro</v>
      </c>
    </row>
    <row r="2399" spans="1:15" ht="27.5" hidden="1" customHeight="1" x14ac:dyDescent="0.2">
      <c r="A2399">
        <v>2025</v>
      </c>
      <c r="B2399" t="s">
        <v>628</v>
      </c>
      <c r="C2399" t="s">
        <v>609</v>
      </c>
      <c r="D2399" s="19" t="s">
        <v>444</v>
      </c>
      <c r="E2399" s="18" t="s">
        <v>562</v>
      </c>
      <c r="F2399" s="18">
        <v>3</v>
      </c>
      <c r="G2399" s="20">
        <v>4200</v>
      </c>
      <c r="H2399" s="18">
        <v>0</v>
      </c>
      <c r="I2399" s="20">
        <v>4830</v>
      </c>
      <c r="J2399" s="8">
        <f t="shared" si="111"/>
        <v>-630</v>
      </c>
      <c r="K2399" s="10">
        <f t="shared" si="112"/>
        <v>-0.15</v>
      </c>
      <c r="L2399" s="17">
        <f t="shared" si="113"/>
        <v>0</v>
      </c>
      <c r="M2399" t="str">
        <f>VLOOKUP(D2399,'Jer-Tip-Emp'!B:E,4,0)</f>
        <v>Bebidas</v>
      </c>
      <c r="N2399" t="str">
        <f>VLOOKUP(D2399,'Jer-Tip-Emp'!B:F,5,0)</f>
        <v>Bebidas Cambio de bebida</v>
      </c>
      <c r="O2399" t="str">
        <f>VLOOKUP(D2399,'Jer-Tip-Emp'!B:G,6,0)</f>
        <v>Bebidas</v>
      </c>
    </row>
    <row r="2400" spans="1:15" ht="27.5" hidden="1" customHeight="1" x14ac:dyDescent="0.2">
      <c r="A2400">
        <v>2025</v>
      </c>
      <c r="B2400" t="s">
        <v>628</v>
      </c>
      <c r="C2400" t="s">
        <v>609</v>
      </c>
      <c r="D2400" s="19" t="s">
        <v>183</v>
      </c>
      <c r="E2400" s="18" t="s">
        <v>104</v>
      </c>
      <c r="F2400" s="18">
        <v>3</v>
      </c>
      <c r="G2400" s="20">
        <v>50700</v>
      </c>
      <c r="H2400" s="18">
        <v>0</v>
      </c>
      <c r="I2400" s="20">
        <v>30084</v>
      </c>
      <c r="J2400" s="8">
        <f t="shared" si="111"/>
        <v>20616</v>
      </c>
      <c r="K2400" s="10">
        <f t="shared" si="112"/>
        <v>0.40662721893491122</v>
      </c>
      <c r="L2400" s="17">
        <f t="shared" si="113"/>
        <v>0</v>
      </c>
      <c r="M2400" t="str">
        <f>VLOOKUP(D2400,'Jer-Tip-Emp'!B:E,4,0)</f>
        <v>Entradas</v>
      </c>
      <c r="N2400" t="str">
        <f>VLOOKUP(D2400,'Jer-Tip-Emp'!B:F,5,0)</f>
        <v>Otro</v>
      </c>
      <c r="O2400" t="str">
        <f>VLOOKUP(D2400,'Jer-Tip-Emp'!B:G,6,0)</f>
        <v>Otro</v>
      </c>
    </row>
    <row r="2401" spans="1:15" ht="27.5" customHeight="1" x14ac:dyDescent="0.2">
      <c r="A2401">
        <v>2025</v>
      </c>
      <c r="B2401" t="s">
        <v>628</v>
      </c>
      <c r="C2401" t="s">
        <v>609</v>
      </c>
      <c r="D2401" s="19" t="s">
        <v>293</v>
      </c>
      <c r="E2401" s="18" t="s">
        <v>127</v>
      </c>
      <c r="F2401" s="18">
        <v>3</v>
      </c>
      <c r="G2401" s="20">
        <v>183074</v>
      </c>
      <c r="H2401" s="20">
        <v>-5626</v>
      </c>
      <c r="I2401" s="20">
        <v>84171</v>
      </c>
      <c r="J2401" s="8">
        <f t="shared" si="111"/>
        <v>98903</v>
      </c>
      <c r="K2401" s="10">
        <f t="shared" si="112"/>
        <v>0.5402350961906115</v>
      </c>
      <c r="L2401" s="17">
        <f t="shared" si="113"/>
        <v>3.0730742759758348E-2</v>
      </c>
      <c r="M2401" t="str">
        <f>VLOOKUP(D2401,'Jer-Tip-Emp'!B:E,4,0)</f>
        <v>Platos mong</v>
      </c>
      <c r="N2401" t="str">
        <f>VLOOKUP(D2401,'Jer-Tip-Emp'!B:F,5,0)</f>
        <v>No Personal</v>
      </c>
      <c r="O2401" t="str">
        <f>VLOOKUP(D2401,'Jer-Tip-Emp'!B:G,6,0)</f>
        <v>Caja</v>
      </c>
    </row>
    <row r="2402" spans="1:15" ht="27.5" customHeight="1" x14ac:dyDescent="0.2">
      <c r="A2402">
        <v>2025</v>
      </c>
      <c r="B2402" t="s">
        <v>628</v>
      </c>
      <c r="C2402" t="s">
        <v>609</v>
      </c>
      <c r="D2402" s="19" t="s">
        <v>214</v>
      </c>
      <c r="E2402" s="18" t="s">
        <v>81</v>
      </c>
      <c r="F2402" s="18">
        <v>3</v>
      </c>
      <c r="G2402" s="20">
        <v>209700</v>
      </c>
      <c r="H2402" s="18">
        <v>0</v>
      </c>
      <c r="I2402" s="20">
        <v>70914</v>
      </c>
      <c r="J2402" s="8">
        <f t="shared" si="111"/>
        <v>138786</v>
      </c>
      <c r="K2402" s="10">
        <f t="shared" si="112"/>
        <v>0.66183118741058655</v>
      </c>
      <c r="L2402" s="17">
        <f t="shared" si="113"/>
        <v>0</v>
      </c>
      <c r="M2402" t="str">
        <f>VLOOKUP(D2402,'Jer-Tip-Emp'!B:E,4,0)</f>
        <v>Combos para compartir</v>
      </c>
      <c r="N2402" t="str">
        <f>VLOOKUP(D2402,'Jer-Tip-Emp'!B:F,5,0)</f>
        <v>No Personal</v>
      </c>
      <c r="O2402" t="str">
        <f>VLOOKUP(D2402,'Jer-Tip-Emp'!B:G,6,0)</f>
        <v>Combo</v>
      </c>
    </row>
    <row r="2403" spans="1:15" ht="27.5" customHeight="1" x14ac:dyDescent="0.2">
      <c r="A2403">
        <v>2025</v>
      </c>
      <c r="B2403" t="s">
        <v>628</v>
      </c>
      <c r="C2403" t="s">
        <v>609</v>
      </c>
      <c r="D2403" s="19" t="s">
        <v>208</v>
      </c>
      <c r="E2403" s="18" t="s">
        <v>30</v>
      </c>
      <c r="F2403" s="18">
        <v>3</v>
      </c>
      <c r="G2403" s="20">
        <v>20700</v>
      </c>
      <c r="H2403" s="18">
        <v>0</v>
      </c>
      <c r="I2403" s="20">
        <v>8751</v>
      </c>
      <c r="J2403" s="8">
        <f t="shared" si="111"/>
        <v>11949</v>
      </c>
      <c r="K2403" s="10">
        <f t="shared" si="112"/>
        <v>0.57724637681159419</v>
      </c>
      <c r="L2403" s="17">
        <f t="shared" si="113"/>
        <v>0</v>
      </c>
      <c r="M2403" t="str">
        <f>VLOOKUP(D2403,'Jer-Tip-Emp'!B:E,4,0)</f>
        <v>Armalo en combo</v>
      </c>
      <c r="N2403" t="str">
        <f>VLOOKUP(D2403,'Jer-Tip-Emp'!B:F,5,0)</f>
        <v>Personal</v>
      </c>
      <c r="O2403" t="str">
        <f>VLOOKUP(D2403,'Jer-Tip-Emp'!B:G,6,0)</f>
        <v>Combo</v>
      </c>
    </row>
    <row r="2404" spans="1:15" ht="27.5" hidden="1" customHeight="1" x14ac:dyDescent="0.2">
      <c r="A2404">
        <v>2025</v>
      </c>
      <c r="B2404" t="s">
        <v>628</v>
      </c>
      <c r="C2404" t="s">
        <v>609</v>
      </c>
      <c r="D2404" s="19" t="s">
        <v>445</v>
      </c>
      <c r="E2404" s="18" t="s">
        <v>570</v>
      </c>
      <c r="F2404" s="18">
        <v>3</v>
      </c>
      <c r="G2404" s="20">
        <v>4200</v>
      </c>
      <c r="H2404" s="18">
        <v>0</v>
      </c>
      <c r="I2404" s="20">
        <v>5133</v>
      </c>
      <c r="J2404" s="8">
        <f t="shared" si="111"/>
        <v>-933</v>
      </c>
      <c r="K2404" s="10">
        <f t="shared" si="112"/>
        <v>-0.22214285714285714</v>
      </c>
      <c r="L2404" s="17">
        <f t="shared" si="113"/>
        <v>0</v>
      </c>
      <c r="M2404" t="str">
        <f>VLOOKUP(D2404,'Jer-Tip-Emp'!B:E,4,0)</f>
        <v>Bebidas</v>
      </c>
      <c r="N2404" t="str">
        <f>VLOOKUP(D2404,'Jer-Tip-Emp'!B:F,5,0)</f>
        <v>Bebidas Cambio de bebida</v>
      </c>
      <c r="O2404" t="str">
        <f>VLOOKUP(D2404,'Jer-Tip-Emp'!B:G,6,0)</f>
        <v>Bebidas</v>
      </c>
    </row>
    <row r="2405" spans="1:15" ht="27.5" hidden="1" customHeight="1" x14ac:dyDescent="0.2">
      <c r="A2405">
        <v>2025</v>
      </c>
      <c r="B2405" t="s">
        <v>628</v>
      </c>
      <c r="C2405" t="s">
        <v>609</v>
      </c>
      <c r="D2405" s="19" t="s">
        <v>465</v>
      </c>
      <c r="E2405" s="18" t="s">
        <v>578</v>
      </c>
      <c r="F2405" s="18">
        <v>2</v>
      </c>
      <c r="G2405" s="20">
        <v>4000</v>
      </c>
      <c r="H2405" s="18">
        <v>0</v>
      </c>
      <c r="I2405" s="20">
        <v>4478</v>
      </c>
      <c r="J2405" s="8">
        <f t="shared" si="111"/>
        <v>-478</v>
      </c>
      <c r="K2405" s="10">
        <f t="shared" si="112"/>
        <v>-0.1195</v>
      </c>
      <c r="L2405" s="17">
        <f t="shared" si="113"/>
        <v>0</v>
      </c>
      <c r="M2405" t="str">
        <f>VLOOKUP(D2405,'Jer-Tip-Emp'!B:E,4,0)</f>
        <v>Bebidas</v>
      </c>
      <c r="N2405" t="str">
        <f>VLOOKUP(D2405,'Jer-Tip-Emp'!B:F,5,0)</f>
        <v>Bebidas Cambio de bebida</v>
      </c>
      <c r="O2405" t="str">
        <f>VLOOKUP(D2405,'Jer-Tip-Emp'!B:G,6,0)</f>
        <v>Bebidas</v>
      </c>
    </row>
    <row r="2406" spans="1:15" ht="27.5" customHeight="1" x14ac:dyDescent="0.2">
      <c r="A2406">
        <v>2025</v>
      </c>
      <c r="B2406" t="s">
        <v>628</v>
      </c>
      <c r="C2406" t="s">
        <v>609</v>
      </c>
      <c r="D2406" s="19" t="s">
        <v>224</v>
      </c>
      <c r="E2406" s="18" t="s">
        <v>114</v>
      </c>
      <c r="F2406" s="18">
        <v>2</v>
      </c>
      <c r="G2406" s="20">
        <v>55800</v>
      </c>
      <c r="H2406" s="18">
        <v>0</v>
      </c>
      <c r="I2406" s="20">
        <v>25436</v>
      </c>
      <c r="J2406" s="8">
        <f t="shared" si="111"/>
        <v>30364</v>
      </c>
      <c r="K2406" s="10">
        <f t="shared" si="112"/>
        <v>0.54415770609318992</v>
      </c>
      <c r="L2406" s="17">
        <f t="shared" si="113"/>
        <v>0</v>
      </c>
      <c r="M2406" t="str">
        <f>VLOOKUP(D2406,'Jer-Tip-Emp'!B:E,4,0)</f>
        <v>Platos especiales</v>
      </c>
      <c r="N2406" t="str">
        <f>VLOOKUP(D2406,'Jer-Tip-Emp'!B:F,5,0)</f>
        <v>Personal</v>
      </c>
      <c r="O2406" t="str">
        <f>VLOOKUP(D2406,'Jer-Tip-Emp'!B:G,6,0)</f>
        <v>Platos especiales</v>
      </c>
    </row>
    <row r="2407" spans="1:15" ht="27.5" customHeight="1" x14ac:dyDescent="0.2">
      <c r="A2407">
        <v>2025</v>
      </c>
      <c r="B2407" t="s">
        <v>628</v>
      </c>
      <c r="C2407" t="s">
        <v>609</v>
      </c>
      <c r="D2407" s="19" t="s">
        <v>241</v>
      </c>
      <c r="E2407" s="18" t="s">
        <v>107</v>
      </c>
      <c r="F2407" s="18">
        <v>2</v>
      </c>
      <c r="G2407" s="20">
        <v>165800</v>
      </c>
      <c r="H2407" s="18">
        <v>0</v>
      </c>
      <c r="I2407" s="20">
        <v>85408</v>
      </c>
      <c r="J2407" s="8">
        <f t="shared" si="111"/>
        <v>80392</v>
      </c>
      <c r="K2407" s="10">
        <f t="shared" si="112"/>
        <v>0.48487334137515076</v>
      </c>
      <c r="L2407" s="17">
        <f t="shared" si="113"/>
        <v>0</v>
      </c>
      <c r="M2407" t="str">
        <f>VLOOKUP(D2407,'Jer-Tip-Emp'!B:E,4,0)</f>
        <v>Platos mong</v>
      </c>
      <c r="N2407" t="str">
        <f>VLOOKUP(D2407,'Jer-Tip-Emp'!B:F,5,0)</f>
        <v>No Personal</v>
      </c>
      <c r="O2407" t="str">
        <f>VLOOKUP(D2407,'Jer-Tip-Emp'!B:G,6,0)</f>
        <v>Caja</v>
      </c>
    </row>
    <row r="2408" spans="1:15" ht="27.5" customHeight="1" x14ac:dyDescent="0.2">
      <c r="A2408">
        <v>2025</v>
      </c>
      <c r="B2408" t="s">
        <v>628</v>
      </c>
      <c r="C2408" t="s">
        <v>609</v>
      </c>
      <c r="D2408" s="19" t="s">
        <v>200</v>
      </c>
      <c r="E2408" s="18" t="s">
        <v>149</v>
      </c>
      <c r="F2408" s="18">
        <v>2</v>
      </c>
      <c r="G2408" s="20">
        <v>49800</v>
      </c>
      <c r="H2408" s="18">
        <v>0</v>
      </c>
      <c r="I2408" s="20">
        <v>20962</v>
      </c>
      <c r="J2408" s="8">
        <f t="shared" si="111"/>
        <v>28838</v>
      </c>
      <c r="K2408" s="10">
        <f t="shared" si="112"/>
        <v>0.57907630522088349</v>
      </c>
      <c r="L2408" s="17">
        <f t="shared" si="113"/>
        <v>0</v>
      </c>
      <c r="M2408" t="str">
        <f>VLOOKUP(D2408,'Jer-Tip-Emp'!B:E,4,0)</f>
        <v>Platos mong</v>
      </c>
      <c r="N2408" t="str">
        <f>VLOOKUP(D2408,'Jer-Tip-Emp'!B:F,5,0)</f>
        <v>Personal</v>
      </c>
      <c r="O2408" t="str">
        <f>VLOOKUP(D2408,'Jer-Tip-Emp'!B:G,6,0)</f>
        <v>Caja</v>
      </c>
    </row>
    <row r="2409" spans="1:15" ht="27.5" hidden="1" customHeight="1" x14ac:dyDescent="0.2">
      <c r="A2409">
        <v>2025</v>
      </c>
      <c r="B2409" t="s">
        <v>628</v>
      </c>
      <c r="C2409" t="s">
        <v>609</v>
      </c>
      <c r="D2409" s="19" t="s">
        <v>495</v>
      </c>
      <c r="E2409" s="18" t="s">
        <v>572</v>
      </c>
      <c r="F2409" s="18">
        <v>2</v>
      </c>
      <c r="G2409" s="20">
        <v>2800</v>
      </c>
      <c r="H2409" s="18">
        <v>0</v>
      </c>
      <c r="I2409" s="20">
        <v>3792</v>
      </c>
      <c r="J2409" s="8">
        <f t="shared" si="111"/>
        <v>-992</v>
      </c>
      <c r="K2409" s="10">
        <f t="shared" si="112"/>
        <v>-0.35428571428571426</v>
      </c>
      <c r="L2409" s="17">
        <f t="shared" si="113"/>
        <v>0</v>
      </c>
      <c r="M2409" t="str">
        <f>VLOOKUP(D2409,'Jer-Tip-Emp'!B:E,4,0)</f>
        <v>Bebidas</v>
      </c>
      <c r="N2409" t="str">
        <f>VLOOKUP(D2409,'Jer-Tip-Emp'!B:F,5,0)</f>
        <v>Bebidas Cambio de bebida</v>
      </c>
      <c r="O2409" t="str">
        <f>VLOOKUP(D2409,'Jer-Tip-Emp'!B:G,6,0)</f>
        <v>Bebidas</v>
      </c>
    </row>
    <row r="2410" spans="1:15" ht="27.5" customHeight="1" x14ac:dyDescent="0.2">
      <c r="A2410">
        <v>2025</v>
      </c>
      <c r="B2410" t="s">
        <v>628</v>
      </c>
      <c r="C2410" t="s">
        <v>609</v>
      </c>
      <c r="D2410" s="19" t="s">
        <v>204</v>
      </c>
      <c r="E2410" s="18" t="s">
        <v>151</v>
      </c>
      <c r="F2410" s="18">
        <v>2</v>
      </c>
      <c r="G2410" s="20">
        <v>91800</v>
      </c>
      <c r="H2410" s="18">
        <v>0</v>
      </c>
      <c r="I2410" s="20">
        <v>38882</v>
      </c>
      <c r="J2410" s="8">
        <f t="shared" si="111"/>
        <v>52918</v>
      </c>
      <c r="K2410" s="10">
        <f t="shared" si="112"/>
        <v>0.57644880174291935</v>
      </c>
      <c r="L2410" s="17">
        <f t="shared" si="113"/>
        <v>0</v>
      </c>
      <c r="M2410" t="str">
        <f>VLOOKUP(D2410,'Jer-Tip-Emp'!B:E,4,0)</f>
        <v>Platos mong</v>
      </c>
      <c r="N2410" t="str">
        <f>VLOOKUP(D2410,'Jer-Tip-Emp'!B:F,5,0)</f>
        <v>No Personal</v>
      </c>
      <c r="O2410" t="str">
        <f>VLOOKUP(D2410,'Jer-Tip-Emp'!B:G,6,0)</f>
        <v>Caja</v>
      </c>
    </row>
    <row r="2411" spans="1:15" ht="27.5" customHeight="1" x14ac:dyDescent="0.2">
      <c r="A2411">
        <v>2025</v>
      </c>
      <c r="B2411" t="s">
        <v>628</v>
      </c>
      <c r="C2411" t="s">
        <v>609</v>
      </c>
      <c r="D2411" s="19" t="s">
        <v>199</v>
      </c>
      <c r="E2411" s="18" t="s">
        <v>115</v>
      </c>
      <c r="F2411" s="18">
        <v>2</v>
      </c>
      <c r="G2411" s="20">
        <v>21800</v>
      </c>
      <c r="H2411" s="18">
        <v>0</v>
      </c>
      <c r="I2411" s="18">
        <v>0</v>
      </c>
      <c r="J2411" s="8">
        <f t="shared" si="111"/>
        <v>21800</v>
      </c>
      <c r="K2411" s="10">
        <f t="shared" si="112"/>
        <v>1</v>
      </c>
      <c r="L2411" s="17">
        <f t="shared" si="113"/>
        <v>0</v>
      </c>
      <c r="M2411" t="str">
        <f>VLOOKUP(D2411,'Jer-Tip-Emp'!B:E,4,0)</f>
        <v>Platos especiales</v>
      </c>
      <c r="N2411" t="str">
        <f>VLOOKUP(D2411,'Jer-Tip-Emp'!B:F,5,0)</f>
        <v>Personal</v>
      </c>
      <c r="O2411" t="str">
        <f>VLOOKUP(D2411,'Jer-Tip-Emp'!B:G,6,0)</f>
        <v>Platos especiales</v>
      </c>
    </row>
    <row r="2412" spans="1:15" ht="27.5" customHeight="1" x14ac:dyDescent="0.2">
      <c r="A2412">
        <v>2025</v>
      </c>
      <c r="B2412" t="s">
        <v>628</v>
      </c>
      <c r="C2412" t="s">
        <v>609</v>
      </c>
      <c r="D2412" s="19" t="s">
        <v>181</v>
      </c>
      <c r="E2412" s="18" t="s">
        <v>121</v>
      </c>
      <c r="F2412" s="18">
        <v>2</v>
      </c>
      <c r="G2412" s="20">
        <v>39800</v>
      </c>
      <c r="H2412" s="18">
        <v>0</v>
      </c>
      <c r="I2412" s="20">
        <v>12276</v>
      </c>
      <c r="J2412" s="8">
        <f t="shared" si="111"/>
        <v>27524</v>
      </c>
      <c r="K2412" s="10">
        <f t="shared" si="112"/>
        <v>0.69155778894472364</v>
      </c>
      <c r="L2412" s="17">
        <f t="shared" si="113"/>
        <v>0</v>
      </c>
      <c r="M2412" t="str">
        <f>VLOOKUP(D2412,'Jer-Tip-Emp'!B:E,4,0)</f>
        <v>Platos mong</v>
      </c>
      <c r="N2412" t="str">
        <f>VLOOKUP(D2412,'Jer-Tip-Emp'!B:F,5,0)</f>
        <v>Personal</v>
      </c>
      <c r="O2412" t="str">
        <f>VLOOKUP(D2412,'Jer-Tip-Emp'!B:G,6,0)</f>
        <v>Caja</v>
      </c>
    </row>
    <row r="2413" spans="1:15" ht="27.5" customHeight="1" x14ac:dyDescent="0.2">
      <c r="A2413">
        <v>2025</v>
      </c>
      <c r="B2413" t="s">
        <v>628</v>
      </c>
      <c r="C2413" t="s">
        <v>609</v>
      </c>
      <c r="D2413" s="19" t="s">
        <v>286</v>
      </c>
      <c r="E2413" s="18" t="s">
        <v>144</v>
      </c>
      <c r="F2413" s="18">
        <v>2</v>
      </c>
      <c r="G2413" s="20">
        <v>135800</v>
      </c>
      <c r="H2413" s="18">
        <v>0</v>
      </c>
      <c r="I2413" s="20">
        <v>69310</v>
      </c>
      <c r="J2413" s="8">
        <f t="shared" si="111"/>
        <v>66490</v>
      </c>
      <c r="K2413" s="10">
        <f t="shared" si="112"/>
        <v>0.48961708394698084</v>
      </c>
      <c r="L2413" s="17">
        <f t="shared" si="113"/>
        <v>0</v>
      </c>
      <c r="M2413" t="str">
        <f>VLOOKUP(D2413,'Jer-Tip-Emp'!B:E,4,0)</f>
        <v>Platos mong</v>
      </c>
      <c r="N2413" t="str">
        <f>VLOOKUP(D2413,'Jer-Tip-Emp'!B:F,5,0)</f>
        <v>No Personal</v>
      </c>
      <c r="O2413" t="str">
        <f>VLOOKUP(D2413,'Jer-Tip-Emp'!B:G,6,0)</f>
        <v>Caja</v>
      </c>
    </row>
    <row r="2414" spans="1:15" ht="27.5" hidden="1" customHeight="1" x14ac:dyDescent="0.2">
      <c r="A2414">
        <v>2025</v>
      </c>
      <c r="B2414" t="s">
        <v>628</v>
      </c>
      <c r="C2414" t="s">
        <v>609</v>
      </c>
      <c r="D2414" s="19" t="s">
        <v>254</v>
      </c>
      <c r="E2414" s="18" t="s">
        <v>20</v>
      </c>
      <c r="F2414" s="18">
        <v>1</v>
      </c>
      <c r="G2414" s="20">
        <v>6900</v>
      </c>
      <c r="H2414" s="18">
        <v>0</v>
      </c>
      <c r="I2414" s="20">
        <v>3010</v>
      </c>
      <c r="J2414" s="8">
        <f t="shared" si="111"/>
        <v>3890</v>
      </c>
      <c r="K2414" s="10">
        <f t="shared" si="112"/>
        <v>0.56376811594202902</v>
      </c>
      <c r="L2414" s="17">
        <f t="shared" si="113"/>
        <v>0</v>
      </c>
      <c r="M2414" t="str">
        <f>VLOOKUP(D2414,'Jer-Tip-Emp'!B:E,4,0)</f>
        <v>Adición</v>
      </c>
      <c r="N2414" t="str">
        <f>VLOOKUP(D2414,'Jer-Tip-Emp'!B:F,5,0)</f>
        <v>Adición</v>
      </c>
      <c r="O2414" t="str">
        <f>VLOOKUP(D2414,'Jer-Tip-Emp'!B:G,6,0)</f>
        <v>Adición</v>
      </c>
    </row>
    <row r="2415" spans="1:15" ht="27.5" hidden="1" customHeight="1" x14ac:dyDescent="0.2">
      <c r="A2415">
        <v>2025</v>
      </c>
      <c r="B2415" t="s">
        <v>628</v>
      </c>
      <c r="C2415" t="s">
        <v>609</v>
      </c>
      <c r="D2415" s="19" t="s">
        <v>463</v>
      </c>
      <c r="E2415" s="18" t="s">
        <v>575</v>
      </c>
      <c r="F2415" s="18">
        <v>1</v>
      </c>
      <c r="G2415" s="20">
        <v>1400</v>
      </c>
      <c r="H2415" s="18">
        <v>0</v>
      </c>
      <c r="I2415" s="18">
        <v>950</v>
      </c>
      <c r="J2415" s="8">
        <f t="shared" si="111"/>
        <v>450</v>
      </c>
      <c r="K2415" s="10">
        <f t="shared" si="112"/>
        <v>0.32142857142857145</v>
      </c>
      <c r="L2415" s="17">
        <f t="shared" si="113"/>
        <v>0</v>
      </c>
      <c r="M2415" t="str">
        <f>VLOOKUP(D2415,'Jer-Tip-Emp'!B:E,4,0)</f>
        <v>Bebidas</v>
      </c>
      <c r="N2415" t="str">
        <f>VLOOKUP(D2415,'Jer-Tip-Emp'!B:F,5,0)</f>
        <v>Bebidas Cambio de bebida</v>
      </c>
      <c r="O2415" t="str">
        <f>VLOOKUP(D2415,'Jer-Tip-Emp'!B:G,6,0)</f>
        <v>Bebidas</v>
      </c>
    </row>
    <row r="2416" spans="1:15" ht="27.5" hidden="1" customHeight="1" x14ac:dyDescent="0.2">
      <c r="A2416">
        <v>2025</v>
      </c>
      <c r="B2416" t="s">
        <v>628</v>
      </c>
      <c r="C2416" t="s">
        <v>609</v>
      </c>
      <c r="D2416" s="19" t="s">
        <v>176</v>
      </c>
      <c r="E2416" s="18" t="s">
        <v>544</v>
      </c>
      <c r="F2416" s="18">
        <v>1</v>
      </c>
      <c r="G2416" s="18">
        <v>0</v>
      </c>
      <c r="H2416" s="18">
        <v>0</v>
      </c>
      <c r="I2416" s="20">
        <v>1945</v>
      </c>
      <c r="J2416" s="8">
        <f t="shared" si="111"/>
        <v>-1945</v>
      </c>
      <c r="K2416" s="10">
        <f t="shared" si="112"/>
        <v>0</v>
      </c>
      <c r="L2416" s="17">
        <f t="shared" si="113"/>
        <v>0</v>
      </c>
      <c r="M2416" t="str">
        <f>VLOOKUP(D2416,'Jer-Tip-Emp'!B:E,4,0)</f>
        <v>Bebidas</v>
      </c>
      <c r="N2416" t="str">
        <f>VLOOKUP(D2416,'Jer-Tip-Emp'!B:F,5,0)</f>
        <v>Bebidas Cambio de bebida</v>
      </c>
      <c r="O2416" t="str">
        <f>VLOOKUP(D2416,'Jer-Tip-Emp'!B:G,6,0)</f>
        <v>Bebidas</v>
      </c>
    </row>
    <row r="2417" spans="1:15" ht="27.5" customHeight="1" x14ac:dyDescent="0.2">
      <c r="A2417">
        <v>2025</v>
      </c>
      <c r="B2417" t="s">
        <v>628</v>
      </c>
      <c r="C2417" t="s">
        <v>609</v>
      </c>
      <c r="D2417" s="19" t="s">
        <v>248</v>
      </c>
      <c r="E2417" s="18" t="s">
        <v>134</v>
      </c>
      <c r="F2417" s="18">
        <v>1</v>
      </c>
      <c r="G2417" s="20">
        <v>49900</v>
      </c>
      <c r="H2417" s="18">
        <v>0</v>
      </c>
      <c r="I2417" s="20">
        <v>19989</v>
      </c>
      <c r="J2417" s="8">
        <f t="shared" si="111"/>
        <v>29911</v>
      </c>
      <c r="K2417" s="10">
        <f t="shared" si="112"/>
        <v>0.59941883767535065</v>
      </c>
      <c r="L2417" s="17">
        <f t="shared" si="113"/>
        <v>0</v>
      </c>
      <c r="M2417" t="str">
        <f>VLOOKUP(D2417,'Jer-Tip-Emp'!B:E,4,0)</f>
        <v>Platos mong</v>
      </c>
      <c r="N2417" t="str">
        <f>VLOOKUP(D2417,'Jer-Tip-Emp'!B:F,5,0)</f>
        <v>No Personal</v>
      </c>
      <c r="O2417" t="str">
        <f>VLOOKUP(D2417,'Jer-Tip-Emp'!B:G,6,0)</f>
        <v>Caja</v>
      </c>
    </row>
    <row r="2418" spans="1:15" ht="27.5" hidden="1" customHeight="1" x14ac:dyDescent="0.2">
      <c r="A2418">
        <v>2025</v>
      </c>
      <c r="B2418" t="s">
        <v>628</v>
      </c>
      <c r="C2418" t="s">
        <v>609</v>
      </c>
      <c r="D2418" s="19" t="s">
        <v>431</v>
      </c>
      <c r="E2418" s="18" t="s">
        <v>560</v>
      </c>
      <c r="F2418" s="18">
        <v>1</v>
      </c>
      <c r="G2418" s="20">
        <v>1400</v>
      </c>
      <c r="H2418" s="18">
        <v>0</v>
      </c>
      <c r="I2418" s="20">
        <v>1330</v>
      </c>
      <c r="J2418" s="8">
        <f t="shared" si="111"/>
        <v>70</v>
      </c>
      <c r="K2418" s="10">
        <f t="shared" si="112"/>
        <v>0.05</v>
      </c>
      <c r="L2418" s="17">
        <f t="shared" si="113"/>
        <v>0</v>
      </c>
      <c r="M2418" t="str">
        <f>VLOOKUP(D2418,'Jer-Tip-Emp'!B:E,4,0)</f>
        <v>Bebidas</v>
      </c>
      <c r="N2418" t="str">
        <f>VLOOKUP(D2418,'Jer-Tip-Emp'!B:F,5,0)</f>
        <v>Bebidas Cambio de bebida</v>
      </c>
      <c r="O2418" t="str">
        <f>VLOOKUP(D2418,'Jer-Tip-Emp'!B:G,6,0)</f>
        <v>Bebidas</v>
      </c>
    </row>
    <row r="2419" spans="1:15" ht="27.5" hidden="1" customHeight="1" x14ac:dyDescent="0.2">
      <c r="A2419">
        <v>2025</v>
      </c>
      <c r="B2419" t="s">
        <v>628</v>
      </c>
      <c r="C2419" t="s">
        <v>609</v>
      </c>
      <c r="D2419" s="19" t="s">
        <v>275</v>
      </c>
      <c r="E2419" s="18" t="s">
        <v>16</v>
      </c>
      <c r="F2419" s="18">
        <v>1</v>
      </c>
      <c r="G2419" s="20">
        <v>6900</v>
      </c>
      <c r="H2419" s="18">
        <v>0</v>
      </c>
      <c r="I2419" s="20">
        <v>2245</v>
      </c>
      <c r="J2419" s="8">
        <f t="shared" si="111"/>
        <v>4655</v>
      </c>
      <c r="K2419" s="10">
        <f t="shared" si="112"/>
        <v>0.67463768115942024</v>
      </c>
      <c r="L2419" s="17">
        <f t="shared" si="113"/>
        <v>0</v>
      </c>
      <c r="M2419" t="str">
        <f>VLOOKUP(D2419,'Jer-Tip-Emp'!B:E,4,0)</f>
        <v>Adición</v>
      </c>
      <c r="N2419" t="str">
        <f>VLOOKUP(D2419,'Jer-Tip-Emp'!B:F,5,0)</f>
        <v>Adición</v>
      </c>
      <c r="O2419" t="str">
        <f>VLOOKUP(D2419,'Jer-Tip-Emp'!B:G,6,0)</f>
        <v>Adición</v>
      </c>
    </row>
    <row r="2420" spans="1:15" ht="27.5" hidden="1" customHeight="1" x14ac:dyDescent="0.2">
      <c r="A2420">
        <v>2025</v>
      </c>
      <c r="B2420" t="s">
        <v>628</v>
      </c>
      <c r="C2420" t="s">
        <v>609</v>
      </c>
      <c r="D2420" s="19" t="s">
        <v>450</v>
      </c>
      <c r="E2420" s="18" t="s">
        <v>565</v>
      </c>
      <c r="F2420" s="18">
        <v>1</v>
      </c>
      <c r="G2420" s="20">
        <v>1400</v>
      </c>
      <c r="H2420" s="18">
        <v>0</v>
      </c>
      <c r="I2420" s="20">
        <v>1874</v>
      </c>
      <c r="J2420" s="8">
        <f t="shared" si="111"/>
        <v>-474</v>
      </c>
      <c r="K2420" s="10">
        <f t="shared" si="112"/>
        <v>-0.33857142857142858</v>
      </c>
      <c r="L2420" s="17">
        <f t="shared" si="113"/>
        <v>0</v>
      </c>
      <c r="M2420" t="str">
        <f>VLOOKUP(D2420,'Jer-Tip-Emp'!B:E,4,0)</f>
        <v>Bebidas</v>
      </c>
      <c r="N2420" t="str">
        <f>VLOOKUP(D2420,'Jer-Tip-Emp'!B:F,5,0)</f>
        <v>Bebidas Cambio de bebida</v>
      </c>
      <c r="O2420" t="str">
        <f>VLOOKUP(D2420,'Jer-Tip-Emp'!B:G,6,0)</f>
        <v>Bebidas</v>
      </c>
    </row>
    <row r="2421" spans="1:15" ht="27.5" customHeight="1" x14ac:dyDescent="0.2">
      <c r="A2421">
        <v>2025</v>
      </c>
      <c r="B2421" t="s">
        <v>628</v>
      </c>
      <c r="C2421" t="s">
        <v>609</v>
      </c>
      <c r="D2421" s="19" t="s">
        <v>259</v>
      </c>
      <c r="E2421" s="18" t="s">
        <v>152</v>
      </c>
      <c r="F2421" s="18">
        <v>1</v>
      </c>
      <c r="G2421" s="20">
        <v>62900</v>
      </c>
      <c r="H2421" s="18">
        <v>0</v>
      </c>
      <c r="I2421" s="20">
        <v>37744</v>
      </c>
      <c r="J2421" s="8">
        <f t="shared" si="111"/>
        <v>25156</v>
      </c>
      <c r="K2421" s="10">
        <f t="shared" si="112"/>
        <v>0.39993640699523053</v>
      </c>
      <c r="L2421" s="17">
        <f t="shared" si="113"/>
        <v>0</v>
      </c>
      <c r="M2421" t="str">
        <f>VLOOKUP(D2421,'Jer-Tip-Emp'!B:E,4,0)</f>
        <v>Platos mong</v>
      </c>
      <c r="N2421" t="str">
        <f>VLOOKUP(D2421,'Jer-Tip-Emp'!B:F,5,0)</f>
        <v>No Personal</v>
      </c>
      <c r="O2421" t="str">
        <f>VLOOKUP(D2421,'Jer-Tip-Emp'!B:G,6,0)</f>
        <v>Caja</v>
      </c>
    </row>
    <row r="2422" spans="1:15" ht="27.5" customHeight="1" x14ac:dyDescent="0.2">
      <c r="A2422">
        <v>2025</v>
      </c>
      <c r="B2422" t="s">
        <v>628</v>
      </c>
      <c r="C2422" t="s">
        <v>609</v>
      </c>
      <c r="D2422" s="19" t="s">
        <v>226</v>
      </c>
      <c r="E2422" s="18" t="s">
        <v>227</v>
      </c>
      <c r="F2422" s="18">
        <v>1</v>
      </c>
      <c r="G2422" s="20">
        <v>58900</v>
      </c>
      <c r="H2422" s="18">
        <v>0</v>
      </c>
      <c r="I2422" s="20">
        <v>21117</v>
      </c>
      <c r="J2422" s="8">
        <f t="shared" si="111"/>
        <v>37783</v>
      </c>
      <c r="K2422" s="10">
        <f t="shared" si="112"/>
        <v>0.64147707979626489</v>
      </c>
      <c r="L2422" s="17">
        <f t="shared" si="113"/>
        <v>0</v>
      </c>
      <c r="M2422" t="str">
        <f>VLOOKUP(D2422,'Jer-Tip-Emp'!B:E,4,0)</f>
        <v>Platos mong</v>
      </c>
      <c r="N2422" t="str">
        <f>VLOOKUP(D2422,'Jer-Tip-Emp'!B:F,5,0)</f>
        <v>No Personal</v>
      </c>
      <c r="O2422" t="str">
        <f>VLOOKUP(D2422,'Jer-Tip-Emp'!B:G,6,0)</f>
        <v>Caja</v>
      </c>
    </row>
    <row r="2423" spans="1:15" ht="27.5" hidden="1" customHeight="1" x14ac:dyDescent="0.2">
      <c r="A2423">
        <v>2025</v>
      </c>
      <c r="B2423" t="s">
        <v>628</v>
      </c>
      <c r="C2423" t="s">
        <v>609</v>
      </c>
      <c r="D2423" s="19" t="s">
        <v>494</v>
      </c>
      <c r="E2423" s="18" t="s">
        <v>568</v>
      </c>
      <c r="F2423" s="18">
        <v>1</v>
      </c>
      <c r="G2423" s="20">
        <v>1400</v>
      </c>
      <c r="H2423" s="18">
        <v>0</v>
      </c>
      <c r="I2423" s="20">
        <v>2139</v>
      </c>
      <c r="J2423" s="8">
        <f t="shared" si="111"/>
        <v>-739</v>
      </c>
      <c r="K2423" s="10">
        <f t="shared" si="112"/>
        <v>-0.5278571428571428</v>
      </c>
      <c r="L2423" s="17">
        <f t="shared" si="113"/>
        <v>0</v>
      </c>
      <c r="M2423" t="str">
        <f>VLOOKUP(D2423,'Jer-Tip-Emp'!B:E,4,0)</f>
        <v>Bebidas</v>
      </c>
      <c r="N2423" t="str">
        <f>VLOOKUP(D2423,'Jer-Tip-Emp'!B:F,5,0)</f>
        <v>Bebidas Cambio de bebida</v>
      </c>
      <c r="O2423" t="str">
        <f>VLOOKUP(D2423,'Jer-Tip-Emp'!B:G,6,0)</f>
        <v>Bebidas</v>
      </c>
    </row>
    <row r="2424" spans="1:15" ht="27.5" customHeight="1" x14ac:dyDescent="0.2">
      <c r="A2424">
        <v>2025</v>
      </c>
      <c r="B2424" t="s">
        <v>628</v>
      </c>
      <c r="C2424" t="s">
        <v>609</v>
      </c>
      <c r="D2424" s="19" t="s">
        <v>216</v>
      </c>
      <c r="E2424" s="18" t="s">
        <v>155</v>
      </c>
      <c r="F2424" s="18">
        <v>1</v>
      </c>
      <c r="G2424" s="20">
        <v>39900</v>
      </c>
      <c r="H2424" s="18">
        <v>0</v>
      </c>
      <c r="I2424" s="20">
        <v>15895</v>
      </c>
      <c r="J2424" s="8">
        <f t="shared" si="111"/>
        <v>24005</v>
      </c>
      <c r="K2424" s="10">
        <f t="shared" si="112"/>
        <v>0.60162907268170429</v>
      </c>
      <c r="L2424" s="17">
        <f t="shared" si="113"/>
        <v>0</v>
      </c>
      <c r="M2424" t="str">
        <f>VLOOKUP(D2424,'Jer-Tip-Emp'!B:E,4,0)</f>
        <v>Platos mong</v>
      </c>
      <c r="N2424" t="str">
        <f>VLOOKUP(D2424,'Jer-Tip-Emp'!B:F,5,0)</f>
        <v>No Personal</v>
      </c>
      <c r="O2424" t="str">
        <f>VLOOKUP(D2424,'Jer-Tip-Emp'!B:G,6,0)</f>
        <v>Caja</v>
      </c>
    </row>
    <row r="2425" spans="1:15" ht="27.5" customHeight="1" x14ac:dyDescent="0.2">
      <c r="A2425">
        <v>2025</v>
      </c>
      <c r="B2425" t="s">
        <v>628</v>
      </c>
      <c r="C2425" t="s">
        <v>609</v>
      </c>
      <c r="D2425" s="19" t="s">
        <v>260</v>
      </c>
      <c r="E2425" s="18" t="s">
        <v>88</v>
      </c>
      <c r="F2425" s="18">
        <v>1</v>
      </c>
      <c r="G2425" s="20">
        <v>51900</v>
      </c>
      <c r="H2425" s="18">
        <v>0</v>
      </c>
      <c r="I2425" s="20">
        <v>20911</v>
      </c>
      <c r="J2425" s="8">
        <f t="shared" si="111"/>
        <v>30989</v>
      </c>
      <c r="K2425" s="10">
        <f t="shared" si="112"/>
        <v>0.59709055876685935</v>
      </c>
      <c r="L2425" s="17">
        <f t="shared" si="113"/>
        <v>0</v>
      </c>
      <c r="M2425" t="str">
        <f>VLOOKUP(D2425,'Jer-Tip-Emp'!B:E,4,0)</f>
        <v>Platos mong</v>
      </c>
      <c r="N2425" t="str">
        <f>VLOOKUP(D2425,'Jer-Tip-Emp'!B:F,5,0)</f>
        <v>No Personal</v>
      </c>
      <c r="O2425" t="str">
        <f>VLOOKUP(D2425,'Jer-Tip-Emp'!B:G,6,0)</f>
        <v>Caja</v>
      </c>
    </row>
    <row r="2426" spans="1:15" ht="27.5" customHeight="1" x14ac:dyDescent="0.2">
      <c r="A2426">
        <v>2025</v>
      </c>
      <c r="B2426" t="s">
        <v>628</v>
      </c>
      <c r="C2426" t="s">
        <v>609</v>
      </c>
      <c r="D2426" s="19" t="s">
        <v>242</v>
      </c>
      <c r="E2426" s="18" t="s">
        <v>90</v>
      </c>
      <c r="F2426" s="18">
        <v>1</v>
      </c>
      <c r="G2426" s="20">
        <v>56900</v>
      </c>
      <c r="H2426" s="18">
        <v>0</v>
      </c>
      <c r="I2426" s="20">
        <v>28568</v>
      </c>
      <c r="J2426" s="8">
        <f t="shared" si="111"/>
        <v>28332</v>
      </c>
      <c r="K2426" s="10">
        <f t="shared" si="112"/>
        <v>0.4979261862917399</v>
      </c>
      <c r="L2426" s="17">
        <f t="shared" si="113"/>
        <v>0</v>
      </c>
      <c r="M2426" t="str">
        <f>VLOOKUP(D2426,'Jer-Tip-Emp'!B:E,4,0)</f>
        <v>Combos para compartir</v>
      </c>
      <c r="N2426" t="str">
        <f>VLOOKUP(D2426,'Jer-Tip-Emp'!B:F,5,0)</f>
        <v>No Personal</v>
      </c>
      <c r="O2426" t="str">
        <f>VLOOKUP(D2426,'Jer-Tip-Emp'!B:G,6,0)</f>
        <v>Combo</v>
      </c>
    </row>
    <row r="2427" spans="1:15" ht="27.5" hidden="1" customHeight="1" x14ac:dyDescent="0.2">
      <c r="A2427">
        <v>2025</v>
      </c>
      <c r="B2427" t="s">
        <v>628</v>
      </c>
      <c r="C2427" t="s">
        <v>609</v>
      </c>
      <c r="D2427" s="19" t="s">
        <v>243</v>
      </c>
      <c r="E2427" s="18" t="s">
        <v>14</v>
      </c>
      <c r="F2427" s="18">
        <v>1</v>
      </c>
      <c r="G2427" s="20">
        <v>1000</v>
      </c>
      <c r="H2427" s="18">
        <v>0</v>
      </c>
      <c r="I2427" s="18">
        <v>0</v>
      </c>
      <c r="J2427" s="8">
        <f t="shared" si="111"/>
        <v>1000</v>
      </c>
      <c r="K2427" s="10">
        <f t="shared" si="112"/>
        <v>1</v>
      </c>
      <c r="L2427" s="17">
        <f t="shared" si="113"/>
        <v>0</v>
      </c>
      <c r="M2427" t="str">
        <f>VLOOKUP(D2427,'Jer-Tip-Emp'!B:E,4,0)</f>
        <v>Adición</v>
      </c>
      <c r="N2427" t="str">
        <f>VLOOKUP(D2427,'Jer-Tip-Emp'!B:F,5,0)</f>
        <v>Adición</v>
      </c>
      <c r="O2427" t="str">
        <f>VLOOKUP(D2427,'Jer-Tip-Emp'!B:G,6,0)</f>
        <v>Adición</v>
      </c>
    </row>
    <row r="2428" spans="1:15" ht="27.5" hidden="1" customHeight="1" x14ac:dyDescent="0.2">
      <c r="A2428">
        <v>2025</v>
      </c>
      <c r="B2428" t="s">
        <v>628</v>
      </c>
      <c r="C2428" t="s">
        <v>609</v>
      </c>
      <c r="D2428" s="19" t="s">
        <v>365</v>
      </c>
      <c r="E2428" s="18" t="s">
        <v>558</v>
      </c>
      <c r="F2428" s="18">
        <v>1</v>
      </c>
      <c r="G2428" s="18">
        <v>500</v>
      </c>
      <c r="H2428" s="18">
        <v>0</v>
      </c>
      <c r="I2428" s="20">
        <v>1569</v>
      </c>
      <c r="J2428" s="8">
        <f t="shared" si="111"/>
        <v>-1069</v>
      </c>
      <c r="K2428" s="10">
        <f t="shared" si="112"/>
        <v>-2.1379999999999999</v>
      </c>
      <c r="L2428" s="17">
        <f t="shared" si="113"/>
        <v>0</v>
      </c>
      <c r="M2428" t="str">
        <f>VLOOKUP(D2428,'Jer-Tip-Emp'!B:E,4,0)</f>
        <v>Adición</v>
      </c>
      <c r="N2428" t="str">
        <f>VLOOKUP(D2428,'Jer-Tip-Emp'!B:F,5,0)</f>
        <v>Otro</v>
      </c>
      <c r="O2428" t="str">
        <f>VLOOKUP(D2428,'Jer-Tip-Emp'!B:G,6,0)</f>
        <v>Otro</v>
      </c>
    </row>
    <row r="2429" spans="1:15" ht="27.5" hidden="1" customHeight="1" x14ac:dyDescent="0.2">
      <c r="A2429">
        <v>2025</v>
      </c>
      <c r="B2429" t="s">
        <v>628</v>
      </c>
      <c r="C2429" t="s">
        <v>594</v>
      </c>
      <c r="D2429" s="19" t="s">
        <v>346</v>
      </c>
      <c r="E2429" s="18" t="s">
        <v>551</v>
      </c>
      <c r="F2429" s="18">
        <v>218</v>
      </c>
      <c r="G2429" s="18">
        <v>0</v>
      </c>
      <c r="H2429" s="18">
        <v>0</v>
      </c>
      <c r="I2429" s="18">
        <v>0</v>
      </c>
      <c r="J2429" s="8">
        <f t="shared" si="111"/>
        <v>0</v>
      </c>
      <c r="K2429" s="10">
        <f t="shared" si="112"/>
        <v>0</v>
      </c>
      <c r="L2429" s="17">
        <f t="shared" si="113"/>
        <v>0</v>
      </c>
      <c r="M2429" t="str">
        <f>VLOOKUP(D2429,'Jer-Tip-Emp'!B:E,4,0)</f>
        <v>Adición</v>
      </c>
      <c r="N2429" t="str">
        <f>VLOOKUP(D2429,'Jer-Tip-Emp'!B:F,5,0)</f>
        <v>Adición</v>
      </c>
      <c r="O2429" t="str">
        <f>VLOOKUP(D2429,'Jer-Tip-Emp'!B:G,6,0)</f>
        <v>Adición</v>
      </c>
    </row>
    <row r="2430" spans="1:15" ht="27.5" hidden="1" customHeight="1" x14ac:dyDescent="0.2">
      <c r="A2430">
        <v>2025</v>
      </c>
      <c r="B2430" t="s">
        <v>628</v>
      </c>
      <c r="C2430" t="s">
        <v>594</v>
      </c>
      <c r="D2430" s="19" t="s">
        <v>173</v>
      </c>
      <c r="E2430" s="18" t="s">
        <v>542</v>
      </c>
      <c r="F2430" s="18">
        <v>125</v>
      </c>
      <c r="G2430" s="18">
        <v>0</v>
      </c>
      <c r="H2430" s="18">
        <v>0</v>
      </c>
      <c r="I2430" s="18">
        <v>0</v>
      </c>
      <c r="J2430" s="8">
        <f t="shared" si="111"/>
        <v>0</v>
      </c>
      <c r="K2430" s="10">
        <f t="shared" si="112"/>
        <v>0</v>
      </c>
      <c r="L2430" s="17">
        <f t="shared" si="113"/>
        <v>0</v>
      </c>
      <c r="M2430" t="str">
        <f>VLOOKUP(D2430,'Jer-Tip-Emp'!B:E,4,0)</f>
        <v>Bebidas</v>
      </c>
      <c r="N2430" t="str">
        <f>VLOOKUP(D2430,'Jer-Tip-Emp'!B:F,5,0)</f>
        <v>Bebidas Cambio de bebida</v>
      </c>
      <c r="O2430" t="str">
        <f>VLOOKUP(D2430,'Jer-Tip-Emp'!B:G,6,0)</f>
        <v>Bebidas</v>
      </c>
    </row>
    <row r="2431" spans="1:15" ht="27.5" customHeight="1" x14ac:dyDescent="0.2">
      <c r="A2431">
        <v>2025</v>
      </c>
      <c r="B2431" t="s">
        <v>628</v>
      </c>
      <c r="C2431" t="s">
        <v>594</v>
      </c>
      <c r="D2431" s="19" t="s">
        <v>207</v>
      </c>
      <c r="E2431" s="18" t="s">
        <v>92</v>
      </c>
      <c r="F2431" s="18">
        <v>107</v>
      </c>
      <c r="G2431" s="20">
        <v>2217200</v>
      </c>
      <c r="H2431" s="20">
        <v>-661100</v>
      </c>
      <c r="I2431" s="20">
        <v>1030089</v>
      </c>
      <c r="J2431" s="8">
        <f t="shared" si="111"/>
        <v>1187111</v>
      </c>
      <c r="K2431" s="10">
        <f t="shared" si="112"/>
        <v>0.53540997654699618</v>
      </c>
      <c r="L2431" s="17">
        <f t="shared" si="113"/>
        <v>0.29816886162727763</v>
      </c>
      <c r="M2431" t="str">
        <f>VLOOKUP(D2431,'Jer-Tip-Emp'!B:E,4,0)</f>
        <v>Combos personales</v>
      </c>
      <c r="N2431" t="str">
        <f>VLOOKUP(D2431,'Jer-Tip-Emp'!B:F,5,0)</f>
        <v>Personal</v>
      </c>
      <c r="O2431" t="str">
        <f>VLOOKUP(D2431,'Jer-Tip-Emp'!B:G,6,0)</f>
        <v>Combo</v>
      </c>
    </row>
    <row r="2432" spans="1:15" ht="27.5" customHeight="1" x14ac:dyDescent="0.2">
      <c r="A2432">
        <v>2025</v>
      </c>
      <c r="B2432" t="s">
        <v>628</v>
      </c>
      <c r="C2432" t="s">
        <v>594</v>
      </c>
      <c r="D2432" s="19" t="s">
        <v>196</v>
      </c>
      <c r="E2432" s="18" t="s">
        <v>159</v>
      </c>
      <c r="F2432" s="18">
        <v>55</v>
      </c>
      <c r="G2432" s="20">
        <v>1178000</v>
      </c>
      <c r="H2432" s="20">
        <v>-356500</v>
      </c>
      <c r="I2432" s="20">
        <v>522555</v>
      </c>
      <c r="J2432" s="8">
        <f t="shared" si="111"/>
        <v>655445</v>
      </c>
      <c r="K2432" s="10">
        <f t="shared" si="112"/>
        <v>0.55640492359932092</v>
      </c>
      <c r="L2432" s="17">
        <f t="shared" si="113"/>
        <v>0.30263157894736842</v>
      </c>
      <c r="M2432" t="str">
        <f>VLOOKUP(D2432,'Jer-Tip-Emp'!B:E,4,0)</f>
        <v>Combos personales</v>
      </c>
      <c r="N2432" t="str">
        <f>VLOOKUP(D2432,'Jer-Tip-Emp'!B:F,5,0)</f>
        <v>Personal</v>
      </c>
      <c r="O2432" t="str">
        <f>VLOOKUP(D2432,'Jer-Tip-Emp'!B:G,6,0)</f>
        <v>Combo</v>
      </c>
    </row>
    <row r="2433" spans="1:15" ht="27.5" customHeight="1" x14ac:dyDescent="0.2">
      <c r="A2433">
        <v>2025</v>
      </c>
      <c r="B2433" t="s">
        <v>628</v>
      </c>
      <c r="C2433" t="s">
        <v>594</v>
      </c>
      <c r="D2433" s="19" t="s">
        <v>184</v>
      </c>
      <c r="E2433" s="18" t="s">
        <v>162</v>
      </c>
      <c r="F2433" s="18">
        <v>52</v>
      </c>
      <c r="G2433" s="20">
        <v>923050</v>
      </c>
      <c r="H2433" s="20">
        <v>-267750</v>
      </c>
      <c r="I2433" s="18">
        <v>0</v>
      </c>
      <c r="J2433" s="8">
        <f t="shared" ref="J2433:J2496" si="114">G2433-I2433</f>
        <v>923050</v>
      </c>
      <c r="K2433" s="10">
        <f t="shared" ref="K2433:K2496" si="115">IFERROR(J2433/G2433,0)</f>
        <v>1</v>
      </c>
      <c r="L2433" s="17">
        <f t="shared" ref="L2433:L2496" si="116">IFERROR((H2433/G2433)*-1,0)</f>
        <v>0.29007096040301178</v>
      </c>
      <c r="M2433" t="str">
        <f>VLOOKUP(D2433,'Jer-Tip-Emp'!B:E,4,0)</f>
        <v>Combos personales</v>
      </c>
      <c r="N2433" t="str">
        <f>VLOOKUP(D2433,'Jer-Tip-Emp'!B:F,5,0)</f>
        <v>Personal</v>
      </c>
      <c r="O2433" t="str">
        <f>VLOOKUP(D2433,'Jer-Tip-Emp'!B:G,6,0)</f>
        <v>Caja</v>
      </c>
    </row>
    <row r="2434" spans="1:15" ht="27.5" hidden="1" customHeight="1" x14ac:dyDescent="0.2">
      <c r="A2434">
        <v>2025</v>
      </c>
      <c r="B2434" t="s">
        <v>628</v>
      </c>
      <c r="C2434" t="s">
        <v>594</v>
      </c>
      <c r="D2434" s="19" t="s">
        <v>338</v>
      </c>
      <c r="E2434" s="18" t="s">
        <v>579</v>
      </c>
      <c r="F2434" s="18">
        <v>30</v>
      </c>
      <c r="G2434" s="20">
        <v>12000</v>
      </c>
      <c r="H2434" s="18">
        <v>0</v>
      </c>
      <c r="I2434" s="20">
        <v>9630</v>
      </c>
      <c r="J2434" s="8">
        <f t="shared" si="114"/>
        <v>2370</v>
      </c>
      <c r="K2434" s="10">
        <f t="shared" si="115"/>
        <v>0.19750000000000001</v>
      </c>
      <c r="L2434" s="17">
        <f t="shared" si="116"/>
        <v>0</v>
      </c>
      <c r="M2434" t="str">
        <f>VLOOKUP(D2434,'Jer-Tip-Emp'!B:E,4,0)</f>
        <v>Adición</v>
      </c>
      <c r="N2434" t="str">
        <f>VLOOKUP(D2434,'Jer-Tip-Emp'!B:F,5,0)</f>
        <v>Adición</v>
      </c>
      <c r="O2434" t="str">
        <f>VLOOKUP(D2434,'Jer-Tip-Emp'!B:G,6,0)</f>
        <v>Adición</v>
      </c>
    </row>
    <row r="2435" spans="1:15" ht="27.5" customHeight="1" x14ac:dyDescent="0.2">
      <c r="A2435">
        <v>2025</v>
      </c>
      <c r="B2435" t="s">
        <v>628</v>
      </c>
      <c r="C2435" t="s">
        <v>594</v>
      </c>
      <c r="D2435" s="19" t="s">
        <v>177</v>
      </c>
      <c r="E2435" s="18" t="s">
        <v>99</v>
      </c>
      <c r="F2435" s="18">
        <v>26</v>
      </c>
      <c r="G2435" s="20">
        <v>629500</v>
      </c>
      <c r="H2435" s="20">
        <v>-199900</v>
      </c>
      <c r="I2435" s="18">
        <v>0</v>
      </c>
      <c r="J2435" s="8">
        <f t="shared" si="114"/>
        <v>629500</v>
      </c>
      <c r="K2435" s="10">
        <f t="shared" si="115"/>
        <v>1</v>
      </c>
      <c r="L2435" s="17">
        <f t="shared" si="116"/>
        <v>0.31755361397934867</v>
      </c>
      <c r="M2435" t="str">
        <f>VLOOKUP(D2435,'Jer-Tip-Emp'!B:E,4,0)</f>
        <v>Combos personales</v>
      </c>
      <c r="N2435" t="str">
        <f>VLOOKUP(D2435,'Jer-Tip-Emp'!B:F,5,0)</f>
        <v>Personal</v>
      </c>
      <c r="O2435" t="str">
        <f>VLOOKUP(D2435,'Jer-Tip-Emp'!B:G,6,0)</f>
        <v>Combo</v>
      </c>
    </row>
    <row r="2436" spans="1:15" ht="27.5" hidden="1" customHeight="1" x14ac:dyDescent="0.2">
      <c r="A2436">
        <v>2025</v>
      </c>
      <c r="B2436" t="s">
        <v>628</v>
      </c>
      <c r="C2436" t="s">
        <v>594</v>
      </c>
      <c r="D2436" s="19" t="s">
        <v>236</v>
      </c>
      <c r="E2436" s="18" t="s">
        <v>621</v>
      </c>
      <c r="F2436" s="18">
        <v>26</v>
      </c>
      <c r="G2436" s="18">
        <v>0</v>
      </c>
      <c r="H2436" s="18">
        <v>0</v>
      </c>
      <c r="I2436" s="18">
        <v>0</v>
      </c>
      <c r="J2436" s="8">
        <f t="shared" si="114"/>
        <v>0</v>
      </c>
      <c r="K2436" s="10">
        <f t="shared" si="115"/>
        <v>0</v>
      </c>
      <c r="L2436" s="17">
        <f t="shared" si="116"/>
        <v>0</v>
      </c>
      <c r="M2436" t="str">
        <f>VLOOKUP(D2436,'Jer-Tip-Emp'!B:E,4,0)</f>
        <v>Otro</v>
      </c>
      <c r="N2436" t="str">
        <f>VLOOKUP(D2436,'Jer-Tip-Emp'!B:F,5,0)</f>
        <v>Otro</v>
      </c>
      <c r="O2436" t="str">
        <f>VLOOKUP(D2436,'Jer-Tip-Emp'!B:G,6,0)</f>
        <v>Otro</v>
      </c>
    </row>
    <row r="2437" spans="1:15" ht="27.5" customHeight="1" x14ac:dyDescent="0.2">
      <c r="A2437">
        <v>2025</v>
      </c>
      <c r="B2437" t="s">
        <v>628</v>
      </c>
      <c r="C2437" t="s">
        <v>594</v>
      </c>
      <c r="D2437" s="19" t="s">
        <v>376</v>
      </c>
      <c r="E2437" s="18" t="s">
        <v>543</v>
      </c>
      <c r="F2437" s="18">
        <v>19</v>
      </c>
      <c r="G2437" s="18">
        <v>0</v>
      </c>
      <c r="H2437" s="18">
        <v>0</v>
      </c>
      <c r="I2437" s="20">
        <v>24358</v>
      </c>
      <c r="J2437" s="8">
        <f t="shared" si="114"/>
        <v>-24358</v>
      </c>
      <c r="K2437" s="10">
        <f t="shared" si="115"/>
        <v>0</v>
      </c>
      <c r="L2437" s="17">
        <f t="shared" si="116"/>
        <v>0</v>
      </c>
      <c r="M2437" t="str">
        <f>VLOOKUP(D2437,'Jer-Tip-Emp'!B:E,4,0)</f>
        <v>Arma tu plato</v>
      </c>
      <c r="N2437" t="str">
        <f>VLOOKUP(D2437,'Jer-Tip-Emp'!B:F,5,0)</f>
        <v>Personal</v>
      </c>
      <c r="O2437" t="str">
        <f>VLOOKUP(D2437,'Jer-Tip-Emp'!B:G,6,0)</f>
        <v>Caja</v>
      </c>
    </row>
    <row r="2438" spans="1:15" ht="27.5" hidden="1" customHeight="1" x14ac:dyDescent="0.2">
      <c r="A2438">
        <v>2025</v>
      </c>
      <c r="B2438" t="s">
        <v>628</v>
      </c>
      <c r="C2438" t="s">
        <v>594</v>
      </c>
      <c r="D2438" s="19" t="s">
        <v>490</v>
      </c>
      <c r="E2438" s="18" t="s">
        <v>554</v>
      </c>
      <c r="F2438" s="18">
        <v>18</v>
      </c>
      <c r="G2438" s="18">
        <v>0</v>
      </c>
      <c r="H2438" s="18">
        <v>0</v>
      </c>
      <c r="I2438" s="20">
        <v>36882</v>
      </c>
      <c r="J2438" s="8">
        <f t="shared" si="114"/>
        <v>-36882</v>
      </c>
      <c r="K2438" s="10">
        <f t="shared" si="115"/>
        <v>0</v>
      </c>
      <c r="L2438" s="17">
        <f t="shared" si="116"/>
        <v>0</v>
      </c>
      <c r="M2438" t="str">
        <f>VLOOKUP(D2438,'Jer-Tip-Emp'!B:E,4,0)</f>
        <v>Adición</v>
      </c>
      <c r="N2438" t="str">
        <f>VLOOKUP(D2438,'Jer-Tip-Emp'!B:F,5,0)</f>
        <v>Otro</v>
      </c>
      <c r="O2438" t="str">
        <f>VLOOKUP(D2438,'Jer-Tip-Emp'!B:G,6,0)</f>
        <v>Otro</v>
      </c>
    </row>
    <row r="2439" spans="1:15" ht="27.5" hidden="1" customHeight="1" x14ac:dyDescent="0.2">
      <c r="A2439">
        <v>2025</v>
      </c>
      <c r="B2439" t="s">
        <v>628</v>
      </c>
      <c r="C2439" t="s">
        <v>594</v>
      </c>
      <c r="D2439" s="19" t="s">
        <v>236</v>
      </c>
      <c r="E2439" s="18" t="s">
        <v>622</v>
      </c>
      <c r="F2439" s="18">
        <v>17</v>
      </c>
      <c r="G2439" s="20">
        <v>34000</v>
      </c>
      <c r="H2439" s="18">
        <v>0</v>
      </c>
      <c r="I2439" s="18">
        <v>0</v>
      </c>
      <c r="J2439" s="8">
        <f t="shared" si="114"/>
        <v>34000</v>
      </c>
      <c r="K2439" s="10">
        <f t="shared" si="115"/>
        <v>1</v>
      </c>
      <c r="L2439" s="17">
        <f t="shared" si="116"/>
        <v>0</v>
      </c>
      <c r="M2439" t="str">
        <f>VLOOKUP(D2439,'Jer-Tip-Emp'!B:E,4,0)</f>
        <v>Otro</v>
      </c>
      <c r="N2439" t="str">
        <f>VLOOKUP(D2439,'Jer-Tip-Emp'!B:F,5,0)</f>
        <v>Otro</v>
      </c>
      <c r="O2439" t="str">
        <f>VLOOKUP(D2439,'Jer-Tip-Emp'!B:G,6,0)</f>
        <v>Otro</v>
      </c>
    </row>
    <row r="2440" spans="1:15" ht="27.5" customHeight="1" x14ac:dyDescent="0.2">
      <c r="A2440">
        <v>2025</v>
      </c>
      <c r="B2440" t="s">
        <v>628</v>
      </c>
      <c r="C2440" t="s">
        <v>594</v>
      </c>
      <c r="D2440" s="19" t="s">
        <v>313</v>
      </c>
      <c r="E2440" s="18" t="s">
        <v>540</v>
      </c>
      <c r="F2440" s="18">
        <v>16</v>
      </c>
      <c r="G2440" s="18">
        <v>0</v>
      </c>
      <c r="H2440" s="18">
        <v>0</v>
      </c>
      <c r="I2440" s="20">
        <v>87856</v>
      </c>
      <c r="J2440" s="8">
        <f t="shared" si="114"/>
        <v>-87856</v>
      </c>
      <c r="K2440" s="10">
        <f t="shared" si="115"/>
        <v>0</v>
      </c>
      <c r="L2440" s="17">
        <f t="shared" si="116"/>
        <v>0</v>
      </c>
      <c r="M2440" t="str">
        <f>VLOOKUP(D2440,'Jer-Tip-Emp'!B:E,4,0)</f>
        <v>Arma tu plato</v>
      </c>
      <c r="N2440" t="str">
        <f>VLOOKUP(D2440,'Jer-Tip-Emp'!B:F,5,0)</f>
        <v>Personal</v>
      </c>
      <c r="O2440" t="str">
        <f>VLOOKUP(D2440,'Jer-Tip-Emp'!B:G,6,0)</f>
        <v>Caja</v>
      </c>
    </row>
    <row r="2441" spans="1:15" ht="27.5" hidden="1" customHeight="1" x14ac:dyDescent="0.2">
      <c r="A2441">
        <v>2025</v>
      </c>
      <c r="B2441" t="s">
        <v>628</v>
      </c>
      <c r="C2441" t="s">
        <v>594</v>
      </c>
      <c r="D2441" s="19" t="s">
        <v>342</v>
      </c>
      <c r="E2441" s="18" t="s">
        <v>556</v>
      </c>
      <c r="F2441" s="18">
        <v>16</v>
      </c>
      <c r="G2441" s="20">
        <v>121600</v>
      </c>
      <c r="H2441" s="18">
        <v>0</v>
      </c>
      <c r="I2441" s="20">
        <v>49728</v>
      </c>
      <c r="J2441" s="8">
        <f t="shared" si="114"/>
        <v>71872</v>
      </c>
      <c r="K2441" s="10">
        <f t="shared" si="115"/>
        <v>0.59105263157894739</v>
      </c>
      <c r="L2441" s="17">
        <f t="shared" si="116"/>
        <v>0</v>
      </c>
      <c r="M2441" t="str">
        <f>VLOOKUP(D2441,'Jer-Tip-Emp'!B:E,4,0)</f>
        <v>Adición</v>
      </c>
      <c r="N2441" t="str">
        <f>VLOOKUP(D2441,'Jer-Tip-Emp'!B:F,5,0)</f>
        <v>Adición</v>
      </c>
      <c r="O2441" t="str">
        <f>VLOOKUP(D2441,'Jer-Tip-Emp'!B:G,6,0)</f>
        <v>Adición</v>
      </c>
    </row>
    <row r="2442" spans="1:15" ht="27.5" hidden="1" customHeight="1" x14ac:dyDescent="0.2">
      <c r="A2442">
        <v>2025</v>
      </c>
      <c r="B2442" t="s">
        <v>628</v>
      </c>
      <c r="C2442" t="s">
        <v>594</v>
      </c>
      <c r="D2442" s="19" t="s">
        <v>438</v>
      </c>
      <c r="E2442" s="18" t="s">
        <v>563</v>
      </c>
      <c r="F2442" s="18">
        <v>15</v>
      </c>
      <c r="G2442" s="20">
        <v>114000</v>
      </c>
      <c r="H2442" s="18">
        <v>0</v>
      </c>
      <c r="I2442" s="20">
        <v>42735</v>
      </c>
      <c r="J2442" s="8">
        <f t="shared" si="114"/>
        <v>71265</v>
      </c>
      <c r="K2442" s="10">
        <f t="shared" si="115"/>
        <v>0.62513157894736837</v>
      </c>
      <c r="L2442" s="17">
        <f t="shared" si="116"/>
        <v>0</v>
      </c>
      <c r="M2442" t="str">
        <f>VLOOKUP(D2442,'Jer-Tip-Emp'!B:E,4,0)</f>
        <v>Adición</v>
      </c>
      <c r="N2442" t="str">
        <f>VLOOKUP(D2442,'Jer-Tip-Emp'!B:F,5,0)</f>
        <v>Adición</v>
      </c>
      <c r="O2442" t="str">
        <f>VLOOKUP(D2442,'Jer-Tip-Emp'!B:G,6,0)</f>
        <v>Adición</v>
      </c>
    </row>
    <row r="2443" spans="1:15" ht="27.5" customHeight="1" x14ac:dyDescent="0.2">
      <c r="A2443">
        <v>2025</v>
      </c>
      <c r="B2443" t="s">
        <v>628</v>
      </c>
      <c r="C2443" t="s">
        <v>594</v>
      </c>
      <c r="D2443" s="19" t="s">
        <v>294</v>
      </c>
      <c r="E2443" s="18" t="s">
        <v>108</v>
      </c>
      <c r="F2443" s="18">
        <v>13</v>
      </c>
      <c r="G2443" s="20">
        <v>239950</v>
      </c>
      <c r="H2443" s="20">
        <v>-70750</v>
      </c>
      <c r="I2443" s="20">
        <v>106379</v>
      </c>
      <c r="J2443" s="8">
        <f t="shared" si="114"/>
        <v>133571</v>
      </c>
      <c r="K2443" s="10">
        <f t="shared" si="115"/>
        <v>0.55666180454261305</v>
      </c>
      <c r="L2443" s="17">
        <f t="shared" si="116"/>
        <v>0.29485309439466556</v>
      </c>
      <c r="M2443" t="str">
        <f>VLOOKUP(D2443,'Jer-Tip-Emp'!B:E,4,0)</f>
        <v>Mong Express</v>
      </c>
      <c r="N2443" t="str">
        <f>VLOOKUP(D2443,'Jer-Tip-Emp'!B:F,5,0)</f>
        <v>Personal</v>
      </c>
      <c r="O2443" t="str">
        <f>VLOOKUP(D2443,'Jer-Tip-Emp'!B:G,6,0)</f>
        <v>Caja</v>
      </c>
    </row>
    <row r="2444" spans="1:15" ht="27.5" customHeight="1" x14ac:dyDescent="0.2">
      <c r="A2444">
        <v>2025</v>
      </c>
      <c r="B2444" t="s">
        <v>628</v>
      </c>
      <c r="C2444" t="s">
        <v>594</v>
      </c>
      <c r="D2444" s="19" t="s">
        <v>212</v>
      </c>
      <c r="E2444" s="18" t="s">
        <v>160</v>
      </c>
      <c r="F2444" s="18">
        <v>13</v>
      </c>
      <c r="G2444" s="20">
        <v>327100</v>
      </c>
      <c r="H2444" s="20">
        <v>-100600</v>
      </c>
      <c r="I2444" s="20">
        <v>146289</v>
      </c>
      <c r="J2444" s="8">
        <f t="shared" si="114"/>
        <v>180811</v>
      </c>
      <c r="K2444" s="10">
        <f t="shared" si="115"/>
        <v>0.55276979516967284</v>
      </c>
      <c r="L2444" s="17">
        <f t="shared" si="116"/>
        <v>0.30755120758177928</v>
      </c>
      <c r="M2444" t="str">
        <f>VLOOKUP(D2444,'Jer-Tip-Emp'!B:E,4,0)</f>
        <v>Combos personales</v>
      </c>
      <c r="N2444" t="str">
        <f>VLOOKUP(D2444,'Jer-Tip-Emp'!B:F,5,0)</f>
        <v>Personal</v>
      </c>
      <c r="O2444" t="str">
        <f>VLOOKUP(D2444,'Jer-Tip-Emp'!B:G,6,0)</f>
        <v>Combo</v>
      </c>
    </row>
    <row r="2445" spans="1:15" ht="27.5" hidden="1" customHeight="1" x14ac:dyDescent="0.2">
      <c r="A2445">
        <v>2025</v>
      </c>
      <c r="B2445" t="s">
        <v>628</v>
      </c>
      <c r="C2445" t="s">
        <v>594</v>
      </c>
      <c r="D2445" s="19" t="s">
        <v>328</v>
      </c>
      <c r="E2445" s="18" t="s">
        <v>555</v>
      </c>
      <c r="F2445" s="18">
        <v>12</v>
      </c>
      <c r="G2445" s="20">
        <v>12000</v>
      </c>
      <c r="H2445" s="18">
        <v>0</v>
      </c>
      <c r="I2445" s="18">
        <v>708</v>
      </c>
      <c r="J2445" s="8">
        <f t="shared" si="114"/>
        <v>11292</v>
      </c>
      <c r="K2445" s="10">
        <f t="shared" si="115"/>
        <v>0.94099999999999995</v>
      </c>
      <c r="L2445" s="17">
        <f t="shared" si="116"/>
        <v>0</v>
      </c>
      <c r="M2445" t="str">
        <f>VLOOKUP(D2445,'Jer-Tip-Emp'!B:E,4,0)</f>
        <v>Adición</v>
      </c>
      <c r="N2445" t="str">
        <f>VLOOKUP(D2445,'Jer-Tip-Emp'!B:F,5,0)</f>
        <v>Adición</v>
      </c>
      <c r="O2445" t="str">
        <f>VLOOKUP(D2445,'Jer-Tip-Emp'!B:G,6,0)</f>
        <v>Adición</v>
      </c>
    </row>
    <row r="2446" spans="1:15" ht="27.5" customHeight="1" x14ac:dyDescent="0.2">
      <c r="A2446">
        <v>2025</v>
      </c>
      <c r="B2446" t="s">
        <v>628</v>
      </c>
      <c r="C2446" t="s">
        <v>594</v>
      </c>
      <c r="D2446" s="19" t="s">
        <v>186</v>
      </c>
      <c r="E2446" s="18" t="s">
        <v>95</v>
      </c>
      <c r="F2446" s="18">
        <v>12</v>
      </c>
      <c r="G2446" s="20">
        <v>307350</v>
      </c>
      <c r="H2446" s="20">
        <v>-87450</v>
      </c>
      <c r="I2446" s="20">
        <v>114840</v>
      </c>
      <c r="J2446" s="8">
        <f t="shared" si="114"/>
        <v>192510</v>
      </c>
      <c r="K2446" s="10">
        <f t="shared" si="115"/>
        <v>0.62635431918008788</v>
      </c>
      <c r="L2446" s="17">
        <f t="shared" si="116"/>
        <v>0.28452903855539285</v>
      </c>
      <c r="M2446" t="str">
        <f>VLOOKUP(D2446,'Jer-Tip-Emp'!B:E,4,0)</f>
        <v>Combos personales</v>
      </c>
      <c r="N2446" t="str">
        <f>VLOOKUP(D2446,'Jer-Tip-Emp'!B:F,5,0)</f>
        <v>Personal</v>
      </c>
      <c r="O2446" t="str">
        <f>VLOOKUP(D2446,'Jer-Tip-Emp'!B:G,6,0)</f>
        <v>Combo</v>
      </c>
    </row>
    <row r="2447" spans="1:15" ht="27.5" hidden="1" customHeight="1" x14ac:dyDescent="0.2">
      <c r="A2447">
        <v>2025</v>
      </c>
      <c r="B2447" t="s">
        <v>628</v>
      </c>
      <c r="C2447" t="s">
        <v>594</v>
      </c>
      <c r="D2447" s="19" t="s">
        <v>236</v>
      </c>
      <c r="E2447" s="18" t="s">
        <v>623</v>
      </c>
      <c r="F2447" s="18">
        <v>12</v>
      </c>
      <c r="G2447" s="20">
        <v>24000</v>
      </c>
      <c r="H2447" s="18">
        <v>0</v>
      </c>
      <c r="I2447" s="18">
        <v>0</v>
      </c>
      <c r="J2447" s="8">
        <f t="shared" si="114"/>
        <v>24000</v>
      </c>
      <c r="K2447" s="10">
        <f t="shared" si="115"/>
        <v>1</v>
      </c>
      <c r="L2447" s="17">
        <f t="shared" si="116"/>
        <v>0</v>
      </c>
      <c r="M2447" t="str">
        <f>VLOOKUP(D2447,'Jer-Tip-Emp'!B:E,4,0)</f>
        <v>Otro</v>
      </c>
      <c r="N2447" t="str">
        <f>VLOOKUP(D2447,'Jer-Tip-Emp'!B:F,5,0)</f>
        <v>Otro</v>
      </c>
      <c r="O2447" t="str">
        <f>VLOOKUP(D2447,'Jer-Tip-Emp'!B:G,6,0)</f>
        <v>Otro</v>
      </c>
    </row>
    <row r="2448" spans="1:15" ht="27.5" hidden="1" customHeight="1" x14ac:dyDescent="0.2">
      <c r="A2448">
        <v>2025</v>
      </c>
      <c r="B2448" t="s">
        <v>628</v>
      </c>
      <c r="C2448" t="s">
        <v>594</v>
      </c>
      <c r="D2448" s="19" t="s">
        <v>365</v>
      </c>
      <c r="E2448" s="18" t="s">
        <v>558</v>
      </c>
      <c r="F2448" s="18">
        <v>11</v>
      </c>
      <c r="G2448" s="20">
        <v>5500</v>
      </c>
      <c r="H2448" s="18">
        <v>0</v>
      </c>
      <c r="I2448" s="20">
        <v>17259</v>
      </c>
      <c r="J2448" s="8">
        <f t="shared" si="114"/>
        <v>-11759</v>
      </c>
      <c r="K2448" s="10">
        <f t="shared" si="115"/>
        <v>-2.1379999999999999</v>
      </c>
      <c r="L2448" s="17">
        <f t="shared" si="116"/>
        <v>0</v>
      </c>
      <c r="M2448" t="str">
        <f>VLOOKUP(D2448,'Jer-Tip-Emp'!B:E,4,0)</f>
        <v>Adición</v>
      </c>
      <c r="N2448" t="str">
        <f>VLOOKUP(D2448,'Jer-Tip-Emp'!B:F,5,0)</f>
        <v>Otro</v>
      </c>
      <c r="O2448" t="str">
        <f>VLOOKUP(D2448,'Jer-Tip-Emp'!B:G,6,0)</f>
        <v>Otro</v>
      </c>
    </row>
    <row r="2449" spans="1:15" ht="27.5" customHeight="1" x14ac:dyDescent="0.2">
      <c r="A2449">
        <v>2025</v>
      </c>
      <c r="B2449" t="s">
        <v>628</v>
      </c>
      <c r="C2449" t="s">
        <v>594</v>
      </c>
      <c r="D2449" s="19" t="s">
        <v>448</v>
      </c>
      <c r="E2449" s="18" t="s">
        <v>552</v>
      </c>
      <c r="F2449" s="18">
        <v>10</v>
      </c>
      <c r="G2449" s="18">
        <v>0</v>
      </c>
      <c r="H2449" s="18">
        <v>0</v>
      </c>
      <c r="I2449" s="20">
        <v>52630</v>
      </c>
      <c r="J2449" s="8">
        <f t="shared" si="114"/>
        <v>-52630</v>
      </c>
      <c r="K2449" s="10">
        <f t="shared" si="115"/>
        <v>0</v>
      </c>
      <c r="L2449" s="17">
        <f t="shared" si="116"/>
        <v>0</v>
      </c>
      <c r="M2449" t="str">
        <f>VLOOKUP(D2449,'Jer-Tip-Emp'!B:E,4,0)</f>
        <v>Arma tu plato</v>
      </c>
      <c r="N2449" t="str">
        <f>VLOOKUP(D2449,'Jer-Tip-Emp'!B:F,5,0)</f>
        <v>Personal</v>
      </c>
      <c r="O2449" t="str">
        <f>VLOOKUP(D2449,'Jer-Tip-Emp'!B:G,6,0)</f>
        <v>Caja</v>
      </c>
    </row>
    <row r="2450" spans="1:15" ht="27.5" hidden="1" customHeight="1" x14ac:dyDescent="0.2">
      <c r="A2450">
        <v>2025</v>
      </c>
      <c r="B2450" t="s">
        <v>628</v>
      </c>
      <c r="C2450" t="s">
        <v>594</v>
      </c>
      <c r="D2450" s="19" t="s">
        <v>360</v>
      </c>
      <c r="E2450" s="18" t="s">
        <v>620</v>
      </c>
      <c r="F2450" s="18">
        <v>9</v>
      </c>
      <c r="G2450" s="20">
        <v>40500</v>
      </c>
      <c r="H2450" s="18">
        <v>0</v>
      </c>
      <c r="I2450" s="20">
        <v>14121</v>
      </c>
      <c r="J2450" s="8">
        <f t="shared" si="114"/>
        <v>26379</v>
      </c>
      <c r="K2450" s="10">
        <f t="shared" si="115"/>
        <v>0.65133333333333332</v>
      </c>
      <c r="L2450" s="17">
        <f t="shared" si="116"/>
        <v>0</v>
      </c>
      <c r="M2450" t="str">
        <f>VLOOKUP(D2450,'Jer-Tip-Emp'!B:E,4,0)</f>
        <v>Adición</v>
      </c>
      <c r="N2450" t="str">
        <f>VLOOKUP(D2450,'Jer-Tip-Emp'!B:F,5,0)</f>
        <v>Adición</v>
      </c>
      <c r="O2450" t="str">
        <f>VLOOKUP(D2450,'Jer-Tip-Emp'!B:G,6,0)</f>
        <v>Adición</v>
      </c>
    </row>
    <row r="2451" spans="1:15" ht="27.5" hidden="1" customHeight="1" x14ac:dyDescent="0.2">
      <c r="A2451">
        <v>2025</v>
      </c>
      <c r="B2451" t="s">
        <v>628</v>
      </c>
      <c r="C2451" t="s">
        <v>594</v>
      </c>
      <c r="D2451" s="19" t="s">
        <v>284</v>
      </c>
      <c r="E2451" s="18" t="s">
        <v>106</v>
      </c>
      <c r="F2451" s="18">
        <v>9</v>
      </c>
      <c r="G2451" s="20">
        <v>98100</v>
      </c>
      <c r="H2451" s="18">
        <v>0</v>
      </c>
      <c r="I2451" s="20">
        <v>28251</v>
      </c>
      <c r="J2451" s="8">
        <f t="shared" si="114"/>
        <v>69849</v>
      </c>
      <c r="K2451" s="10">
        <f t="shared" si="115"/>
        <v>0.71201834862385316</v>
      </c>
      <c r="L2451" s="17">
        <f t="shared" si="116"/>
        <v>0</v>
      </c>
      <c r="M2451" t="str">
        <f>VLOOKUP(D2451,'Jer-Tip-Emp'!B:E,4,0)</f>
        <v>Entradas</v>
      </c>
      <c r="N2451" t="str">
        <f>VLOOKUP(D2451,'Jer-Tip-Emp'!B:F,5,0)</f>
        <v>Otro</v>
      </c>
      <c r="O2451" t="str">
        <f>VLOOKUP(D2451,'Jer-Tip-Emp'!B:G,6,0)</f>
        <v>Otro</v>
      </c>
    </row>
    <row r="2452" spans="1:15" ht="27.5" customHeight="1" x14ac:dyDescent="0.2">
      <c r="A2452">
        <v>2025</v>
      </c>
      <c r="B2452" t="s">
        <v>628</v>
      </c>
      <c r="C2452" t="s">
        <v>594</v>
      </c>
      <c r="D2452" s="19" t="s">
        <v>333</v>
      </c>
      <c r="E2452" s="18" t="s">
        <v>547</v>
      </c>
      <c r="F2452" s="18">
        <v>9</v>
      </c>
      <c r="G2452" s="18">
        <v>0</v>
      </c>
      <c r="H2452" s="18">
        <v>0</v>
      </c>
      <c r="I2452" s="20">
        <v>29898</v>
      </c>
      <c r="J2452" s="8">
        <f t="shared" si="114"/>
        <v>-29898</v>
      </c>
      <c r="K2452" s="10">
        <f t="shared" si="115"/>
        <v>0</v>
      </c>
      <c r="L2452" s="17">
        <f t="shared" si="116"/>
        <v>0</v>
      </c>
      <c r="M2452" t="str">
        <f>VLOOKUP(D2452,'Jer-Tip-Emp'!B:E,4,0)</f>
        <v>Arma tu plato</v>
      </c>
      <c r="N2452" t="str">
        <f>VLOOKUP(D2452,'Jer-Tip-Emp'!B:F,5,0)</f>
        <v>Personal</v>
      </c>
      <c r="O2452" t="str">
        <f>VLOOKUP(D2452,'Jer-Tip-Emp'!B:G,6,0)</f>
        <v>Caja</v>
      </c>
    </row>
    <row r="2453" spans="1:15" ht="27.5" hidden="1" customHeight="1" x14ac:dyDescent="0.2">
      <c r="A2453">
        <v>2025</v>
      </c>
      <c r="B2453" t="s">
        <v>628</v>
      </c>
      <c r="C2453" t="s">
        <v>594</v>
      </c>
      <c r="D2453" s="19" t="s">
        <v>311</v>
      </c>
      <c r="E2453" s="18" t="s">
        <v>625</v>
      </c>
      <c r="F2453" s="18">
        <v>7</v>
      </c>
      <c r="G2453" s="20">
        <v>39200</v>
      </c>
      <c r="H2453" s="18">
        <v>0</v>
      </c>
      <c r="I2453" s="20">
        <v>14343</v>
      </c>
      <c r="J2453" s="8">
        <f t="shared" si="114"/>
        <v>24857</v>
      </c>
      <c r="K2453" s="10">
        <f t="shared" si="115"/>
        <v>0.63410714285714287</v>
      </c>
      <c r="L2453" s="17">
        <f t="shared" si="116"/>
        <v>0</v>
      </c>
      <c r="M2453" t="str">
        <f>VLOOKUP(D2453,'Jer-Tip-Emp'!B:E,4,0)</f>
        <v>Adición</v>
      </c>
      <c r="N2453" t="str">
        <f>VLOOKUP(D2453,'Jer-Tip-Emp'!B:F,5,0)</f>
        <v>Adición</v>
      </c>
      <c r="O2453" t="str">
        <f>VLOOKUP(D2453,'Jer-Tip-Emp'!B:G,6,0)</f>
        <v>Adición</v>
      </c>
    </row>
    <row r="2454" spans="1:15" ht="27.5" hidden="1" customHeight="1" x14ac:dyDescent="0.2">
      <c r="A2454">
        <v>2025</v>
      </c>
      <c r="B2454" t="s">
        <v>628</v>
      </c>
      <c r="C2454" t="s">
        <v>594</v>
      </c>
      <c r="D2454" s="19" t="s">
        <v>418</v>
      </c>
      <c r="E2454" s="18" t="s">
        <v>557</v>
      </c>
      <c r="F2454" s="18">
        <v>7</v>
      </c>
      <c r="G2454" s="20">
        <v>7000</v>
      </c>
      <c r="H2454" s="18">
        <v>0</v>
      </c>
      <c r="I2454" s="18">
        <v>0</v>
      </c>
      <c r="J2454" s="8">
        <f t="shared" si="114"/>
        <v>7000</v>
      </c>
      <c r="K2454" s="10">
        <f t="shared" si="115"/>
        <v>1</v>
      </c>
      <c r="L2454" s="17">
        <f t="shared" si="116"/>
        <v>0</v>
      </c>
      <c r="M2454" t="str">
        <f>VLOOKUP(D2454,'Jer-Tip-Emp'!B:E,4,0)</f>
        <v>Adición</v>
      </c>
      <c r="N2454" t="str">
        <f>VLOOKUP(D2454,'Jer-Tip-Emp'!B:F,5,0)</f>
        <v>Adición</v>
      </c>
      <c r="O2454" t="str">
        <f>VLOOKUP(D2454,'Jer-Tip-Emp'!B:G,6,0)</f>
        <v>Adición</v>
      </c>
    </row>
    <row r="2455" spans="1:15" ht="27.5" customHeight="1" x14ac:dyDescent="0.2">
      <c r="A2455">
        <v>2025</v>
      </c>
      <c r="B2455" t="s">
        <v>628</v>
      </c>
      <c r="C2455" t="s">
        <v>594</v>
      </c>
      <c r="D2455" s="19" t="s">
        <v>389</v>
      </c>
      <c r="E2455" s="18" t="s">
        <v>541</v>
      </c>
      <c r="F2455" s="18">
        <v>7</v>
      </c>
      <c r="G2455" s="18">
        <v>0</v>
      </c>
      <c r="H2455" s="18">
        <v>0</v>
      </c>
      <c r="I2455" s="20">
        <v>38269</v>
      </c>
      <c r="J2455" s="8">
        <f t="shared" si="114"/>
        <v>-38269</v>
      </c>
      <c r="K2455" s="10">
        <f t="shared" si="115"/>
        <v>0</v>
      </c>
      <c r="L2455" s="17">
        <f t="shared" si="116"/>
        <v>0</v>
      </c>
      <c r="M2455" t="str">
        <f>VLOOKUP(D2455,'Jer-Tip-Emp'!B:E,4,0)</f>
        <v>Arma tu plato</v>
      </c>
      <c r="N2455" t="str">
        <f>VLOOKUP(D2455,'Jer-Tip-Emp'!B:F,5,0)</f>
        <v>Personal</v>
      </c>
      <c r="O2455" t="str">
        <f>VLOOKUP(D2455,'Jer-Tip-Emp'!B:G,6,0)</f>
        <v>Caja</v>
      </c>
    </row>
    <row r="2456" spans="1:15" ht="27.5" hidden="1" customHeight="1" x14ac:dyDescent="0.2">
      <c r="A2456">
        <v>2025</v>
      </c>
      <c r="B2456" t="s">
        <v>628</v>
      </c>
      <c r="C2456" t="s">
        <v>594</v>
      </c>
      <c r="D2456" s="19" t="s">
        <v>236</v>
      </c>
      <c r="E2456" s="18" t="s">
        <v>624</v>
      </c>
      <c r="F2456" s="18">
        <v>7</v>
      </c>
      <c r="G2456" s="20">
        <v>9800</v>
      </c>
      <c r="H2456" s="18">
        <v>0</v>
      </c>
      <c r="I2456" s="18">
        <v>0</v>
      </c>
      <c r="J2456" s="8">
        <f t="shared" si="114"/>
        <v>9800</v>
      </c>
      <c r="K2456" s="10">
        <f t="shared" si="115"/>
        <v>1</v>
      </c>
      <c r="L2456" s="17">
        <f t="shared" si="116"/>
        <v>0</v>
      </c>
      <c r="M2456" t="str">
        <f>VLOOKUP(D2456,'Jer-Tip-Emp'!B:E,4,0)</f>
        <v>Otro</v>
      </c>
      <c r="N2456" t="str">
        <f>VLOOKUP(D2456,'Jer-Tip-Emp'!B:F,5,0)</f>
        <v>Otro</v>
      </c>
      <c r="O2456" t="str">
        <f>VLOOKUP(D2456,'Jer-Tip-Emp'!B:G,6,0)</f>
        <v>Otro</v>
      </c>
    </row>
    <row r="2457" spans="1:15" ht="27.5" hidden="1" customHeight="1" x14ac:dyDescent="0.2">
      <c r="A2457">
        <v>2025</v>
      </c>
      <c r="B2457" t="s">
        <v>628</v>
      </c>
      <c r="C2457" t="s">
        <v>594</v>
      </c>
      <c r="D2457" s="19" t="s">
        <v>236</v>
      </c>
      <c r="E2457" s="18" t="s">
        <v>627</v>
      </c>
      <c r="F2457" s="18">
        <v>6</v>
      </c>
      <c r="G2457" s="20">
        <v>8400</v>
      </c>
      <c r="H2457" s="18">
        <v>0</v>
      </c>
      <c r="I2457" s="18">
        <v>0</v>
      </c>
      <c r="J2457" s="8">
        <f t="shared" si="114"/>
        <v>8400</v>
      </c>
      <c r="K2457" s="10">
        <f t="shared" si="115"/>
        <v>1</v>
      </c>
      <c r="L2457" s="17">
        <f t="shared" si="116"/>
        <v>0</v>
      </c>
      <c r="M2457" t="str">
        <f>VLOOKUP(D2457,'Jer-Tip-Emp'!B:E,4,0)</f>
        <v>Otro</v>
      </c>
      <c r="N2457" t="str">
        <f>VLOOKUP(D2457,'Jer-Tip-Emp'!B:F,5,0)</f>
        <v>Otro</v>
      </c>
      <c r="O2457" t="str">
        <f>VLOOKUP(D2457,'Jer-Tip-Emp'!B:G,6,0)</f>
        <v>Otro</v>
      </c>
    </row>
    <row r="2458" spans="1:15" ht="27.5" hidden="1" customHeight="1" x14ac:dyDescent="0.2">
      <c r="A2458">
        <v>2025</v>
      </c>
      <c r="B2458" t="s">
        <v>628</v>
      </c>
      <c r="C2458" t="s">
        <v>594</v>
      </c>
      <c r="D2458" s="19" t="s">
        <v>400</v>
      </c>
      <c r="E2458" s="18" t="s">
        <v>564</v>
      </c>
      <c r="F2458" s="18">
        <v>5</v>
      </c>
      <c r="G2458" s="20">
        <v>24000</v>
      </c>
      <c r="H2458" s="18">
        <v>0</v>
      </c>
      <c r="I2458" s="20">
        <v>6410</v>
      </c>
      <c r="J2458" s="8">
        <f t="shared" si="114"/>
        <v>17590</v>
      </c>
      <c r="K2458" s="10">
        <f t="shared" si="115"/>
        <v>0.73291666666666666</v>
      </c>
      <c r="L2458" s="17">
        <f t="shared" si="116"/>
        <v>0</v>
      </c>
      <c r="M2458" t="str">
        <f>VLOOKUP(D2458,'Jer-Tip-Emp'!B:E,4,0)</f>
        <v>Adición</v>
      </c>
      <c r="N2458" t="str">
        <f>VLOOKUP(D2458,'Jer-Tip-Emp'!B:F,5,0)</f>
        <v>Adición</v>
      </c>
      <c r="O2458" t="str">
        <f>VLOOKUP(D2458,'Jer-Tip-Emp'!B:G,6,0)</f>
        <v>Adición</v>
      </c>
    </row>
    <row r="2459" spans="1:15" ht="27.5" customHeight="1" x14ac:dyDescent="0.2">
      <c r="A2459">
        <v>2025</v>
      </c>
      <c r="B2459" t="s">
        <v>628</v>
      </c>
      <c r="C2459" t="s">
        <v>594</v>
      </c>
      <c r="D2459" s="19" t="s">
        <v>354</v>
      </c>
      <c r="E2459" s="18" t="s">
        <v>548</v>
      </c>
      <c r="F2459" s="18">
        <v>5</v>
      </c>
      <c r="G2459" s="18">
        <v>0</v>
      </c>
      <c r="H2459" s="18">
        <v>0</v>
      </c>
      <c r="I2459" s="20">
        <v>13170</v>
      </c>
      <c r="J2459" s="8">
        <f t="shared" si="114"/>
        <v>-13170</v>
      </c>
      <c r="K2459" s="10">
        <f t="shared" si="115"/>
        <v>0</v>
      </c>
      <c r="L2459" s="17">
        <f t="shared" si="116"/>
        <v>0</v>
      </c>
      <c r="M2459" t="str">
        <f>VLOOKUP(D2459,'Jer-Tip-Emp'!B:E,4,0)</f>
        <v>Arma tu plato</v>
      </c>
      <c r="N2459" t="str">
        <f>VLOOKUP(D2459,'Jer-Tip-Emp'!B:F,5,0)</f>
        <v>Personal</v>
      </c>
      <c r="O2459" t="str">
        <f>VLOOKUP(D2459,'Jer-Tip-Emp'!B:G,6,0)</f>
        <v>Caja</v>
      </c>
    </row>
    <row r="2460" spans="1:15" ht="27.5" hidden="1" customHeight="1" x14ac:dyDescent="0.2">
      <c r="A2460">
        <v>2025</v>
      </c>
      <c r="B2460" t="s">
        <v>628</v>
      </c>
      <c r="C2460" t="s">
        <v>594</v>
      </c>
      <c r="D2460" s="19" t="s">
        <v>367</v>
      </c>
      <c r="E2460" s="18" t="s">
        <v>566</v>
      </c>
      <c r="F2460" s="18">
        <v>3</v>
      </c>
      <c r="G2460" s="20">
        <v>3000</v>
      </c>
      <c r="H2460" s="18">
        <v>0</v>
      </c>
      <c r="I2460" s="18">
        <v>0</v>
      </c>
      <c r="J2460" s="8">
        <f t="shared" si="114"/>
        <v>3000</v>
      </c>
      <c r="K2460" s="10">
        <f t="shared" si="115"/>
        <v>1</v>
      </c>
      <c r="L2460" s="17">
        <f t="shared" si="116"/>
        <v>0</v>
      </c>
      <c r="M2460" t="str">
        <f>VLOOKUP(D2460,'Jer-Tip-Emp'!B:E,4,0)</f>
        <v>Adición</v>
      </c>
      <c r="N2460" t="str">
        <f>VLOOKUP(D2460,'Jer-Tip-Emp'!B:F,5,0)</f>
        <v>Adición</v>
      </c>
      <c r="O2460" t="str">
        <f>VLOOKUP(D2460,'Jer-Tip-Emp'!B:G,6,0)</f>
        <v>Adición</v>
      </c>
    </row>
    <row r="2461" spans="1:15" ht="27.5" customHeight="1" x14ac:dyDescent="0.2">
      <c r="A2461">
        <v>2025</v>
      </c>
      <c r="B2461" t="s">
        <v>628</v>
      </c>
      <c r="C2461" t="s">
        <v>594</v>
      </c>
      <c r="D2461" s="19" t="s">
        <v>474</v>
      </c>
      <c r="E2461" s="18" t="s">
        <v>553</v>
      </c>
      <c r="F2461" s="18">
        <v>3</v>
      </c>
      <c r="G2461" s="18">
        <v>0</v>
      </c>
      <c r="H2461" s="18">
        <v>0</v>
      </c>
      <c r="I2461" s="20">
        <v>8547</v>
      </c>
      <c r="J2461" s="8">
        <f t="shared" si="114"/>
        <v>-8547</v>
      </c>
      <c r="K2461" s="10">
        <f t="shared" si="115"/>
        <v>0</v>
      </c>
      <c r="L2461" s="17">
        <f t="shared" si="116"/>
        <v>0</v>
      </c>
      <c r="M2461" t="str">
        <f>VLOOKUP(D2461,'Jer-Tip-Emp'!B:E,4,0)</f>
        <v>Arma tu plato</v>
      </c>
      <c r="N2461" t="str">
        <f>VLOOKUP(D2461,'Jer-Tip-Emp'!B:F,5,0)</f>
        <v>Personal</v>
      </c>
      <c r="O2461" t="str">
        <f>VLOOKUP(D2461,'Jer-Tip-Emp'!B:G,6,0)</f>
        <v>Caja</v>
      </c>
    </row>
    <row r="2462" spans="1:15" ht="27.5" customHeight="1" x14ac:dyDescent="0.2">
      <c r="A2462">
        <v>2025</v>
      </c>
      <c r="B2462" t="s">
        <v>628</v>
      </c>
      <c r="C2462" t="s">
        <v>594</v>
      </c>
      <c r="D2462" s="19" t="s">
        <v>322</v>
      </c>
      <c r="E2462" s="18" t="s">
        <v>545</v>
      </c>
      <c r="F2462" s="18">
        <v>3</v>
      </c>
      <c r="G2462" s="20">
        <v>6000</v>
      </c>
      <c r="H2462" s="18">
        <v>0</v>
      </c>
      <c r="I2462" s="20">
        <v>9324</v>
      </c>
      <c r="J2462" s="8">
        <f t="shared" si="114"/>
        <v>-3324</v>
      </c>
      <c r="K2462" s="10">
        <f t="shared" si="115"/>
        <v>-0.55400000000000005</v>
      </c>
      <c r="L2462" s="17">
        <f t="shared" si="116"/>
        <v>0</v>
      </c>
      <c r="M2462" t="str">
        <f>VLOOKUP(D2462,'Jer-Tip-Emp'!B:E,4,0)</f>
        <v>Arma tu plato</v>
      </c>
      <c r="N2462" t="str">
        <f>VLOOKUP(D2462,'Jer-Tip-Emp'!B:F,5,0)</f>
        <v>Personal</v>
      </c>
      <c r="O2462" t="str">
        <f>VLOOKUP(D2462,'Jer-Tip-Emp'!B:G,6,0)</f>
        <v>Caja</v>
      </c>
    </row>
    <row r="2463" spans="1:15" ht="27.5" hidden="1" customHeight="1" x14ac:dyDescent="0.2">
      <c r="A2463">
        <v>2025</v>
      </c>
      <c r="B2463" t="s">
        <v>628</v>
      </c>
      <c r="C2463" t="s">
        <v>594</v>
      </c>
      <c r="D2463" s="19" t="s">
        <v>348</v>
      </c>
      <c r="E2463" s="18" t="s">
        <v>567</v>
      </c>
      <c r="F2463" s="18">
        <v>3</v>
      </c>
      <c r="G2463" s="20">
        <v>24000</v>
      </c>
      <c r="H2463" s="18">
        <v>0</v>
      </c>
      <c r="I2463" s="20">
        <v>5241</v>
      </c>
      <c r="J2463" s="8">
        <f t="shared" si="114"/>
        <v>18759</v>
      </c>
      <c r="K2463" s="10">
        <f t="shared" si="115"/>
        <v>0.78162500000000001</v>
      </c>
      <c r="L2463" s="17">
        <f t="shared" si="116"/>
        <v>0</v>
      </c>
      <c r="M2463" t="str">
        <f>VLOOKUP(D2463,'Jer-Tip-Emp'!B:E,4,0)</f>
        <v>Adición</v>
      </c>
      <c r="N2463" t="str">
        <f>VLOOKUP(D2463,'Jer-Tip-Emp'!B:F,5,0)</f>
        <v>Adición</v>
      </c>
      <c r="O2463" t="str">
        <f>VLOOKUP(D2463,'Jer-Tip-Emp'!B:G,6,0)</f>
        <v>Adición</v>
      </c>
    </row>
    <row r="2464" spans="1:15" ht="27.5" hidden="1" customHeight="1" x14ac:dyDescent="0.2">
      <c r="A2464">
        <v>2025</v>
      </c>
      <c r="B2464" t="s">
        <v>628</v>
      </c>
      <c r="C2464" t="s">
        <v>594</v>
      </c>
      <c r="D2464" s="19" t="s">
        <v>457</v>
      </c>
      <c r="E2464" s="18" t="s">
        <v>602</v>
      </c>
      <c r="F2464" s="18">
        <v>3</v>
      </c>
      <c r="G2464" s="20">
        <v>20100</v>
      </c>
      <c r="H2464" s="18">
        <v>0</v>
      </c>
      <c r="I2464" s="18">
        <v>21</v>
      </c>
      <c r="J2464" s="8">
        <f t="shared" si="114"/>
        <v>20079</v>
      </c>
      <c r="K2464" s="10">
        <f t="shared" si="115"/>
        <v>0.99895522388059699</v>
      </c>
      <c r="L2464" s="17">
        <f t="shared" si="116"/>
        <v>0</v>
      </c>
      <c r="M2464" t="str">
        <f>VLOOKUP(D2464,'Jer-Tip-Emp'!B:E,4,0)</f>
        <v>Adición</v>
      </c>
      <c r="N2464" t="str">
        <f>VLOOKUP(D2464,'Jer-Tip-Emp'!B:F,5,0)</f>
        <v>Adición</v>
      </c>
      <c r="O2464" t="str">
        <f>VLOOKUP(D2464,'Jer-Tip-Emp'!B:G,6,0)</f>
        <v>Adición</v>
      </c>
    </row>
    <row r="2465" spans="1:15" ht="27.5" customHeight="1" x14ac:dyDescent="0.2">
      <c r="A2465">
        <v>2025</v>
      </c>
      <c r="B2465" t="s">
        <v>628</v>
      </c>
      <c r="C2465" t="s">
        <v>594</v>
      </c>
      <c r="D2465" s="19" t="s">
        <v>290</v>
      </c>
      <c r="E2465" s="18" t="s">
        <v>86</v>
      </c>
      <c r="F2465" s="18">
        <v>3</v>
      </c>
      <c r="G2465" s="20">
        <v>305200</v>
      </c>
      <c r="H2465" s="20">
        <v>-84500</v>
      </c>
      <c r="I2465" s="20">
        <v>140340</v>
      </c>
      <c r="J2465" s="8">
        <f t="shared" si="114"/>
        <v>164860</v>
      </c>
      <c r="K2465" s="10">
        <f t="shared" si="115"/>
        <v>0.54017038007863694</v>
      </c>
      <c r="L2465" s="17">
        <f t="shared" si="116"/>
        <v>0.27686762778505897</v>
      </c>
      <c r="M2465" t="str">
        <f>VLOOKUP(D2465,'Jer-Tip-Emp'!B:E,4,0)</f>
        <v>Combos para compartir</v>
      </c>
      <c r="N2465" t="str">
        <f>VLOOKUP(D2465,'Jer-Tip-Emp'!B:F,5,0)</f>
        <v>No Personal</v>
      </c>
      <c r="O2465" t="str">
        <f>VLOOKUP(D2465,'Jer-Tip-Emp'!B:G,6,0)</f>
        <v>Combo</v>
      </c>
    </row>
    <row r="2466" spans="1:15" ht="27.5" hidden="1" customHeight="1" x14ac:dyDescent="0.2">
      <c r="A2466">
        <v>2025</v>
      </c>
      <c r="B2466" t="s">
        <v>628</v>
      </c>
      <c r="C2466" t="s">
        <v>594</v>
      </c>
      <c r="D2466" s="19" t="s">
        <v>282</v>
      </c>
      <c r="E2466" s="18" t="s">
        <v>19</v>
      </c>
      <c r="F2466" s="18">
        <v>2</v>
      </c>
      <c r="G2466" s="20">
        <v>11800</v>
      </c>
      <c r="H2466" s="18">
        <v>0</v>
      </c>
      <c r="I2466" s="20">
        <v>8196</v>
      </c>
      <c r="J2466" s="8">
        <f t="shared" si="114"/>
        <v>3604</v>
      </c>
      <c r="K2466" s="10">
        <f t="shared" si="115"/>
        <v>0.30542372881355934</v>
      </c>
      <c r="L2466" s="17">
        <f t="shared" si="116"/>
        <v>0</v>
      </c>
      <c r="M2466" t="str">
        <f>VLOOKUP(D2466,'Jer-Tip-Emp'!B:E,4,0)</f>
        <v>Adición</v>
      </c>
      <c r="N2466" t="str">
        <f>VLOOKUP(D2466,'Jer-Tip-Emp'!B:F,5,0)</f>
        <v>Adición</v>
      </c>
      <c r="O2466" t="str">
        <f>VLOOKUP(D2466,'Jer-Tip-Emp'!B:G,6,0)</f>
        <v>Adición</v>
      </c>
    </row>
    <row r="2467" spans="1:15" ht="27.5" customHeight="1" x14ac:dyDescent="0.2">
      <c r="A2467">
        <v>2025</v>
      </c>
      <c r="B2467" t="s">
        <v>628</v>
      </c>
      <c r="C2467" t="s">
        <v>594</v>
      </c>
      <c r="D2467" s="19" t="s">
        <v>393</v>
      </c>
      <c r="E2467" s="18" t="s">
        <v>549</v>
      </c>
      <c r="F2467" s="18">
        <v>2</v>
      </c>
      <c r="G2467" s="20">
        <v>4000</v>
      </c>
      <c r="H2467" s="18">
        <v>0</v>
      </c>
      <c r="I2467" s="20">
        <v>4070</v>
      </c>
      <c r="J2467" s="8">
        <f t="shared" si="114"/>
        <v>-70</v>
      </c>
      <c r="K2467" s="10">
        <f t="shared" si="115"/>
        <v>-1.7500000000000002E-2</v>
      </c>
      <c r="L2467" s="17">
        <f t="shared" si="116"/>
        <v>0</v>
      </c>
      <c r="M2467" t="str">
        <f>VLOOKUP(D2467,'Jer-Tip-Emp'!B:E,4,0)</f>
        <v>Arma tu plato</v>
      </c>
      <c r="N2467" t="str">
        <f>VLOOKUP(D2467,'Jer-Tip-Emp'!B:F,5,0)</f>
        <v>Personal</v>
      </c>
      <c r="O2467" t="str">
        <f>VLOOKUP(D2467,'Jer-Tip-Emp'!B:G,6,0)</f>
        <v>Caja</v>
      </c>
    </row>
    <row r="2468" spans="1:15" ht="27.5" hidden="1" customHeight="1" x14ac:dyDescent="0.2">
      <c r="A2468">
        <v>2025</v>
      </c>
      <c r="B2468" t="s">
        <v>628</v>
      </c>
      <c r="C2468" t="s">
        <v>594</v>
      </c>
      <c r="D2468" s="19" t="s">
        <v>189</v>
      </c>
      <c r="E2468" s="18" t="s">
        <v>21</v>
      </c>
      <c r="F2468" s="18">
        <v>2</v>
      </c>
      <c r="G2468" s="20">
        <v>15800</v>
      </c>
      <c r="H2468" s="18">
        <v>0</v>
      </c>
      <c r="I2468" s="20">
        <v>4928</v>
      </c>
      <c r="J2468" s="8">
        <f t="shared" si="114"/>
        <v>10872</v>
      </c>
      <c r="K2468" s="10">
        <f t="shared" si="115"/>
        <v>0.68810126582278486</v>
      </c>
      <c r="L2468" s="17">
        <f t="shared" si="116"/>
        <v>0</v>
      </c>
      <c r="M2468" t="str">
        <f>VLOOKUP(D2468,'Jer-Tip-Emp'!B:E,4,0)</f>
        <v>Adición</v>
      </c>
      <c r="N2468" t="str">
        <f>VLOOKUP(D2468,'Jer-Tip-Emp'!B:F,5,0)</f>
        <v>Adición</v>
      </c>
      <c r="O2468" t="str">
        <f>VLOOKUP(D2468,'Jer-Tip-Emp'!B:G,6,0)</f>
        <v>Adición</v>
      </c>
    </row>
    <row r="2469" spans="1:15" ht="27.5" customHeight="1" x14ac:dyDescent="0.2">
      <c r="A2469">
        <v>2025</v>
      </c>
      <c r="B2469" t="s">
        <v>628</v>
      </c>
      <c r="C2469" t="s">
        <v>594</v>
      </c>
      <c r="D2469" s="19" t="s">
        <v>214</v>
      </c>
      <c r="E2469" s="18" t="s">
        <v>81</v>
      </c>
      <c r="F2469" s="18">
        <v>2</v>
      </c>
      <c r="G2469" s="20">
        <v>116600</v>
      </c>
      <c r="H2469" s="20">
        <v>-29200</v>
      </c>
      <c r="I2469" s="20">
        <v>47276</v>
      </c>
      <c r="J2469" s="8">
        <f t="shared" si="114"/>
        <v>69324</v>
      </c>
      <c r="K2469" s="10">
        <f t="shared" si="115"/>
        <v>0.5945454545454546</v>
      </c>
      <c r="L2469" s="17">
        <f t="shared" si="116"/>
        <v>0.2504288164665523</v>
      </c>
      <c r="M2469" t="str">
        <f>VLOOKUP(D2469,'Jer-Tip-Emp'!B:E,4,0)</f>
        <v>Combos para compartir</v>
      </c>
      <c r="N2469" t="str">
        <f>VLOOKUP(D2469,'Jer-Tip-Emp'!B:F,5,0)</f>
        <v>No Personal</v>
      </c>
      <c r="O2469" t="str">
        <f>VLOOKUP(D2469,'Jer-Tip-Emp'!B:G,6,0)</f>
        <v>Combo</v>
      </c>
    </row>
    <row r="2470" spans="1:15" ht="27.5" customHeight="1" x14ac:dyDescent="0.2">
      <c r="A2470">
        <v>2025</v>
      </c>
      <c r="B2470" t="s">
        <v>628</v>
      </c>
      <c r="C2470" t="s">
        <v>594</v>
      </c>
      <c r="D2470" s="19" t="s">
        <v>266</v>
      </c>
      <c r="E2470" s="18" t="s">
        <v>85</v>
      </c>
      <c r="F2470" s="18">
        <v>2</v>
      </c>
      <c r="G2470" s="20">
        <v>151300</v>
      </c>
      <c r="H2470" s="20">
        <v>-50500</v>
      </c>
      <c r="I2470" s="20">
        <v>78442</v>
      </c>
      <c r="J2470" s="8">
        <f t="shared" si="114"/>
        <v>72858</v>
      </c>
      <c r="K2470" s="10">
        <f t="shared" si="115"/>
        <v>0.48154659616655648</v>
      </c>
      <c r="L2470" s="17">
        <f t="shared" si="116"/>
        <v>0.33377395902181095</v>
      </c>
      <c r="M2470" t="str">
        <f>VLOOKUP(D2470,'Jer-Tip-Emp'!B:E,4,0)</f>
        <v>Combos para compartir</v>
      </c>
      <c r="N2470" t="str">
        <f>VLOOKUP(D2470,'Jer-Tip-Emp'!B:F,5,0)</f>
        <v>No Personal</v>
      </c>
      <c r="O2470" t="str">
        <f>VLOOKUP(D2470,'Jer-Tip-Emp'!B:G,6,0)</f>
        <v>Combo</v>
      </c>
    </row>
    <row r="2471" spans="1:15" ht="27.5" customHeight="1" x14ac:dyDescent="0.2">
      <c r="A2471">
        <v>2025</v>
      </c>
      <c r="B2471" t="s">
        <v>628</v>
      </c>
      <c r="C2471" t="s">
        <v>594</v>
      </c>
      <c r="D2471" s="19" t="s">
        <v>213</v>
      </c>
      <c r="E2471" s="18" t="s">
        <v>101</v>
      </c>
      <c r="F2471" s="18">
        <v>1</v>
      </c>
      <c r="G2471" s="20">
        <v>38900</v>
      </c>
      <c r="H2471" s="18">
        <v>0</v>
      </c>
      <c r="I2471" s="20">
        <v>32801</v>
      </c>
      <c r="J2471" s="8">
        <f t="shared" si="114"/>
        <v>6099</v>
      </c>
      <c r="K2471" s="10">
        <f t="shared" si="115"/>
        <v>0.1567866323907455</v>
      </c>
      <c r="L2471" s="17">
        <f t="shared" si="116"/>
        <v>0</v>
      </c>
      <c r="M2471" t="str">
        <f>VLOOKUP(D2471,'Jer-Tip-Emp'!B:E,4,0)</f>
        <v>Combos personales</v>
      </c>
      <c r="N2471" t="str">
        <f>VLOOKUP(D2471,'Jer-Tip-Emp'!B:F,5,0)</f>
        <v>Personal</v>
      </c>
      <c r="O2471" t="str">
        <f>VLOOKUP(D2471,'Jer-Tip-Emp'!B:G,6,0)</f>
        <v>Combo</v>
      </c>
    </row>
    <row r="2472" spans="1:15" ht="27.5" hidden="1" customHeight="1" x14ac:dyDescent="0.2">
      <c r="A2472">
        <v>2025</v>
      </c>
      <c r="B2472" t="s">
        <v>628</v>
      </c>
      <c r="C2472" t="s">
        <v>594</v>
      </c>
      <c r="D2472" s="19" t="s">
        <v>262</v>
      </c>
      <c r="E2472" s="18" t="s">
        <v>102</v>
      </c>
      <c r="F2472" s="18">
        <v>1</v>
      </c>
      <c r="G2472" s="20">
        <v>26900</v>
      </c>
      <c r="H2472" s="18">
        <v>0</v>
      </c>
      <c r="I2472" s="20">
        <v>6215</v>
      </c>
      <c r="J2472" s="8">
        <f t="shared" si="114"/>
        <v>20685</v>
      </c>
      <c r="K2472" s="10">
        <f t="shared" si="115"/>
        <v>0.76895910780669141</v>
      </c>
      <c r="L2472" s="17">
        <f t="shared" si="116"/>
        <v>0</v>
      </c>
      <c r="M2472" t="str">
        <f>VLOOKUP(D2472,'Jer-Tip-Emp'!B:E,4,0)</f>
        <v>Entradas</v>
      </c>
      <c r="N2472" t="str">
        <f>VLOOKUP(D2472,'Jer-Tip-Emp'!B:F,5,0)</f>
        <v>Otro</v>
      </c>
      <c r="O2472" t="str">
        <f>VLOOKUP(D2472,'Jer-Tip-Emp'!B:G,6,0)</f>
        <v>Otro</v>
      </c>
    </row>
    <row r="2473" spans="1:15" ht="27.5" hidden="1" customHeight="1" x14ac:dyDescent="0.2">
      <c r="A2473">
        <v>2025</v>
      </c>
      <c r="B2473" t="s">
        <v>628</v>
      </c>
      <c r="C2473" t="s">
        <v>594</v>
      </c>
      <c r="D2473" s="19" t="s">
        <v>296</v>
      </c>
      <c r="E2473" s="18" t="s">
        <v>22</v>
      </c>
      <c r="F2473" s="18">
        <v>1</v>
      </c>
      <c r="G2473" s="20">
        <v>8200</v>
      </c>
      <c r="H2473" s="18">
        <v>0</v>
      </c>
      <c r="I2473" s="18">
        <v>689</v>
      </c>
      <c r="J2473" s="8">
        <f t="shared" si="114"/>
        <v>7511</v>
      </c>
      <c r="K2473" s="10">
        <f t="shared" si="115"/>
        <v>0.9159756097560976</v>
      </c>
      <c r="L2473" s="17">
        <f t="shared" si="116"/>
        <v>0</v>
      </c>
      <c r="M2473" t="str">
        <f>VLOOKUP(D2473,'Jer-Tip-Emp'!B:E,4,0)</f>
        <v>Adición</v>
      </c>
      <c r="N2473" t="str">
        <f>VLOOKUP(D2473,'Jer-Tip-Emp'!B:F,5,0)</f>
        <v>Adición</v>
      </c>
      <c r="O2473" t="str">
        <f>VLOOKUP(D2473,'Jer-Tip-Emp'!B:G,6,0)</f>
        <v>Adición</v>
      </c>
    </row>
    <row r="2474" spans="1:15" ht="27.5" customHeight="1" x14ac:dyDescent="0.2">
      <c r="A2474">
        <v>2025</v>
      </c>
      <c r="B2474" t="s">
        <v>629</v>
      </c>
      <c r="C2474" t="s">
        <v>609</v>
      </c>
      <c r="D2474" s="19" t="s">
        <v>294</v>
      </c>
      <c r="E2474" s="18" t="s">
        <v>108</v>
      </c>
      <c r="F2474" s="18">
        <v>185</v>
      </c>
      <c r="G2474" s="20">
        <v>3496500</v>
      </c>
      <c r="H2474" s="18">
        <v>0</v>
      </c>
      <c r="I2474" s="20">
        <v>1513855</v>
      </c>
      <c r="J2474" s="8">
        <f t="shared" si="114"/>
        <v>1982645</v>
      </c>
      <c r="K2474" s="10">
        <f t="shared" si="115"/>
        <v>0.56703703703703701</v>
      </c>
      <c r="L2474" s="17">
        <f t="shared" si="116"/>
        <v>0</v>
      </c>
      <c r="M2474" t="str">
        <f>VLOOKUP(D2474,'Jer-Tip-Emp'!B:E,4,0)</f>
        <v>Mong Express</v>
      </c>
      <c r="N2474" t="str">
        <f>VLOOKUP(D2474,'Jer-Tip-Emp'!B:F,5,0)</f>
        <v>Personal</v>
      </c>
      <c r="O2474" t="str">
        <f>VLOOKUP(D2474,'Jer-Tip-Emp'!B:G,6,0)</f>
        <v>Caja</v>
      </c>
    </row>
    <row r="2475" spans="1:15" ht="27.5" customHeight="1" x14ac:dyDescent="0.2">
      <c r="A2475">
        <v>2025</v>
      </c>
      <c r="B2475" t="s">
        <v>629</v>
      </c>
      <c r="C2475" t="s">
        <v>609</v>
      </c>
      <c r="D2475" s="19" t="s">
        <v>207</v>
      </c>
      <c r="E2475" s="18" t="s">
        <v>92</v>
      </c>
      <c r="F2475" s="18">
        <v>183</v>
      </c>
      <c r="G2475" s="20">
        <v>3955700</v>
      </c>
      <c r="H2475" s="20">
        <v>-52000</v>
      </c>
      <c r="I2475" s="20">
        <v>1761741</v>
      </c>
      <c r="J2475" s="8">
        <f t="shared" si="114"/>
        <v>2193959</v>
      </c>
      <c r="K2475" s="10">
        <f t="shared" si="115"/>
        <v>0.55463230275298936</v>
      </c>
      <c r="L2475" s="17">
        <f t="shared" si="116"/>
        <v>1.3145587380236115E-2</v>
      </c>
      <c r="M2475" t="str">
        <f>VLOOKUP(D2475,'Jer-Tip-Emp'!B:E,4,0)</f>
        <v>Combos personales</v>
      </c>
      <c r="N2475" t="str">
        <f>VLOOKUP(D2475,'Jer-Tip-Emp'!B:F,5,0)</f>
        <v>Personal</v>
      </c>
      <c r="O2475" t="str">
        <f>VLOOKUP(D2475,'Jer-Tip-Emp'!B:G,6,0)</f>
        <v>Combo</v>
      </c>
    </row>
    <row r="2476" spans="1:15" ht="27.5" customHeight="1" x14ac:dyDescent="0.2">
      <c r="A2476">
        <v>2025</v>
      </c>
      <c r="B2476" t="s">
        <v>629</v>
      </c>
      <c r="C2476" t="s">
        <v>609</v>
      </c>
      <c r="D2476" s="19" t="s">
        <v>273</v>
      </c>
      <c r="E2476" s="18" t="s">
        <v>23</v>
      </c>
      <c r="F2476" s="18">
        <v>164</v>
      </c>
      <c r="G2476" s="20">
        <v>4033800</v>
      </c>
      <c r="H2476" s="20">
        <v>-49800</v>
      </c>
      <c r="I2476" s="18">
        <v>0</v>
      </c>
      <c r="J2476" s="8">
        <f t="shared" si="114"/>
        <v>4033800</v>
      </c>
      <c r="K2476" s="10">
        <f t="shared" si="115"/>
        <v>1</v>
      </c>
      <c r="L2476" s="17">
        <f t="shared" si="116"/>
        <v>1.2345679012345678E-2</v>
      </c>
      <c r="M2476" t="str">
        <f>VLOOKUP(D2476,'Jer-Tip-Emp'!B:E,4,0)</f>
        <v>Arma tu plato</v>
      </c>
      <c r="N2476" t="str">
        <f>VLOOKUP(D2476,'Jer-Tip-Emp'!B:F,5,0)</f>
        <v>Personal</v>
      </c>
      <c r="O2476" t="str">
        <f>VLOOKUP(D2476,'Jer-Tip-Emp'!B:G,6,0)</f>
        <v>Caja</v>
      </c>
    </row>
    <row r="2477" spans="1:15" ht="27.5" customHeight="1" x14ac:dyDescent="0.2">
      <c r="A2477">
        <v>2025</v>
      </c>
      <c r="B2477" t="s">
        <v>629</v>
      </c>
      <c r="C2477" t="s">
        <v>609</v>
      </c>
      <c r="D2477" s="19" t="s">
        <v>313</v>
      </c>
      <c r="E2477" s="18" t="s">
        <v>540</v>
      </c>
      <c r="F2477" s="18">
        <v>119</v>
      </c>
      <c r="G2477" s="18">
        <v>0</v>
      </c>
      <c r="H2477" s="18">
        <v>0</v>
      </c>
      <c r="I2477" s="20">
        <v>653429</v>
      </c>
      <c r="J2477" s="8">
        <f t="shared" si="114"/>
        <v>-653429</v>
      </c>
      <c r="K2477" s="10">
        <f t="shared" si="115"/>
        <v>0</v>
      </c>
      <c r="L2477" s="17">
        <f t="shared" si="116"/>
        <v>0</v>
      </c>
      <c r="M2477" t="str">
        <f>VLOOKUP(D2477,'Jer-Tip-Emp'!B:E,4,0)</f>
        <v>Arma tu plato</v>
      </c>
      <c r="N2477" t="str">
        <f>VLOOKUP(D2477,'Jer-Tip-Emp'!B:F,5,0)</f>
        <v>Personal</v>
      </c>
      <c r="O2477" t="str">
        <f>VLOOKUP(D2477,'Jer-Tip-Emp'!B:G,6,0)</f>
        <v>Caja</v>
      </c>
    </row>
    <row r="2478" spans="1:15" ht="27.5" hidden="1" customHeight="1" x14ac:dyDescent="0.2">
      <c r="A2478">
        <v>2025</v>
      </c>
      <c r="B2478" t="s">
        <v>629</v>
      </c>
      <c r="C2478" t="s">
        <v>609</v>
      </c>
      <c r="D2478" s="19" t="s">
        <v>284</v>
      </c>
      <c r="E2478" s="18" t="s">
        <v>106</v>
      </c>
      <c r="F2478" s="18">
        <v>111</v>
      </c>
      <c r="G2478" s="20">
        <v>970100</v>
      </c>
      <c r="H2478" s="20">
        <v>-17800</v>
      </c>
      <c r="I2478" s="20">
        <v>348429</v>
      </c>
      <c r="J2478" s="8">
        <f t="shared" si="114"/>
        <v>621671</v>
      </c>
      <c r="K2478" s="10">
        <f t="shared" si="115"/>
        <v>0.64083187300278321</v>
      </c>
      <c r="L2478" s="17">
        <f t="shared" si="116"/>
        <v>1.834862385321101E-2</v>
      </c>
      <c r="M2478" t="str">
        <f>VLOOKUP(D2478,'Jer-Tip-Emp'!B:E,4,0)</f>
        <v>Entradas</v>
      </c>
      <c r="N2478" t="str">
        <f>VLOOKUP(D2478,'Jer-Tip-Emp'!B:F,5,0)</f>
        <v>Otro</v>
      </c>
      <c r="O2478" t="str">
        <f>VLOOKUP(D2478,'Jer-Tip-Emp'!B:G,6,0)</f>
        <v>Otro</v>
      </c>
    </row>
    <row r="2479" spans="1:15" ht="27.5" customHeight="1" x14ac:dyDescent="0.2">
      <c r="A2479">
        <v>2025</v>
      </c>
      <c r="B2479" t="s">
        <v>629</v>
      </c>
      <c r="C2479" t="s">
        <v>609</v>
      </c>
      <c r="D2479" s="19" t="s">
        <v>196</v>
      </c>
      <c r="E2479" s="18" t="s">
        <v>159</v>
      </c>
      <c r="F2479" s="18">
        <v>103</v>
      </c>
      <c r="G2479" s="20">
        <v>2457800</v>
      </c>
      <c r="H2479" s="20">
        <v>-3900</v>
      </c>
      <c r="I2479" s="20">
        <v>978603</v>
      </c>
      <c r="J2479" s="8">
        <f t="shared" si="114"/>
        <v>1479197</v>
      </c>
      <c r="K2479" s="10">
        <f t="shared" si="115"/>
        <v>0.60183782244283501</v>
      </c>
      <c r="L2479" s="17">
        <f t="shared" si="116"/>
        <v>1.5867849296118479E-3</v>
      </c>
      <c r="M2479" t="str">
        <f>VLOOKUP(D2479,'Jer-Tip-Emp'!B:E,4,0)</f>
        <v>Combos personales</v>
      </c>
      <c r="N2479" t="str">
        <f>VLOOKUP(D2479,'Jer-Tip-Emp'!B:F,5,0)</f>
        <v>Personal</v>
      </c>
      <c r="O2479" t="str">
        <f>VLOOKUP(D2479,'Jer-Tip-Emp'!B:G,6,0)</f>
        <v>Combo</v>
      </c>
    </row>
    <row r="2480" spans="1:15" ht="27.5" customHeight="1" x14ac:dyDescent="0.2">
      <c r="A2480">
        <v>2025</v>
      </c>
      <c r="B2480" t="s">
        <v>629</v>
      </c>
      <c r="C2480" t="s">
        <v>609</v>
      </c>
      <c r="D2480" s="19" t="s">
        <v>186</v>
      </c>
      <c r="E2480" s="18" t="s">
        <v>95</v>
      </c>
      <c r="F2480" s="18">
        <v>96</v>
      </c>
      <c r="G2480" s="20">
        <v>2555500</v>
      </c>
      <c r="H2480" s="20">
        <v>-26900</v>
      </c>
      <c r="I2480" s="20">
        <v>918720</v>
      </c>
      <c r="J2480" s="8">
        <f t="shared" si="114"/>
        <v>1636780</v>
      </c>
      <c r="K2480" s="10">
        <f t="shared" si="115"/>
        <v>0.64049305419683034</v>
      </c>
      <c r="L2480" s="17">
        <f t="shared" si="116"/>
        <v>1.0526315789473684E-2</v>
      </c>
      <c r="M2480" t="str">
        <f>VLOOKUP(D2480,'Jer-Tip-Emp'!B:E,4,0)</f>
        <v>Combos personales</v>
      </c>
      <c r="N2480" t="str">
        <f>VLOOKUP(D2480,'Jer-Tip-Emp'!B:F,5,0)</f>
        <v>Personal</v>
      </c>
      <c r="O2480" t="str">
        <f>VLOOKUP(D2480,'Jer-Tip-Emp'!B:G,6,0)</f>
        <v>Combo</v>
      </c>
    </row>
    <row r="2481" spans="1:15" ht="27.5" customHeight="1" x14ac:dyDescent="0.2">
      <c r="A2481">
        <v>2025</v>
      </c>
      <c r="B2481" t="s">
        <v>629</v>
      </c>
      <c r="C2481" t="s">
        <v>609</v>
      </c>
      <c r="D2481" s="19" t="s">
        <v>245</v>
      </c>
      <c r="E2481" s="18" t="s">
        <v>167</v>
      </c>
      <c r="F2481" s="18">
        <v>82</v>
      </c>
      <c r="G2481" s="20">
        <v>1530900</v>
      </c>
      <c r="H2481" s="20">
        <v>-18900</v>
      </c>
      <c r="I2481" s="18">
        <v>0</v>
      </c>
      <c r="J2481" s="8">
        <f t="shared" si="114"/>
        <v>1530900</v>
      </c>
      <c r="K2481" s="10">
        <f t="shared" si="115"/>
        <v>1</v>
      </c>
      <c r="L2481" s="17">
        <f t="shared" si="116"/>
        <v>1.2345679012345678E-2</v>
      </c>
      <c r="M2481" t="str">
        <f>VLOOKUP(D2481,'Jer-Tip-Emp'!B:E,4,0)</f>
        <v>Mong Express</v>
      </c>
      <c r="N2481" t="str">
        <f>VLOOKUP(D2481,'Jer-Tip-Emp'!B:F,5,0)</f>
        <v>Personal</v>
      </c>
      <c r="O2481" t="str">
        <f>VLOOKUP(D2481,'Jer-Tip-Emp'!B:G,6,0)</f>
        <v>Caja</v>
      </c>
    </row>
    <row r="2482" spans="1:15" ht="27.5" customHeight="1" x14ac:dyDescent="0.2">
      <c r="A2482">
        <v>2025</v>
      </c>
      <c r="B2482" t="s">
        <v>629</v>
      </c>
      <c r="C2482" t="s">
        <v>609</v>
      </c>
      <c r="D2482" s="19" t="s">
        <v>389</v>
      </c>
      <c r="E2482" s="18" t="s">
        <v>541</v>
      </c>
      <c r="F2482" s="18">
        <v>71</v>
      </c>
      <c r="G2482" s="18">
        <v>0</v>
      </c>
      <c r="H2482" s="18">
        <v>0</v>
      </c>
      <c r="I2482" s="20">
        <v>388157</v>
      </c>
      <c r="J2482" s="8">
        <f t="shared" si="114"/>
        <v>-388157</v>
      </c>
      <c r="K2482" s="10">
        <f t="shared" si="115"/>
        <v>0</v>
      </c>
      <c r="L2482" s="17">
        <f t="shared" si="116"/>
        <v>0</v>
      </c>
      <c r="M2482" t="str">
        <f>VLOOKUP(D2482,'Jer-Tip-Emp'!B:E,4,0)</f>
        <v>Arma tu plato</v>
      </c>
      <c r="N2482" t="str">
        <f>VLOOKUP(D2482,'Jer-Tip-Emp'!B:F,5,0)</f>
        <v>Personal</v>
      </c>
      <c r="O2482" t="str">
        <f>VLOOKUP(D2482,'Jer-Tip-Emp'!B:G,6,0)</f>
        <v>Caja</v>
      </c>
    </row>
    <row r="2483" spans="1:15" ht="27.5" customHeight="1" x14ac:dyDescent="0.2">
      <c r="A2483">
        <v>2025</v>
      </c>
      <c r="B2483" t="s">
        <v>629</v>
      </c>
      <c r="C2483" t="s">
        <v>609</v>
      </c>
      <c r="D2483" s="19" t="s">
        <v>212</v>
      </c>
      <c r="E2483" s="18" t="s">
        <v>160</v>
      </c>
      <c r="F2483" s="18">
        <v>68</v>
      </c>
      <c r="G2483" s="20">
        <v>1826501</v>
      </c>
      <c r="H2483" s="20">
        <v>-2699</v>
      </c>
      <c r="I2483" s="20">
        <v>765204</v>
      </c>
      <c r="J2483" s="8">
        <f t="shared" si="114"/>
        <v>1061297</v>
      </c>
      <c r="K2483" s="10">
        <f t="shared" si="115"/>
        <v>0.58105470514387891</v>
      </c>
      <c r="L2483" s="17">
        <f t="shared" si="116"/>
        <v>1.4776887611887429E-3</v>
      </c>
      <c r="M2483" t="str">
        <f>VLOOKUP(D2483,'Jer-Tip-Emp'!B:E,4,0)</f>
        <v>Combos personales</v>
      </c>
      <c r="N2483" t="str">
        <f>VLOOKUP(D2483,'Jer-Tip-Emp'!B:F,5,0)</f>
        <v>Personal</v>
      </c>
      <c r="O2483" t="str">
        <f>VLOOKUP(D2483,'Jer-Tip-Emp'!B:G,6,0)</f>
        <v>Combo</v>
      </c>
    </row>
    <row r="2484" spans="1:15" ht="27.5" customHeight="1" x14ac:dyDescent="0.2">
      <c r="A2484">
        <v>2025</v>
      </c>
      <c r="B2484" t="s">
        <v>629</v>
      </c>
      <c r="C2484" t="s">
        <v>609</v>
      </c>
      <c r="D2484" s="19" t="s">
        <v>393</v>
      </c>
      <c r="E2484" s="18" t="s">
        <v>549</v>
      </c>
      <c r="F2484" s="18">
        <v>57</v>
      </c>
      <c r="G2484" s="20">
        <v>112000</v>
      </c>
      <c r="H2484" s="20">
        <v>-2000</v>
      </c>
      <c r="I2484" s="20">
        <v>115995</v>
      </c>
      <c r="J2484" s="8">
        <f t="shared" si="114"/>
        <v>-3995</v>
      </c>
      <c r="K2484" s="10">
        <f t="shared" si="115"/>
        <v>-3.5669642857142858E-2</v>
      </c>
      <c r="L2484" s="17">
        <f t="shared" si="116"/>
        <v>1.7857142857142856E-2</v>
      </c>
      <c r="M2484" t="str">
        <f>VLOOKUP(D2484,'Jer-Tip-Emp'!B:E,4,0)</f>
        <v>Arma tu plato</v>
      </c>
      <c r="N2484" t="str">
        <f>VLOOKUP(D2484,'Jer-Tip-Emp'!B:F,5,0)</f>
        <v>Personal</v>
      </c>
      <c r="O2484" t="str">
        <f>VLOOKUP(D2484,'Jer-Tip-Emp'!B:G,6,0)</f>
        <v>Caja</v>
      </c>
    </row>
    <row r="2485" spans="1:15" ht="27.5" customHeight="1" x14ac:dyDescent="0.2">
      <c r="A2485">
        <v>2025</v>
      </c>
      <c r="B2485" t="s">
        <v>629</v>
      </c>
      <c r="C2485" t="s">
        <v>609</v>
      </c>
      <c r="D2485" s="19" t="s">
        <v>333</v>
      </c>
      <c r="E2485" s="18" t="s">
        <v>547</v>
      </c>
      <c r="F2485" s="18">
        <v>56</v>
      </c>
      <c r="G2485" s="18">
        <v>0</v>
      </c>
      <c r="H2485" s="18">
        <v>0</v>
      </c>
      <c r="I2485" s="20">
        <v>186032</v>
      </c>
      <c r="J2485" s="8">
        <f t="shared" si="114"/>
        <v>-186032</v>
      </c>
      <c r="K2485" s="10">
        <f t="shared" si="115"/>
        <v>0</v>
      </c>
      <c r="L2485" s="17">
        <f t="shared" si="116"/>
        <v>0</v>
      </c>
      <c r="M2485" t="str">
        <f>VLOOKUP(D2485,'Jer-Tip-Emp'!B:E,4,0)</f>
        <v>Arma tu plato</v>
      </c>
      <c r="N2485" t="str">
        <f>VLOOKUP(D2485,'Jer-Tip-Emp'!B:F,5,0)</f>
        <v>Personal</v>
      </c>
      <c r="O2485" t="str">
        <f>VLOOKUP(D2485,'Jer-Tip-Emp'!B:G,6,0)</f>
        <v>Caja</v>
      </c>
    </row>
    <row r="2486" spans="1:15" ht="27.5" hidden="1" customHeight="1" x14ac:dyDescent="0.2">
      <c r="A2486">
        <v>2025</v>
      </c>
      <c r="B2486" t="s">
        <v>629</v>
      </c>
      <c r="C2486" t="s">
        <v>609</v>
      </c>
      <c r="D2486" s="19" t="s">
        <v>310</v>
      </c>
      <c r="E2486" s="18" t="s">
        <v>53</v>
      </c>
      <c r="F2486" s="18">
        <v>56</v>
      </c>
      <c r="G2486" s="20">
        <v>307151</v>
      </c>
      <c r="H2486" s="18">
        <v>-849</v>
      </c>
      <c r="I2486" s="20">
        <v>94920</v>
      </c>
      <c r="J2486" s="8">
        <f t="shared" si="114"/>
        <v>212231</v>
      </c>
      <c r="K2486" s="10">
        <f t="shared" si="115"/>
        <v>0.69096633252048667</v>
      </c>
      <c r="L2486" s="17">
        <f t="shared" si="116"/>
        <v>2.7641127653824991E-3</v>
      </c>
      <c r="M2486" t="str">
        <f>VLOOKUP(D2486,'Jer-Tip-Emp'!B:E,4,0)</f>
        <v>Bebidas</v>
      </c>
      <c r="N2486" t="str">
        <f>VLOOKUP(D2486,'Jer-Tip-Emp'!B:F,5,0)</f>
        <v>Bebidas</v>
      </c>
      <c r="O2486" t="str">
        <f>VLOOKUP(D2486,'Jer-Tip-Emp'!B:G,6,0)</f>
        <v>Bebidas</v>
      </c>
    </row>
    <row r="2487" spans="1:15" ht="27.5" hidden="1" customHeight="1" x14ac:dyDescent="0.2">
      <c r="A2487">
        <v>2025</v>
      </c>
      <c r="B2487" t="s">
        <v>629</v>
      </c>
      <c r="C2487" t="s">
        <v>609</v>
      </c>
      <c r="D2487" s="19" t="s">
        <v>173</v>
      </c>
      <c r="E2487" s="18" t="s">
        <v>542</v>
      </c>
      <c r="F2487" s="18">
        <v>55</v>
      </c>
      <c r="G2487" s="18">
        <v>0</v>
      </c>
      <c r="H2487" s="18">
        <v>0</v>
      </c>
      <c r="I2487" s="18">
        <v>0</v>
      </c>
      <c r="J2487" s="8">
        <f t="shared" si="114"/>
        <v>0</v>
      </c>
      <c r="K2487" s="10">
        <f t="shared" si="115"/>
        <v>0</v>
      </c>
      <c r="L2487" s="17">
        <f t="shared" si="116"/>
        <v>0</v>
      </c>
      <c r="M2487" t="str">
        <f>VLOOKUP(D2487,'Jer-Tip-Emp'!B:E,4,0)</f>
        <v>Bebidas</v>
      </c>
      <c r="N2487" t="str">
        <f>VLOOKUP(D2487,'Jer-Tip-Emp'!B:F,5,0)</f>
        <v>Bebidas Cambio de bebida</v>
      </c>
      <c r="O2487" t="str">
        <f>VLOOKUP(D2487,'Jer-Tip-Emp'!B:G,6,0)</f>
        <v>Bebidas</v>
      </c>
    </row>
    <row r="2488" spans="1:15" ht="27.5" hidden="1" customHeight="1" x14ac:dyDescent="0.2">
      <c r="A2488">
        <v>2025</v>
      </c>
      <c r="B2488" t="s">
        <v>629</v>
      </c>
      <c r="C2488" t="s">
        <v>609</v>
      </c>
      <c r="D2488" s="19" t="s">
        <v>500</v>
      </c>
      <c r="E2488" s="18" t="s">
        <v>546</v>
      </c>
      <c r="F2488" s="18">
        <v>46</v>
      </c>
      <c r="G2488" s="18">
        <v>0</v>
      </c>
      <c r="H2488" s="18">
        <v>0</v>
      </c>
      <c r="I2488" s="20">
        <v>39928</v>
      </c>
      <c r="J2488" s="8">
        <f t="shared" si="114"/>
        <v>-39928</v>
      </c>
      <c r="K2488" s="10">
        <f t="shared" si="115"/>
        <v>0</v>
      </c>
      <c r="L2488" s="17">
        <f t="shared" si="116"/>
        <v>0</v>
      </c>
      <c r="M2488" t="str">
        <f>VLOOKUP(D2488,'Jer-Tip-Emp'!B:E,4,0)</f>
        <v>Bebidas</v>
      </c>
      <c r="N2488" t="str">
        <f>VLOOKUP(D2488,'Jer-Tip-Emp'!B:F,5,0)</f>
        <v>Bebidas Cambio de bebida</v>
      </c>
      <c r="O2488" t="str">
        <f>VLOOKUP(D2488,'Jer-Tip-Emp'!B:G,6,0)</f>
        <v>Bebidas</v>
      </c>
    </row>
    <row r="2489" spans="1:15" ht="27.5" customHeight="1" x14ac:dyDescent="0.2">
      <c r="A2489">
        <v>2025</v>
      </c>
      <c r="B2489" t="s">
        <v>629</v>
      </c>
      <c r="C2489" t="s">
        <v>609</v>
      </c>
      <c r="D2489" s="19" t="s">
        <v>376</v>
      </c>
      <c r="E2489" s="18" t="s">
        <v>543</v>
      </c>
      <c r="F2489" s="18">
        <v>44</v>
      </c>
      <c r="G2489" s="18">
        <v>0</v>
      </c>
      <c r="H2489" s="18">
        <v>0</v>
      </c>
      <c r="I2489" s="20">
        <v>56408</v>
      </c>
      <c r="J2489" s="8">
        <f t="shared" si="114"/>
        <v>-56408</v>
      </c>
      <c r="K2489" s="10">
        <f t="shared" si="115"/>
        <v>0</v>
      </c>
      <c r="L2489" s="17">
        <f t="shared" si="116"/>
        <v>0</v>
      </c>
      <c r="M2489" t="str">
        <f>VLOOKUP(D2489,'Jer-Tip-Emp'!B:E,4,0)</f>
        <v>Arma tu plato</v>
      </c>
      <c r="N2489" t="str">
        <f>VLOOKUP(D2489,'Jer-Tip-Emp'!B:F,5,0)</f>
        <v>Personal</v>
      </c>
      <c r="O2489" t="str">
        <f>VLOOKUP(D2489,'Jer-Tip-Emp'!B:G,6,0)</f>
        <v>Caja</v>
      </c>
    </row>
    <row r="2490" spans="1:15" ht="27.5" customHeight="1" x14ac:dyDescent="0.2">
      <c r="A2490">
        <v>2025</v>
      </c>
      <c r="B2490" t="s">
        <v>629</v>
      </c>
      <c r="C2490" t="s">
        <v>609</v>
      </c>
      <c r="D2490" s="19" t="s">
        <v>180</v>
      </c>
      <c r="E2490" s="18" t="s">
        <v>128</v>
      </c>
      <c r="F2490" s="18">
        <v>43</v>
      </c>
      <c r="G2490" s="20">
        <v>835800</v>
      </c>
      <c r="H2490" s="20">
        <v>-19900</v>
      </c>
      <c r="I2490" s="20">
        <v>294034</v>
      </c>
      <c r="J2490" s="8">
        <f t="shared" si="114"/>
        <v>541766</v>
      </c>
      <c r="K2490" s="10">
        <f t="shared" si="115"/>
        <v>0.64820052644173243</v>
      </c>
      <c r="L2490" s="17">
        <f t="shared" si="116"/>
        <v>2.3809523809523808E-2</v>
      </c>
      <c r="M2490" t="str">
        <f>VLOOKUP(D2490,'Jer-Tip-Emp'!B:E,4,0)</f>
        <v>Platos mong</v>
      </c>
      <c r="N2490" t="str">
        <f>VLOOKUP(D2490,'Jer-Tip-Emp'!B:F,5,0)</f>
        <v>Personal</v>
      </c>
      <c r="O2490" t="str">
        <f>VLOOKUP(D2490,'Jer-Tip-Emp'!B:G,6,0)</f>
        <v>Caja</v>
      </c>
    </row>
    <row r="2491" spans="1:15" ht="27.5" customHeight="1" x14ac:dyDescent="0.2">
      <c r="A2491">
        <v>2025</v>
      </c>
      <c r="B2491" t="s">
        <v>629</v>
      </c>
      <c r="C2491" t="s">
        <v>609</v>
      </c>
      <c r="D2491" s="19" t="s">
        <v>322</v>
      </c>
      <c r="E2491" s="18" t="s">
        <v>545</v>
      </c>
      <c r="F2491" s="18">
        <v>42</v>
      </c>
      <c r="G2491" s="20">
        <v>82000</v>
      </c>
      <c r="H2491" s="20">
        <v>-2000</v>
      </c>
      <c r="I2491" s="20">
        <v>130536</v>
      </c>
      <c r="J2491" s="8">
        <f t="shared" si="114"/>
        <v>-48536</v>
      </c>
      <c r="K2491" s="10">
        <f t="shared" si="115"/>
        <v>-0.59190243902439021</v>
      </c>
      <c r="L2491" s="17">
        <f t="shared" si="116"/>
        <v>2.4390243902439025E-2</v>
      </c>
      <c r="M2491" t="str">
        <f>VLOOKUP(D2491,'Jer-Tip-Emp'!B:E,4,0)</f>
        <v>Arma tu plato</v>
      </c>
      <c r="N2491" t="str">
        <f>VLOOKUP(D2491,'Jer-Tip-Emp'!B:F,5,0)</f>
        <v>Personal</v>
      </c>
      <c r="O2491" t="str">
        <f>VLOOKUP(D2491,'Jer-Tip-Emp'!B:G,6,0)</f>
        <v>Caja</v>
      </c>
    </row>
    <row r="2492" spans="1:15" ht="27.5" hidden="1" customHeight="1" x14ac:dyDescent="0.2">
      <c r="A2492">
        <v>2025</v>
      </c>
      <c r="B2492" t="s">
        <v>629</v>
      </c>
      <c r="C2492" t="s">
        <v>609</v>
      </c>
      <c r="D2492" s="19" t="s">
        <v>309</v>
      </c>
      <c r="E2492" s="18" t="s">
        <v>48</v>
      </c>
      <c r="F2492" s="18">
        <v>40</v>
      </c>
      <c r="G2492" s="20">
        <v>138272</v>
      </c>
      <c r="H2492" s="20">
        <v>-1728</v>
      </c>
      <c r="I2492" s="20">
        <v>46520</v>
      </c>
      <c r="J2492" s="8">
        <f t="shared" si="114"/>
        <v>91752</v>
      </c>
      <c r="K2492" s="10">
        <f t="shared" si="115"/>
        <v>0.66356167553806988</v>
      </c>
      <c r="L2492" s="17">
        <f t="shared" si="116"/>
        <v>1.2497107151122426E-2</v>
      </c>
      <c r="M2492" t="str">
        <f>VLOOKUP(D2492,'Jer-Tip-Emp'!B:E,4,0)</f>
        <v>Bebidas</v>
      </c>
      <c r="N2492" t="str">
        <f>VLOOKUP(D2492,'Jer-Tip-Emp'!B:F,5,0)</f>
        <v>Bebidas</v>
      </c>
      <c r="O2492" t="str">
        <f>VLOOKUP(D2492,'Jer-Tip-Emp'!B:G,6,0)</f>
        <v>Bebidas</v>
      </c>
    </row>
    <row r="2493" spans="1:15" ht="27.5" hidden="1" customHeight="1" x14ac:dyDescent="0.2">
      <c r="A2493">
        <v>2025</v>
      </c>
      <c r="B2493" t="s">
        <v>629</v>
      </c>
      <c r="C2493" t="s">
        <v>609</v>
      </c>
      <c r="D2493" s="19" t="s">
        <v>327</v>
      </c>
      <c r="E2493" s="18" t="s">
        <v>44</v>
      </c>
      <c r="F2493" s="18">
        <v>40</v>
      </c>
      <c r="G2493" s="20">
        <v>195230</v>
      </c>
      <c r="H2493" s="18">
        <v>-770</v>
      </c>
      <c r="I2493" s="20">
        <v>43800</v>
      </c>
      <c r="J2493" s="8">
        <f t="shared" si="114"/>
        <v>151430</v>
      </c>
      <c r="K2493" s="10">
        <f t="shared" si="115"/>
        <v>0.77564923423654153</v>
      </c>
      <c r="L2493" s="17">
        <f t="shared" si="116"/>
        <v>3.9440659734671923E-3</v>
      </c>
      <c r="M2493" t="str">
        <f>VLOOKUP(D2493,'Jer-Tip-Emp'!B:E,4,0)</f>
        <v>Bebidas</v>
      </c>
      <c r="N2493" t="str">
        <f>VLOOKUP(D2493,'Jer-Tip-Emp'!B:F,5,0)</f>
        <v>Bebidas</v>
      </c>
      <c r="O2493" t="str">
        <f>VLOOKUP(D2493,'Jer-Tip-Emp'!B:G,6,0)</f>
        <v>Bebidas</v>
      </c>
    </row>
    <row r="2494" spans="1:15" ht="27.5" hidden="1" customHeight="1" x14ac:dyDescent="0.2">
      <c r="A2494">
        <v>2025</v>
      </c>
      <c r="B2494" t="s">
        <v>629</v>
      </c>
      <c r="C2494" t="s">
        <v>609</v>
      </c>
      <c r="D2494" s="19" t="s">
        <v>253</v>
      </c>
      <c r="E2494" s="18" t="s">
        <v>105</v>
      </c>
      <c r="F2494" s="18">
        <v>37</v>
      </c>
      <c r="G2494" s="20">
        <v>161674</v>
      </c>
      <c r="H2494" s="20">
        <v>-23326</v>
      </c>
      <c r="I2494" s="20">
        <v>58053</v>
      </c>
      <c r="J2494" s="8">
        <f t="shared" si="114"/>
        <v>103621</v>
      </c>
      <c r="K2494" s="10">
        <f t="shared" si="115"/>
        <v>0.64092556626297359</v>
      </c>
      <c r="L2494" s="17">
        <f t="shared" si="116"/>
        <v>0.14427799151378701</v>
      </c>
      <c r="M2494" t="str">
        <f>VLOOKUP(D2494,'Jer-Tip-Emp'!B:E,4,0)</f>
        <v>Entradas</v>
      </c>
      <c r="N2494" t="str">
        <f>VLOOKUP(D2494,'Jer-Tip-Emp'!B:F,5,0)</f>
        <v>Otro</v>
      </c>
      <c r="O2494" t="str">
        <f>VLOOKUP(D2494,'Jer-Tip-Emp'!B:G,6,0)</f>
        <v>Otro</v>
      </c>
    </row>
    <row r="2495" spans="1:15" ht="27.5" customHeight="1" x14ac:dyDescent="0.2">
      <c r="A2495">
        <v>2025</v>
      </c>
      <c r="B2495" t="s">
        <v>629</v>
      </c>
      <c r="C2495" t="s">
        <v>609</v>
      </c>
      <c r="D2495" s="19" t="s">
        <v>228</v>
      </c>
      <c r="E2495" s="18" t="s">
        <v>96</v>
      </c>
      <c r="F2495" s="18">
        <v>37</v>
      </c>
      <c r="G2495" s="20">
        <v>1069300</v>
      </c>
      <c r="H2495" s="18">
        <v>0</v>
      </c>
      <c r="I2495" s="20">
        <v>379139</v>
      </c>
      <c r="J2495" s="8">
        <f t="shared" si="114"/>
        <v>690161</v>
      </c>
      <c r="K2495" s="10">
        <f t="shared" si="115"/>
        <v>0.64543252595155709</v>
      </c>
      <c r="L2495" s="17">
        <f t="shared" si="116"/>
        <v>0</v>
      </c>
      <c r="M2495" t="str">
        <f>VLOOKUP(D2495,'Jer-Tip-Emp'!B:E,4,0)</f>
        <v>Combos personales</v>
      </c>
      <c r="N2495" t="str">
        <f>VLOOKUP(D2495,'Jer-Tip-Emp'!B:F,5,0)</f>
        <v>Personal</v>
      </c>
      <c r="O2495" t="str">
        <f>VLOOKUP(D2495,'Jer-Tip-Emp'!B:G,6,0)</f>
        <v>Combo</v>
      </c>
    </row>
    <row r="2496" spans="1:15" ht="27.5" customHeight="1" x14ac:dyDescent="0.2">
      <c r="A2496">
        <v>2025</v>
      </c>
      <c r="B2496" t="s">
        <v>629</v>
      </c>
      <c r="C2496" t="s">
        <v>609</v>
      </c>
      <c r="D2496" s="19" t="s">
        <v>303</v>
      </c>
      <c r="E2496" s="18" t="s">
        <v>120</v>
      </c>
      <c r="F2496" s="18">
        <v>33</v>
      </c>
      <c r="G2496" s="20">
        <v>755700</v>
      </c>
      <c r="H2496" s="18">
        <v>0</v>
      </c>
      <c r="I2496" s="20">
        <v>247962</v>
      </c>
      <c r="J2496" s="8">
        <f t="shared" si="114"/>
        <v>507738</v>
      </c>
      <c r="K2496" s="10">
        <f t="shared" si="115"/>
        <v>0.67187772925764189</v>
      </c>
      <c r="L2496" s="17">
        <f t="shared" si="116"/>
        <v>0</v>
      </c>
      <c r="M2496" t="str">
        <f>VLOOKUP(D2496,'Jer-Tip-Emp'!B:E,4,0)</f>
        <v>Platos mong</v>
      </c>
      <c r="N2496" t="str">
        <f>VLOOKUP(D2496,'Jer-Tip-Emp'!B:F,5,0)</f>
        <v>Personal</v>
      </c>
      <c r="O2496" t="str">
        <f>VLOOKUP(D2496,'Jer-Tip-Emp'!B:G,6,0)</f>
        <v>Caja</v>
      </c>
    </row>
    <row r="2497" spans="1:15" ht="27.5" customHeight="1" x14ac:dyDescent="0.2">
      <c r="A2497">
        <v>2025</v>
      </c>
      <c r="B2497" t="s">
        <v>629</v>
      </c>
      <c r="C2497" t="s">
        <v>609</v>
      </c>
      <c r="D2497" s="19" t="s">
        <v>470</v>
      </c>
      <c r="E2497" s="18" t="s">
        <v>550</v>
      </c>
      <c r="F2497" s="18">
        <v>33</v>
      </c>
      <c r="G2497" s="18">
        <v>0</v>
      </c>
      <c r="H2497" s="18">
        <v>0</v>
      </c>
      <c r="I2497" s="20">
        <v>102201</v>
      </c>
      <c r="J2497" s="8">
        <f t="shared" ref="J2497:J2560" si="117">G2497-I2497</f>
        <v>-102201</v>
      </c>
      <c r="K2497" s="10">
        <f t="shared" ref="K2497:K2560" si="118">IFERROR(J2497/G2497,0)</f>
        <v>0</v>
      </c>
      <c r="L2497" s="17">
        <f t="shared" ref="L2497:L2560" si="119">IFERROR((H2497/G2497)*-1,0)</f>
        <v>0</v>
      </c>
      <c r="M2497" t="str">
        <f>VLOOKUP(D2497,'Jer-Tip-Emp'!B:E,4,0)</f>
        <v>Arma tu plato</v>
      </c>
      <c r="N2497" t="str">
        <f>VLOOKUP(D2497,'Jer-Tip-Emp'!B:F,5,0)</f>
        <v>Personal</v>
      </c>
      <c r="O2497" t="str">
        <f>VLOOKUP(D2497,'Jer-Tip-Emp'!B:G,6,0)</f>
        <v>Caja</v>
      </c>
    </row>
    <row r="2498" spans="1:15" ht="27.5" customHeight="1" x14ac:dyDescent="0.2">
      <c r="A2498">
        <v>2025</v>
      </c>
      <c r="B2498" t="s">
        <v>629</v>
      </c>
      <c r="C2498" t="s">
        <v>609</v>
      </c>
      <c r="D2498" s="19" t="s">
        <v>354</v>
      </c>
      <c r="E2498" s="18" t="s">
        <v>548</v>
      </c>
      <c r="F2498" s="18">
        <v>30</v>
      </c>
      <c r="G2498" s="18">
        <v>0</v>
      </c>
      <c r="H2498" s="18">
        <v>0</v>
      </c>
      <c r="I2498" s="20">
        <v>79020</v>
      </c>
      <c r="J2498" s="8">
        <f t="shared" si="117"/>
        <v>-79020</v>
      </c>
      <c r="K2498" s="10">
        <f t="shared" si="118"/>
        <v>0</v>
      </c>
      <c r="L2498" s="17">
        <f t="shared" si="119"/>
        <v>0</v>
      </c>
      <c r="M2498" t="str">
        <f>VLOOKUP(D2498,'Jer-Tip-Emp'!B:E,4,0)</f>
        <v>Arma tu plato</v>
      </c>
      <c r="N2498" t="str">
        <f>VLOOKUP(D2498,'Jer-Tip-Emp'!B:F,5,0)</f>
        <v>Personal</v>
      </c>
      <c r="O2498" t="str">
        <f>VLOOKUP(D2498,'Jer-Tip-Emp'!B:G,6,0)</f>
        <v>Caja</v>
      </c>
    </row>
    <row r="2499" spans="1:15" ht="27.5" hidden="1" customHeight="1" x14ac:dyDescent="0.2">
      <c r="A2499">
        <v>2025</v>
      </c>
      <c r="B2499" t="s">
        <v>629</v>
      </c>
      <c r="C2499" t="s">
        <v>609</v>
      </c>
      <c r="D2499" s="19" t="s">
        <v>189</v>
      </c>
      <c r="E2499" s="18" t="s">
        <v>21</v>
      </c>
      <c r="F2499" s="18">
        <v>25</v>
      </c>
      <c r="G2499" s="20">
        <v>171398</v>
      </c>
      <c r="H2499" s="20">
        <v>-1102</v>
      </c>
      <c r="I2499" s="20">
        <v>61600</v>
      </c>
      <c r="J2499" s="8">
        <f t="shared" si="117"/>
        <v>109798</v>
      </c>
      <c r="K2499" s="10">
        <f t="shared" si="118"/>
        <v>0.64060257412571908</v>
      </c>
      <c r="L2499" s="17">
        <f t="shared" si="119"/>
        <v>6.4294799239197654E-3</v>
      </c>
      <c r="M2499" t="str">
        <f>VLOOKUP(D2499,'Jer-Tip-Emp'!B:E,4,0)</f>
        <v>Adición</v>
      </c>
      <c r="N2499" t="str">
        <f>VLOOKUP(D2499,'Jer-Tip-Emp'!B:F,5,0)</f>
        <v>Adición</v>
      </c>
      <c r="O2499" t="str">
        <f>VLOOKUP(D2499,'Jer-Tip-Emp'!B:G,6,0)</f>
        <v>Adición</v>
      </c>
    </row>
    <row r="2500" spans="1:15" ht="27.5" customHeight="1" x14ac:dyDescent="0.2">
      <c r="A2500">
        <v>2025</v>
      </c>
      <c r="B2500" t="s">
        <v>629</v>
      </c>
      <c r="C2500" t="s">
        <v>609</v>
      </c>
      <c r="D2500" s="19" t="s">
        <v>297</v>
      </c>
      <c r="E2500" s="18" t="s">
        <v>131</v>
      </c>
      <c r="F2500" s="18">
        <v>25</v>
      </c>
      <c r="G2500" s="20">
        <v>447500</v>
      </c>
      <c r="H2500" s="18">
        <v>0</v>
      </c>
      <c r="I2500" s="20">
        <v>136525</v>
      </c>
      <c r="J2500" s="8">
        <f t="shared" si="117"/>
        <v>310975</v>
      </c>
      <c r="K2500" s="10">
        <f t="shared" si="118"/>
        <v>0.69491620111731844</v>
      </c>
      <c r="L2500" s="17">
        <f t="shared" si="119"/>
        <v>0</v>
      </c>
      <c r="M2500" t="str">
        <f>VLOOKUP(D2500,'Jer-Tip-Emp'!B:E,4,0)</f>
        <v>Platos mong</v>
      </c>
      <c r="N2500" t="str">
        <f>VLOOKUP(D2500,'Jer-Tip-Emp'!B:F,5,0)</f>
        <v>Personal</v>
      </c>
      <c r="O2500" t="str">
        <f>VLOOKUP(D2500,'Jer-Tip-Emp'!B:G,6,0)</f>
        <v>Caja</v>
      </c>
    </row>
    <row r="2501" spans="1:15" ht="27.5" customHeight="1" x14ac:dyDescent="0.2">
      <c r="A2501">
        <v>2025</v>
      </c>
      <c r="B2501" t="s">
        <v>629</v>
      </c>
      <c r="C2501" t="s">
        <v>609</v>
      </c>
      <c r="D2501" s="19" t="s">
        <v>285</v>
      </c>
      <c r="E2501" s="18" t="s">
        <v>146</v>
      </c>
      <c r="F2501" s="18">
        <v>23</v>
      </c>
      <c r="G2501" s="20">
        <v>453900</v>
      </c>
      <c r="H2501" s="20">
        <v>-3800</v>
      </c>
      <c r="I2501" s="20">
        <v>194672</v>
      </c>
      <c r="J2501" s="8">
        <f t="shared" si="117"/>
        <v>259228</v>
      </c>
      <c r="K2501" s="10">
        <f t="shared" si="118"/>
        <v>0.57111257986340602</v>
      </c>
      <c r="L2501" s="17">
        <f t="shared" si="119"/>
        <v>8.3718880810751267E-3</v>
      </c>
      <c r="M2501" t="str">
        <f>VLOOKUP(D2501,'Jer-Tip-Emp'!B:E,4,0)</f>
        <v>Platos mong</v>
      </c>
      <c r="N2501" t="str">
        <f>VLOOKUP(D2501,'Jer-Tip-Emp'!B:F,5,0)</f>
        <v>Personal</v>
      </c>
      <c r="O2501" t="str">
        <f>VLOOKUP(D2501,'Jer-Tip-Emp'!B:G,6,0)</f>
        <v>Caja</v>
      </c>
    </row>
    <row r="2502" spans="1:15" ht="27.5" customHeight="1" x14ac:dyDescent="0.2">
      <c r="A2502">
        <v>2025</v>
      </c>
      <c r="B2502" t="s">
        <v>629</v>
      </c>
      <c r="C2502" t="s">
        <v>609</v>
      </c>
      <c r="D2502" s="19" t="s">
        <v>185</v>
      </c>
      <c r="E2502" s="18" t="s">
        <v>98</v>
      </c>
      <c r="F2502" s="18">
        <v>20</v>
      </c>
      <c r="G2502" s="20">
        <v>838000</v>
      </c>
      <c r="H2502" s="18">
        <v>0</v>
      </c>
      <c r="I2502" s="20">
        <v>401060</v>
      </c>
      <c r="J2502" s="8">
        <f t="shared" si="117"/>
        <v>436940</v>
      </c>
      <c r="K2502" s="10">
        <f t="shared" si="118"/>
        <v>0.52140811455847258</v>
      </c>
      <c r="L2502" s="17">
        <f t="shared" si="119"/>
        <v>0</v>
      </c>
      <c r="M2502" t="str">
        <f>VLOOKUP(D2502,'Jer-Tip-Emp'!B:E,4,0)</f>
        <v>Platos mong</v>
      </c>
      <c r="N2502" t="str">
        <f>VLOOKUP(D2502,'Jer-Tip-Emp'!B:F,5,0)</f>
        <v>No Personal</v>
      </c>
      <c r="O2502" t="str">
        <f>VLOOKUP(D2502,'Jer-Tip-Emp'!B:G,6,0)</f>
        <v>Platos Especiales</v>
      </c>
    </row>
    <row r="2503" spans="1:15" ht="27.5" customHeight="1" x14ac:dyDescent="0.2">
      <c r="A2503">
        <v>2025</v>
      </c>
      <c r="B2503" t="s">
        <v>629</v>
      </c>
      <c r="C2503" t="s">
        <v>609</v>
      </c>
      <c r="D2503" s="19" t="s">
        <v>205</v>
      </c>
      <c r="E2503" s="18" t="s">
        <v>141</v>
      </c>
      <c r="F2503" s="18">
        <v>19</v>
      </c>
      <c r="G2503" s="20">
        <v>283100</v>
      </c>
      <c r="H2503" s="18">
        <v>0</v>
      </c>
      <c r="I2503" s="20">
        <v>115216</v>
      </c>
      <c r="J2503" s="8">
        <f t="shared" si="117"/>
        <v>167884</v>
      </c>
      <c r="K2503" s="10">
        <f t="shared" si="118"/>
        <v>0.59302013422818789</v>
      </c>
      <c r="L2503" s="17">
        <f t="shared" si="119"/>
        <v>0</v>
      </c>
      <c r="M2503" t="str">
        <f>VLOOKUP(D2503,'Jer-Tip-Emp'!B:E,4,0)</f>
        <v>Platos mong</v>
      </c>
      <c r="N2503" t="str">
        <f>VLOOKUP(D2503,'Jer-Tip-Emp'!B:F,5,0)</f>
        <v>Personal</v>
      </c>
      <c r="O2503" t="str">
        <f>VLOOKUP(D2503,'Jer-Tip-Emp'!B:G,6,0)</f>
        <v>Caja</v>
      </c>
    </row>
    <row r="2504" spans="1:15" ht="27.5" hidden="1" customHeight="1" x14ac:dyDescent="0.2">
      <c r="A2504">
        <v>2025</v>
      </c>
      <c r="B2504" t="s">
        <v>629</v>
      </c>
      <c r="C2504" t="s">
        <v>609</v>
      </c>
      <c r="D2504" s="19" t="s">
        <v>408</v>
      </c>
      <c r="E2504" s="18" t="s">
        <v>35</v>
      </c>
      <c r="F2504" s="18">
        <v>18</v>
      </c>
      <c r="G2504" s="20">
        <v>45500</v>
      </c>
      <c r="H2504" s="20">
        <v>-17500</v>
      </c>
      <c r="I2504" s="20">
        <v>15624</v>
      </c>
      <c r="J2504" s="8">
        <f t="shared" si="117"/>
        <v>29876</v>
      </c>
      <c r="K2504" s="10">
        <f t="shared" si="118"/>
        <v>0.6566153846153846</v>
      </c>
      <c r="L2504" s="17">
        <f t="shared" si="119"/>
        <v>0.38461538461538464</v>
      </c>
      <c r="M2504" t="str">
        <f>VLOOKUP(D2504,'Jer-Tip-Emp'!B:E,4,0)</f>
        <v>Bebidas</v>
      </c>
      <c r="N2504" t="str">
        <f>VLOOKUP(D2504,'Jer-Tip-Emp'!B:F,5,0)</f>
        <v>Bebidas</v>
      </c>
      <c r="O2504" t="str">
        <f>VLOOKUP(D2504,'Jer-Tip-Emp'!B:G,6,0)</f>
        <v>Bebidas</v>
      </c>
    </row>
    <row r="2505" spans="1:15" ht="27.5" hidden="1" customHeight="1" x14ac:dyDescent="0.2">
      <c r="A2505">
        <v>2025</v>
      </c>
      <c r="B2505" t="s">
        <v>629</v>
      </c>
      <c r="C2505" t="s">
        <v>609</v>
      </c>
      <c r="D2505" s="19" t="s">
        <v>268</v>
      </c>
      <c r="E2505" s="18" t="s">
        <v>17</v>
      </c>
      <c r="F2505" s="18">
        <v>18</v>
      </c>
      <c r="G2505" s="20">
        <v>89202</v>
      </c>
      <c r="H2505" s="18">
        <v>-798</v>
      </c>
      <c r="I2505" s="20">
        <v>23076</v>
      </c>
      <c r="J2505" s="8">
        <f t="shared" si="117"/>
        <v>66126</v>
      </c>
      <c r="K2505" s="10">
        <f t="shared" si="118"/>
        <v>0.74130624873881756</v>
      </c>
      <c r="L2505" s="17">
        <f t="shared" si="119"/>
        <v>8.9459877581220155E-3</v>
      </c>
      <c r="M2505" t="str">
        <f>VLOOKUP(D2505,'Jer-Tip-Emp'!B:E,4,0)</f>
        <v>Adición</v>
      </c>
      <c r="N2505" t="str">
        <f>VLOOKUP(D2505,'Jer-Tip-Emp'!B:F,5,0)</f>
        <v>Adición</v>
      </c>
      <c r="O2505" t="str">
        <f>VLOOKUP(D2505,'Jer-Tip-Emp'!B:G,6,0)</f>
        <v>Adición</v>
      </c>
    </row>
    <row r="2506" spans="1:15" ht="27.5" hidden="1" customHeight="1" x14ac:dyDescent="0.2">
      <c r="A2506">
        <v>2025</v>
      </c>
      <c r="B2506" t="s">
        <v>629</v>
      </c>
      <c r="C2506" t="s">
        <v>609</v>
      </c>
      <c r="D2506" s="19" t="s">
        <v>364</v>
      </c>
      <c r="E2506" s="18" t="s">
        <v>51</v>
      </c>
      <c r="F2506" s="18">
        <v>18</v>
      </c>
      <c r="G2506" s="20">
        <v>59500</v>
      </c>
      <c r="H2506" s="20">
        <v>-3500</v>
      </c>
      <c r="I2506" s="20">
        <v>23238</v>
      </c>
      <c r="J2506" s="8">
        <f t="shared" si="117"/>
        <v>36262</v>
      </c>
      <c r="K2506" s="10">
        <f t="shared" si="118"/>
        <v>0.60944537815126054</v>
      </c>
      <c r="L2506" s="17">
        <f t="shared" si="119"/>
        <v>5.8823529411764705E-2</v>
      </c>
      <c r="M2506" t="str">
        <f>VLOOKUP(D2506,'Jer-Tip-Emp'!B:E,4,0)</f>
        <v>Bebidas</v>
      </c>
      <c r="N2506" t="str">
        <f>VLOOKUP(D2506,'Jer-Tip-Emp'!B:F,5,0)</f>
        <v>Bebidas</v>
      </c>
      <c r="O2506" t="str">
        <f>VLOOKUP(D2506,'Jer-Tip-Emp'!B:G,6,0)</f>
        <v>Bebidas</v>
      </c>
    </row>
    <row r="2507" spans="1:15" ht="27.5" customHeight="1" x14ac:dyDescent="0.2">
      <c r="A2507">
        <v>2025</v>
      </c>
      <c r="B2507" t="s">
        <v>629</v>
      </c>
      <c r="C2507" t="s">
        <v>609</v>
      </c>
      <c r="D2507" s="19" t="s">
        <v>448</v>
      </c>
      <c r="E2507" s="18" t="s">
        <v>552</v>
      </c>
      <c r="F2507" s="18">
        <v>17</v>
      </c>
      <c r="G2507" s="18">
        <v>0</v>
      </c>
      <c r="H2507" s="18">
        <v>0</v>
      </c>
      <c r="I2507" s="20">
        <v>89471</v>
      </c>
      <c r="J2507" s="8">
        <f t="shared" si="117"/>
        <v>-89471</v>
      </c>
      <c r="K2507" s="10">
        <f t="shared" si="118"/>
        <v>0</v>
      </c>
      <c r="L2507" s="17">
        <f t="shared" si="119"/>
        <v>0</v>
      </c>
      <c r="M2507" t="str">
        <f>VLOOKUP(D2507,'Jer-Tip-Emp'!B:E,4,0)</f>
        <v>Arma tu plato</v>
      </c>
      <c r="N2507" t="str">
        <f>VLOOKUP(D2507,'Jer-Tip-Emp'!B:F,5,0)</f>
        <v>Personal</v>
      </c>
      <c r="O2507" t="str">
        <f>VLOOKUP(D2507,'Jer-Tip-Emp'!B:G,6,0)</f>
        <v>Caja</v>
      </c>
    </row>
    <row r="2508" spans="1:15" ht="27.5" customHeight="1" x14ac:dyDescent="0.2">
      <c r="A2508">
        <v>2025</v>
      </c>
      <c r="B2508" t="s">
        <v>629</v>
      </c>
      <c r="C2508" t="s">
        <v>609</v>
      </c>
      <c r="D2508" s="19" t="s">
        <v>232</v>
      </c>
      <c r="E2508" s="18" t="s">
        <v>94</v>
      </c>
      <c r="F2508" s="18">
        <v>17</v>
      </c>
      <c r="G2508" s="20">
        <v>334943</v>
      </c>
      <c r="H2508" s="20">
        <v>-37357</v>
      </c>
      <c r="I2508" s="20">
        <v>159868</v>
      </c>
      <c r="J2508" s="8">
        <f t="shared" si="117"/>
        <v>175075</v>
      </c>
      <c r="K2508" s="10">
        <f t="shared" si="118"/>
        <v>0.52270087746273242</v>
      </c>
      <c r="L2508" s="17">
        <f t="shared" si="119"/>
        <v>0.11153240999214792</v>
      </c>
      <c r="M2508" t="str">
        <f>VLOOKUP(D2508,'Jer-Tip-Emp'!B:E,4,0)</f>
        <v>Platos mong</v>
      </c>
      <c r="N2508" t="str">
        <f>VLOOKUP(D2508,'Jer-Tip-Emp'!B:F,5,0)</f>
        <v>Personal</v>
      </c>
      <c r="O2508" t="str">
        <f>VLOOKUP(D2508,'Jer-Tip-Emp'!B:G,6,0)</f>
        <v>Caja</v>
      </c>
    </row>
    <row r="2509" spans="1:15" ht="27.5" customHeight="1" x14ac:dyDescent="0.2">
      <c r="A2509">
        <v>2025</v>
      </c>
      <c r="B2509" t="s">
        <v>629</v>
      </c>
      <c r="C2509" t="s">
        <v>609</v>
      </c>
      <c r="D2509" s="19" t="s">
        <v>295</v>
      </c>
      <c r="E2509" s="18" t="s">
        <v>110</v>
      </c>
      <c r="F2509" s="18">
        <v>17</v>
      </c>
      <c r="G2509" s="20">
        <v>268500</v>
      </c>
      <c r="H2509" s="20">
        <v>-35800</v>
      </c>
      <c r="I2509" s="20">
        <v>115056</v>
      </c>
      <c r="J2509" s="8">
        <f t="shared" si="117"/>
        <v>153444</v>
      </c>
      <c r="K2509" s="10">
        <f t="shared" si="118"/>
        <v>0.57148603351955307</v>
      </c>
      <c r="L2509" s="17">
        <f t="shared" si="119"/>
        <v>0.13333333333333333</v>
      </c>
      <c r="M2509" t="str">
        <f>VLOOKUP(D2509,'Jer-Tip-Emp'!B:E,4,0)</f>
        <v>Platos mong</v>
      </c>
      <c r="N2509" t="str">
        <f>VLOOKUP(D2509,'Jer-Tip-Emp'!B:F,5,0)</f>
        <v>Personal</v>
      </c>
      <c r="O2509" t="str">
        <f>VLOOKUP(D2509,'Jer-Tip-Emp'!B:G,6,0)</f>
        <v>Caja</v>
      </c>
    </row>
    <row r="2510" spans="1:15" ht="27.5" customHeight="1" x14ac:dyDescent="0.2">
      <c r="A2510">
        <v>2025</v>
      </c>
      <c r="B2510" t="s">
        <v>629</v>
      </c>
      <c r="C2510" t="s">
        <v>609</v>
      </c>
      <c r="D2510" s="19" t="s">
        <v>474</v>
      </c>
      <c r="E2510" s="18" t="s">
        <v>553</v>
      </c>
      <c r="F2510" s="18">
        <v>16</v>
      </c>
      <c r="G2510" s="18">
        <v>0</v>
      </c>
      <c r="H2510" s="18">
        <v>0</v>
      </c>
      <c r="I2510" s="20">
        <v>45584</v>
      </c>
      <c r="J2510" s="8">
        <f t="shared" si="117"/>
        <v>-45584</v>
      </c>
      <c r="K2510" s="10">
        <f t="shared" si="118"/>
        <v>0</v>
      </c>
      <c r="L2510" s="17">
        <f t="shared" si="119"/>
        <v>0</v>
      </c>
      <c r="M2510" t="str">
        <f>VLOOKUP(D2510,'Jer-Tip-Emp'!B:E,4,0)</f>
        <v>Arma tu plato</v>
      </c>
      <c r="N2510" t="str">
        <f>VLOOKUP(D2510,'Jer-Tip-Emp'!B:F,5,0)</f>
        <v>Personal</v>
      </c>
      <c r="O2510" t="str">
        <f>VLOOKUP(D2510,'Jer-Tip-Emp'!B:G,6,0)</f>
        <v>Caja</v>
      </c>
    </row>
    <row r="2511" spans="1:15" ht="27.5" hidden="1" customHeight="1" x14ac:dyDescent="0.2">
      <c r="A2511">
        <v>2025</v>
      </c>
      <c r="B2511" t="s">
        <v>629</v>
      </c>
      <c r="C2511" t="s">
        <v>609</v>
      </c>
      <c r="D2511" s="19" t="s">
        <v>351</v>
      </c>
      <c r="E2511" s="18" t="s">
        <v>55</v>
      </c>
      <c r="F2511" s="18">
        <v>15</v>
      </c>
      <c r="G2511" s="20">
        <v>82500</v>
      </c>
      <c r="H2511" s="18">
        <v>0</v>
      </c>
      <c r="I2511" s="20">
        <v>21720</v>
      </c>
      <c r="J2511" s="8">
        <f t="shared" si="117"/>
        <v>60780</v>
      </c>
      <c r="K2511" s="10">
        <f t="shared" si="118"/>
        <v>0.73672727272727268</v>
      </c>
      <c r="L2511" s="17">
        <f t="shared" si="119"/>
        <v>0</v>
      </c>
      <c r="M2511" t="str">
        <f>VLOOKUP(D2511,'Jer-Tip-Emp'!B:E,4,0)</f>
        <v>Bebidas</v>
      </c>
      <c r="N2511" t="str">
        <f>VLOOKUP(D2511,'Jer-Tip-Emp'!B:F,5,0)</f>
        <v>Bebidas</v>
      </c>
      <c r="O2511" t="str">
        <f>VLOOKUP(D2511,'Jer-Tip-Emp'!B:G,6,0)</f>
        <v>Bebidas</v>
      </c>
    </row>
    <row r="2512" spans="1:15" ht="27.5" hidden="1" customHeight="1" x14ac:dyDescent="0.2">
      <c r="A2512">
        <v>2025</v>
      </c>
      <c r="B2512" t="s">
        <v>629</v>
      </c>
      <c r="C2512" t="s">
        <v>609</v>
      </c>
      <c r="D2512" s="19" t="s">
        <v>336</v>
      </c>
      <c r="E2512" s="18" t="s">
        <v>60</v>
      </c>
      <c r="F2512" s="18">
        <v>15</v>
      </c>
      <c r="G2512" s="20">
        <v>73500</v>
      </c>
      <c r="H2512" s="18">
        <v>0</v>
      </c>
      <c r="I2512" s="20">
        <v>23400</v>
      </c>
      <c r="J2512" s="8">
        <f t="shared" si="117"/>
        <v>50100</v>
      </c>
      <c r="K2512" s="10">
        <f t="shared" si="118"/>
        <v>0.68163265306122445</v>
      </c>
      <c r="L2512" s="17">
        <f t="shared" si="119"/>
        <v>0</v>
      </c>
      <c r="M2512" t="str">
        <f>VLOOKUP(D2512,'Jer-Tip-Emp'!B:E,4,0)</f>
        <v>Bebidas</v>
      </c>
      <c r="N2512" t="str">
        <f>VLOOKUP(D2512,'Jer-Tip-Emp'!B:F,5,0)</f>
        <v>Bebidas</v>
      </c>
      <c r="O2512" t="str">
        <f>VLOOKUP(D2512,'Jer-Tip-Emp'!B:G,6,0)</f>
        <v>Bebidas</v>
      </c>
    </row>
    <row r="2513" spans="1:15" ht="27.5" hidden="1" customHeight="1" x14ac:dyDescent="0.2">
      <c r="A2513">
        <v>2025</v>
      </c>
      <c r="B2513" t="s">
        <v>629</v>
      </c>
      <c r="C2513" t="s">
        <v>609</v>
      </c>
      <c r="D2513" s="19" t="s">
        <v>403</v>
      </c>
      <c r="E2513" s="18" t="s">
        <v>45</v>
      </c>
      <c r="F2513" s="18">
        <v>14</v>
      </c>
      <c r="G2513" s="20">
        <v>118800</v>
      </c>
      <c r="H2513" s="20">
        <v>-19800</v>
      </c>
      <c r="I2513" s="20">
        <v>63014</v>
      </c>
      <c r="J2513" s="8">
        <f t="shared" si="117"/>
        <v>55786</v>
      </c>
      <c r="K2513" s="10">
        <f t="shared" si="118"/>
        <v>0.4695791245791246</v>
      </c>
      <c r="L2513" s="17">
        <f t="shared" si="119"/>
        <v>0.16666666666666666</v>
      </c>
      <c r="M2513" t="str">
        <f>VLOOKUP(D2513,'Jer-Tip-Emp'!B:E,4,0)</f>
        <v>Bebidas</v>
      </c>
      <c r="N2513" t="str">
        <f>VLOOKUP(D2513,'Jer-Tip-Emp'!B:F,5,0)</f>
        <v>Bebidas</v>
      </c>
      <c r="O2513" t="str">
        <f>VLOOKUP(D2513,'Jer-Tip-Emp'!B:G,6,0)</f>
        <v>Bebidas</v>
      </c>
    </row>
    <row r="2514" spans="1:15" ht="27.5" customHeight="1" x14ac:dyDescent="0.2">
      <c r="A2514">
        <v>2025</v>
      </c>
      <c r="B2514" t="s">
        <v>629</v>
      </c>
      <c r="C2514" t="s">
        <v>609</v>
      </c>
      <c r="D2514" s="19" t="s">
        <v>246</v>
      </c>
      <c r="E2514" s="18" t="s">
        <v>29</v>
      </c>
      <c r="F2514" s="18">
        <v>14</v>
      </c>
      <c r="G2514" s="20">
        <v>96600</v>
      </c>
      <c r="H2514" s="18">
        <v>0</v>
      </c>
      <c r="I2514" s="18">
        <v>0</v>
      </c>
      <c r="J2514" s="8">
        <f t="shared" si="117"/>
        <v>96600</v>
      </c>
      <c r="K2514" s="10">
        <f t="shared" si="118"/>
        <v>1</v>
      </c>
      <c r="L2514" s="17">
        <f t="shared" si="119"/>
        <v>0</v>
      </c>
      <c r="M2514" t="str">
        <f>VLOOKUP(D2514,'Jer-Tip-Emp'!B:E,4,0)</f>
        <v>Armalo en combo</v>
      </c>
      <c r="N2514" t="str">
        <f>VLOOKUP(D2514,'Jer-Tip-Emp'!B:F,5,0)</f>
        <v>Personal</v>
      </c>
      <c r="O2514" t="str">
        <f>VLOOKUP(D2514,'Jer-Tip-Emp'!B:G,6,0)</f>
        <v>Combo</v>
      </c>
    </row>
    <row r="2515" spans="1:15" ht="27.5" customHeight="1" x14ac:dyDescent="0.2">
      <c r="A2515">
        <v>2025</v>
      </c>
      <c r="B2515" t="s">
        <v>629</v>
      </c>
      <c r="C2515" t="s">
        <v>609</v>
      </c>
      <c r="D2515" s="19" t="s">
        <v>223</v>
      </c>
      <c r="E2515" s="18" t="s">
        <v>116</v>
      </c>
      <c r="F2515" s="18">
        <v>13</v>
      </c>
      <c r="G2515" s="20">
        <v>388700</v>
      </c>
      <c r="H2515" s="18">
        <v>0</v>
      </c>
      <c r="I2515" s="20">
        <v>177294</v>
      </c>
      <c r="J2515" s="8">
        <f t="shared" si="117"/>
        <v>211406</v>
      </c>
      <c r="K2515" s="10">
        <f t="shared" si="118"/>
        <v>0.54387959866220736</v>
      </c>
      <c r="L2515" s="17">
        <f t="shared" si="119"/>
        <v>0</v>
      </c>
      <c r="M2515" t="str">
        <f>VLOOKUP(D2515,'Jer-Tip-Emp'!B:E,4,0)</f>
        <v>Platos especiales</v>
      </c>
      <c r="N2515" t="str">
        <f>VLOOKUP(D2515,'Jer-Tip-Emp'!B:F,5,0)</f>
        <v>Personal</v>
      </c>
      <c r="O2515" t="str">
        <f>VLOOKUP(D2515,'Jer-Tip-Emp'!B:G,6,0)</f>
        <v>Platos especiales</v>
      </c>
    </row>
    <row r="2516" spans="1:15" ht="27.5" customHeight="1" x14ac:dyDescent="0.2">
      <c r="A2516">
        <v>2025</v>
      </c>
      <c r="B2516" t="s">
        <v>629</v>
      </c>
      <c r="C2516" t="s">
        <v>609</v>
      </c>
      <c r="D2516" s="19" t="s">
        <v>298</v>
      </c>
      <c r="E2516" s="18" t="s">
        <v>153</v>
      </c>
      <c r="F2516" s="18">
        <v>12</v>
      </c>
      <c r="G2516" s="20">
        <v>216900</v>
      </c>
      <c r="H2516" s="20">
        <v>-21900</v>
      </c>
      <c r="I2516" s="20">
        <v>102252</v>
      </c>
      <c r="J2516" s="8">
        <f t="shared" si="117"/>
        <v>114648</v>
      </c>
      <c r="K2516" s="10">
        <f t="shared" si="118"/>
        <v>0.52857538035961271</v>
      </c>
      <c r="L2516" s="17">
        <f t="shared" si="119"/>
        <v>0.10096818810511757</v>
      </c>
      <c r="M2516" t="str">
        <f>VLOOKUP(D2516,'Jer-Tip-Emp'!B:E,4,0)</f>
        <v>Platos mong</v>
      </c>
      <c r="N2516" t="str">
        <f>VLOOKUP(D2516,'Jer-Tip-Emp'!B:F,5,0)</f>
        <v>Personal</v>
      </c>
      <c r="O2516" t="str">
        <f>VLOOKUP(D2516,'Jer-Tip-Emp'!B:G,6,0)</f>
        <v>Caja</v>
      </c>
    </row>
    <row r="2517" spans="1:15" ht="27.5" customHeight="1" x14ac:dyDescent="0.2">
      <c r="A2517">
        <v>2025</v>
      </c>
      <c r="B2517" t="s">
        <v>629</v>
      </c>
      <c r="C2517" t="s">
        <v>609</v>
      </c>
      <c r="D2517" s="19" t="s">
        <v>244</v>
      </c>
      <c r="E2517" s="18" t="s">
        <v>113</v>
      </c>
      <c r="F2517" s="18">
        <v>12</v>
      </c>
      <c r="G2517" s="20">
        <v>287100</v>
      </c>
      <c r="H2517" s="20">
        <v>-95700</v>
      </c>
      <c r="I2517" s="20">
        <v>91260</v>
      </c>
      <c r="J2517" s="8">
        <f t="shared" si="117"/>
        <v>195840</v>
      </c>
      <c r="K2517" s="10">
        <f t="shared" si="118"/>
        <v>0.68213166144200632</v>
      </c>
      <c r="L2517" s="17">
        <f t="shared" si="119"/>
        <v>0.33333333333333331</v>
      </c>
      <c r="M2517" t="str">
        <f>VLOOKUP(D2517,'Jer-Tip-Emp'!B:E,4,0)</f>
        <v>Platos especiales</v>
      </c>
      <c r="N2517" t="str">
        <f>VLOOKUP(D2517,'Jer-Tip-Emp'!B:F,5,0)</f>
        <v>Personal</v>
      </c>
      <c r="O2517" t="str">
        <f>VLOOKUP(D2517,'Jer-Tip-Emp'!B:G,6,0)</f>
        <v>Platos especiales</v>
      </c>
    </row>
    <row r="2518" spans="1:15" ht="27.5" hidden="1" customHeight="1" x14ac:dyDescent="0.2">
      <c r="A2518">
        <v>2025</v>
      </c>
      <c r="B2518" t="s">
        <v>629</v>
      </c>
      <c r="C2518" t="s">
        <v>609</v>
      </c>
      <c r="D2518" s="19" t="s">
        <v>262</v>
      </c>
      <c r="E2518" s="18" t="s">
        <v>102</v>
      </c>
      <c r="F2518" s="18">
        <v>12</v>
      </c>
      <c r="G2518" s="20">
        <v>240900</v>
      </c>
      <c r="H2518" s="20">
        <v>-21900</v>
      </c>
      <c r="I2518" s="20">
        <v>74580</v>
      </c>
      <c r="J2518" s="8">
        <f t="shared" si="117"/>
        <v>166320</v>
      </c>
      <c r="K2518" s="10">
        <f t="shared" si="118"/>
        <v>0.69041095890410964</v>
      </c>
      <c r="L2518" s="17">
        <f t="shared" si="119"/>
        <v>9.0909090909090912E-2</v>
      </c>
      <c r="M2518" t="str">
        <f>VLOOKUP(D2518,'Jer-Tip-Emp'!B:E,4,0)</f>
        <v>Entradas</v>
      </c>
      <c r="N2518" t="str">
        <f>VLOOKUP(D2518,'Jer-Tip-Emp'!B:F,5,0)</f>
        <v>Otro</v>
      </c>
      <c r="O2518" t="str">
        <f>VLOOKUP(D2518,'Jer-Tip-Emp'!B:G,6,0)</f>
        <v>Otro</v>
      </c>
    </row>
    <row r="2519" spans="1:15" ht="27.5" customHeight="1" x14ac:dyDescent="0.2">
      <c r="A2519">
        <v>2025</v>
      </c>
      <c r="B2519" t="s">
        <v>629</v>
      </c>
      <c r="C2519" t="s">
        <v>609</v>
      </c>
      <c r="D2519" s="19" t="s">
        <v>197</v>
      </c>
      <c r="E2519" s="18" t="s">
        <v>31</v>
      </c>
      <c r="F2519" s="18">
        <v>12</v>
      </c>
      <c r="G2519" s="20">
        <v>82800</v>
      </c>
      <c r="H2519" s="18">
        <v>0</v>
      </c>
      <c r="I2519" s="20">
        <v>38544</v>
      </c>
      <c r="J2519" s="8">
        <f t="shared" si="117"/>
        <v>44256</v>
      </c>
      <c r="K2519" s="10">
        <f t="shared" si="118"/>
        <v>0.53449275362318838</v>
      </c>
      <c r="L2519" s="17">
        <f t="shared" si="119"/>
        <v>0</v>
      </c>
      <c r="M2519" t="str">
        <f>VLOOKUP(D2519,'Jer-Tip-Emp'!B:E,4,0)</f>
        <v>Armalo en combo</v>
      </c>
      <c r="N2519" t="str">
        <f>VLOOKUP(D2519,'Jer-Tip-Emp'!B:F,5,0)</f>
        <v>Personal</v>
      </c>
      <c r="O2519" t="str">
        <f>VLOOKUP(D2519,'Jer-Tip-Emp'!B:G,6,0)</f>
        <v>Combo</v>
      </c>
    </row>
    <row r="2520" spans="1:15" ht="27.5" customHeight="1" x14ac:dyDescent="0.2">
      <c r="A2520">
        <v>2025</v>
      </c>
      <c r="B2520" t="s">
        <v>629</v>
      </c>
      <c r="C2520" t="s">
        <v>609</v>
      </c>
      <c r="D2520" s="19" t="s">
        <v>290</v>
      </c>
      <c r="E2520" s="18" t="s">
        <v>86</v>
      </c>
      <c r="F2520" s="18">
        <v>12</v>
      </c>
      <c r="G2520" s="20">
        <v>1078800</v>
      </c>
      <c r="H2520" s="18">
        <v>0</v>
      </c>
      <c r="I2520" s="20">
        <v>561360</v>
      </c>
      <c r="J2520" s="8">
        <f t="shared" si="117"/>
        <v>517440</v>
      </c>
      <c r="K2520" s="10">
        <f t="shared" si="118"/>
        <v>0.47964404894327028</v>
      </c>
      <c r="L2520" s="17">
        <f t="shared" si="119"/>
        <v>0</v>
      </c>
      <c r="M2520" t="str">
        <f>VLOOKUP(D2520,'Jer-Tip-Emp'!B:E,4,0)</f>
        <v>Combos para compartir</v>
      </c>
      <c r="N2520" t="str">
        <f>VLOOKUP(D2520,'Jer-Tip-Emp'!B:F,5,0)</f>
        <v>No Personal</v>
      </c>
      <c r="O2520" t="str">
        <f>VLOOKUP(D2520,'Jer-Tip-Emp'!B:G,6,0)</f>
        <v>Combo</v>
      </c>
    </row>
    <row r="2521" spans="1:15" ht="27.5" hidden="1" customHeight="1" x14ac:dyDescent="0.2">
      <c r="A2521">
        <v>2025</v>
      </c>
      <c r="B2521" t="s">
        <v>629</v>
      </c>
      <c r="C2521" t="s">
        <v>609</v>
      </c>
      <c r="D2521" s="19" t="s">
        <v>282</v>
      </c>
      <c r="E2521" s="18" t="s">
        <v>19</v>
      </c>
      <c r="F2521" s="18">
        <v>11</v>
      </c>
      <c r="G2521" s="20">
        <v>59000</v>
      </c>
      <c r="H2521" s="20">
        <v>-5900</v>
      </c>
      <c r="I2521" s="20">
        <v>45078</v>
      </c>
      <c r="J2521" s="8">
        <f t="shared" si="117"/>
        <v>13922</v>
      </c>
      <c r="K2521" s="10">
        <f t="shared" si="118"/>
        <v>0.23596610169491525</v>
      </c>
      <c r="L2521" s="17">
        <f t="shared" si="119"/>
        <v>0.1</v>
      </c>
      <c r="M2521" t="str">
        <f>VLOOKUP(D2521,'Jer-Tip-Emp'!B:E,4,0)</f>
        <v>Adición</v>
      </c>
      <c r="N2521" t="str">
        <f>VLOOKUP(D2521,'Jer-Tip-Emp'!B:F,5,0)</f>
        <v>Adición</v>
      </c>
      <c r="O2521" t="str">
        <f>VLOOKUP(D2521,'Jer-Tip-Emp'!B:G,6,0)</f>
        <v>Adición</v>
      </c>
    </row>
    <row r="2522" spans="1:15" ht="27.5" customHeight="1" x14ac:dyDescent="0.2">
      <c r="A2522">
        <v>2025</v>
      </c>
      <c r="B2522" t="s">
        <v>629</v>
      </c>
      <c r="C2522" t="s">
        <v>609</v>
      </c>
      <c r="D2522" s="19" t="s">
        <v>219</v>
      </c>
      <c r="E2522" s="18" t="s">
        <v>111</v>
      </c>
      <c r="F2522" s="18">
        <v>11</v>
      </c>
      <c r="G2522" s="20">
        <v>328900</v>
      </c>
      <c r="H2522" s="18">
        <v>0</v>
      </c>
      <c r="I2522" s="20">
        <v>149237</v>
      </c>
      <c r="J2522" s="8">
        <f t="shared" si="117"/>
        <v>179663</v>
      </c>
      <c r="K2522" s="10">
        <f t="shared" si="118"/>
        <v>0.5462541806020067</v>
      </c>
      <c r="L2522" s="17">
        <f t="shared" si="119"/>
        <v>0</v>
      </c>
      <c r="M2522" t="str">
        <f>VLOOKUP(D2522,'Jer-Tip-Emp'!B:E,4,0)</f>
        <v>Platos especiales</v>
      </c>
      <c r="N2522" t="str">
        <f>VLOOKUP(D2522,'Jer-Tip-Emp'!B:F,5,0)</f>
        <v>Personal</v>
      </c>
      <c r="O2522" t="str">
        <f>VLOOKUP(D2522,'Jer-Tip-Emp'!B:G,6,0)</f>
        <v>Platos especiales</v>
      </c>
    </row>
    <row r="2523" spans="1:15" ht="27.5" customHeight="1" x14ac:dyDescent="0.2">
      <c r="A2523">
        <v>2025</v>
      </c>
      <c r="B2523" t="s">
        <v>629</v>
      </c>
      <c r="C2523" t="s">
        <v>609</v>
      </c>
      <c r="D2523" s="19" t="s">
        <v>206</v>
      </c>
      <c r="E2523" s="18" t="s">
        <v>117</v>
      </c>
      <c r="F2523" s="18">
        <v>11</v>
      </c>
      <c r="G2523" s="20">
        <v>169000</v>
      </c>
      <c r="H2523" s="20">
        <v>-16900</v>
      </c>
      <c r="I2523" s="20">
        <v>78375</v>
      </c>
      <c r="J2523" s="8">
        <f t="shared" si="117"/>
        <v>90625</v>
      </c>
      <c r="K2523" s="10">
        <f t="shared" si="118"/>
        <v>0.53624260355029585</v>
      </c>
      <c r="L2523" s="17">
        <f t="shared" si="119"/>
        <v>0.1</v>
      </c>
      <c r="M2523" t="str">
        <f>VLOOKUP(D2523,'Jer-Tip-Emp'!B:E,4,0)</f>
        <v>Platos especiales</v>
      </c>
      <c r="N2523" t="str">
        <f>VLOOKUP(D2523,'Jer-Tip-Emp'!B:F,5,0)</f>
        <v>Personal</v>
      </c>
      <c r="O2523" t="str">
        <f>VLOOKUP(D2523,'Jer-Tip-Emp'!B:G,6,0)</f>
        <v>Platos especiales</v>
      </c>
    </row>
    <row r="2524" spans="1:15" ht="27.5" hidden="1" customHeight="1" x14ac:dyDescent="0.2">
      <c r="A2524">
        <v>2025</v>
      </c>
      <c r="B2524" t="s">
        <v>629</v>
      </c>
      <c r="C2524" t="s">
        <v>609</v>
      </c>
      <c r="D2524" s="19" t="s">
        <v>330</v>
      </c>
      <c r="E2524" s="18" t="s">
        <v>38</v>
      </c>
      <c r="F2524" s="18">
        <v>11</v>
      </c>
      <c r="G2524" s="20">
        <v>44100</v>
      </c>
      <c r="H2524" s="20">
        <v>-9800</v>
      </c>
      <c r="I2524" s="20">
        <v>14168</v>
      </c>
      <c r="J2524" s="8">
        <f t="shared" si="117"/>
        <v>29932</v>
      </c>
      <c r="K2524" s="10">
        <f t="shared" si="118"/>
        <v>0.67873015873015874</v>
      </c>
      <c r="L2524" s="17">
        <f t="shared" si="119"/>
        <v>0.22222222222222221</v>
      </c>
      <c r="M2524" t="str">
        <f>VLOOKUP(D2524,'Jer-Tip-Emp'!B:E,4,0)</f>
        <v>Bebidas</v>
      </c>
      <c r="N2524" t="str">
        <f>VLOOKUP(D2524,'Jer-Tip-Emp'!B:F,5,0)</f>
        <v>Bebidas</v>
      </c>
      <c r="O2524" t="str">
        <f>VLOOKUP(D2524,'Jer-Tip-Emp'!B:G,6,0)</f>
        <v>Bebidas</v>
      </c>
    </row>
    <row r="2525" spans="1:15" ht="27.5" hidden="1" customHeight="1" x14ac:dyDescent="0.2">
      <c r="A2525">
        <v>2025</v>
      </c>
      <c r="B2525" t="s">
        <v>629</v>
      </c>
      <c r="C2525" t="s">
        <v>609</v>
      </c>
      <c r="D2525" s="19" t="s">
        <v>321</v>
      </c>
      <c r="E2525" s="18" t="s">
        <v>72</v>
      </c>
      <c r="F2525" s="18">
        <v>10</v>
      </c>
      <c r="G2525" s="20">
        <v>49000</v>
      </c>
      <c r="H2525" s="18">
        <v>0</v>
      </c>
      <c r="I2525" s="20">
        <v>13300</v>
      </c>
      <c r="J2525" s="8">
        <f t="shared" si="117"/>
        <v>35700</v>
      </c>
      <c r="K2525" s="10">
        <f t="shared" si="118"/>
        <v>0.72857142857142854</v>
      </c>
      <c r="L2525" s="17">
        <f t="shared" si="119"/>
        <v>0</v>
      </c>
      <c r="M2525" t="str">
        <f>VLOOKUP(D2525,'Jer-Tip-Emp'!B:E,4,0)</f>
        <v>Bebidas</v>
      </c>
      <c r="N2525" t="str">
        <f>VLOOKUP(D2525,'Jer-Tip-Emp'!B:F,5,0)</f>
        <v>Bebidas</v>
      </c>
      <c r="O2525" t="str">
        <f>VLOOKUP(D2525,'Jer-Tip-Emp'!B:G,6,0)</f>
        <v>Bebidas</v>
      </c>
    </row>
    <row r="2526" spans="1:15" ht="27.5" hidden="1" customHeight="1" x14ac:dyDescent="0.2">
      <c r="A2526">
        <v>2025</v>
      </c>
      <c r="B2526" t="s">
        <v>629</v>
      </c>
      <c r="C2526" t="s">
        <v>609</v>
      </c>
      <c r="D2526" s="19" t="s">
        <v>326</v>
      </c>
      <c r="E2526" s="18" t="s">
        <v>69</v>
      </c>
      <c r="F2526" s="18">
        <v>10</v>
      </c>
      <c r="G2526" s="20">
        <v>49000</v>
      </c>
      <c r="H2526" s="18">
        <v>0</v>
      </c>
      <c r="I2526" s="20">
        <v>13300</v>
      </c>
      <c r="J2526" s="8">
        <f t="shared" si="117"/>
        <v>35700</v>
      </c>
      <c r="K2526" s="10">
        <f t="shared" si="118"/>
        <v>0.72857142857142854</v>
      </c>
      <c r="L2526" s="17">
        <f t="shared" si="119"/>
        <v>0</v>
      </c>
      <c r="M2526" t="str">
        <f>VLOOKUP(D2526,'Jer-Tip-Emp'!B:E,4,0)</f>
        <v>Bebidas</v>
      </c>
      <c r="N2526" t="str">
        <f>VLOOKUP(D2526,'Jer-Tip-Emp'!B:F,5,0)</f>
        <v>Bebidas</v>
      </c>
      <c r="O2526" t="str">
        <f>VLOOKUP(D2526,'Jer-Tip-Emp'!B:G,6,0)</f>
        <v>Bebidas</v>
      </c>
    </row>
    <row r="2527" spans="1:15" ht="27.5" hidden="1" customHeight="1" x14ac:dyDescent="0.2">
      <c r="A2527">
        <v>2025</v>
      </c>
      <c r="B2527" t="s">
        <v>629</v>
      </c>
      <c r="C2527" t="s">
        <v>609</v>
      </c>
      <c r="D2527" s="19" t="s">
        <v>337</v>
      </c>
      <c r="E2527" s="18" t="s">
        <v>58</v>
      </c>
      <c r="F2527" s="18">
        <v>10</v>
      </c>
      <c r="G2527" s="20">
        <v>49000</v>
      </c>
      <c r="H2527" s="18">
        <v>0</v>
      </c>
      <c r="I2527" s="20">
        <v>15600</v>
      </c>
      <c r="J2527" s="8">
        <f t="shared" si="117"/>
        <v>33400</v>
      </c>
      <c r="K2527" s="10">
        <f t="shared" si="118"/>
        <v>0.68163265306122445</v>
      </c>
      <c r="L2527" s="17">
        <f t="shared" si="119"/>
        <v>0</v>
      </c>
      <c r="M2527" t="str">
        <f>VLOOKUP(D2527,'Jer-Tip-Emp'!B:E,4,0)</f>
        <v>Bebidas</v>
      </c>
      <c r="N2527" t="str">
        <f>VLOOKUP(D2527,'Jer-Tip-Emp'!B:F,5,0)</f>
        <v>Bebidas</v>
      </c>
      <c r="O2527" t="str">
        <f>VLOOKUP(D2527,'Jer-Tip-Emp'!B:G,6,0)</f>
        <v>Bebidas</v>
      </c>
    </row>
    <row r="2528" spans="1:15" ht="27.5" hidden="1" customHeight="1" x14ac:dyDescent="0.2">
      <c r="A2528">
        <v>2025</v>
      </c>
      <c r="B2528" t="s">
        <v>629</v>
      </c>
      <c r="C2528" t="s">
        <v>609</v>
      </c>
      <c r="D2528" s="19" t="s">
        <v>335</v>
      </c>
      <c r="E2528" s="18" t="s">
        <v>40</v>
      </c>
      <c r="F2528" s="18">
        <v>10</v>
      </c>
      <c r="G2528" s="20">
        <v>49000</v>
      </c>
      <c r="H2528" s="18">
        <v>0</v>
      </c>
      <c r="I2528" s="20">
        <v>13730</v>
      </c>
      <c r="J2528" s="8">
        <f t="shared" si="117"/>
        <v>35270</v>
      </c>
      <c r="K2528" s="10">
        <f t="shared" si="118"/>
        <v>0.71979591836734691</v>
      </c>
      <c r="L2528" s="17">
        <f t="shared" si="119"/>
        <v>0</v>
      </c>
      <c r="M2528" t="str">
        <f>VLOOKUP(D2528,'Jer-Tip-Emp'!B:E,4,0)</f>
        <v>Bebidas</v>
      </c>
      <c r="N2528" t="str">
        <f>VLOOKUP(D2528,'Jer-Tip-Emp'!B:F,5,0)</f>
        <v>Bebidas</v>
      </c>
      <c r="O2528" t="str">
        <f>VLOOKUP(D2528,'Jer-Tip-Emp'!B:G,6,0)</f>
        <v>Bebidas</v>
      </c>
    </row>
    <row r="2529" spans="1:15" ht="27.5" hidden="1" customHeight="1" x14ac:dyDescent="0.2">
      <c r="A2529">
        <v>2025</v>
      </c>
      <c r="B2529" t="s">
        <v>629</v>
      </c>
      <c r="C2529" t="s">
        <v>609</v>
      </c>
      <c r="D2529" s="19" t="s">
        <v>382</v>
      </c>
      <c r="E2529" s="18" t="s">
        <v>42</v>
      </c>
      <c r="F2529" s="18">
        <v>10</v>
      </c>
      <c r="G2529" s="20">
        <v>48230</v>
      </c>
      <c r="H2529" s="18">
        <v>-770</v>
      </c>
      <c r="I2529" s="20">
        <v>13730</v>
      </c>
      <c r="J2529" s="8">
        <f t="shared" si="117"/>
        <v>34500</v>
      </c>
      <c r="K2529" s="10">
        <f t="shared" si="118"/>
        <v>0.71532241343562097</v>
      </c>
      <c r="L2529" s="17">
        <f t="shared" si="119"/>
        <v>1.5965166908563134E-2</v>
      </c>
      <c r="M2529" t="str">
        <f>VLOOKUP(D2529,'Jer-Tip-Emp'!B:E,4,0)</f>
        <v>Bebidas</v>
      </c>
      <c r="N2529" t="str">
        <f>VLOOKUP(D2529,'Jer-Tip-Emp'!B:F,5,0)</f>
        <v>Bebidas</v>
      </c>
      <c r="O2529" t="str">
        <f>VLOOKUP(D2529,'Jer-Tip-Emp'!B:G,6,0)</f>
        <v>Bebidas</v>
      </c>
    </row>
    <row r="2530" spans="1:15" ht="27.5" customHeight="1" x14ac:dyDescent="0.2">
      <c r="A2530">
        <v>2025</v>
      </c>
      <c r="B2530" t="s">
        <v>629</v>
      </c>
      <c r="C2530" t="s">
        <v>609</v>
      </c>
      <c r="D2530" s="19" t="s">
        <v>224</v>
      </c>
      <c r="E2530" s="18" t="s">
        <v>114</v>
      </c>
      <c r="F2530" s="18">
        <v>9</v>
      </c>
      <c r="G2530" s="20">
        <v>251100</v>
      </c>
      <c r="H2530" s="18">
        <v>0</v>
      </c>
      <c r="I2530" s="20">
        <v>114462</v>
      </c>
      <c r="J2530" s="8">
        <f t="shared" si="117"/>
        <v>136638</v>
      </c>
      <c r="K2530" s="10">
        <f t="shared" si="118"/>
        <v>0.54415770609318992</v>
      </c>
      <c r="L2530" s="17">
        <f t="shared" si="119"/>
        <v>0</v>
      </c>
      <c r="M2530" t="str">
        <f>VLOOKUP(D2530,'Jer-Tip-Emp'!B:E,4,0)</f>
        <v>Platos especiales</v>
      </c>
      <c r="N2530" t="str">
        <f>VLOOKUP(D2530,'Jer-Tip-Emp'!B:F,5,0)</f>
        <v>Personal</v>
      </c>
      <c r="O2530" t="str">
        <f>VLOOKUP(D2530,'Jer-Tip-Emp'!B:G,6,0)</f>
        <v>Platos especiales</v>
      </c>
    </row>
    <row r="2531" spans="1:15" ht="27.5" customHeight="1" x14ac:dyDescent="0.2">
      <c r="A2531">
        <v>2025</v>
      </c>
      <c r="B2531" t="s">
        <v>629</v>
      </c>
      <c r="C2531" t="s">
        <v>609</v>
      </c>
      <c r="D2531" s="19" t="s">
        <v>266</v>
      </c>
      <c r="E2531" s="18" t="s">
        <v>85</v>
      </c>
      <c r="F2531" s="18">
        <v>8</v>
      </c>
      <c r="G2531" s="20">
        <v>639200</v>
      </c>
      <c r="H2531" s="18">
        <v>0</v>
      </c>
      <c r="I2531" s="20">
        <v>313768</v>
      </c>
      <c r="J2531" s="8">
        <f t="shared" si="117"/>
        <v>325432</v>
      </c>
      <c r="K2531" s="10">
        <f t="shared" si="118"/>
        <v>0.50912390488110137</v>
      </c>
      <c r="L2531" s="17">
        <f t="shared" si="119"/>
        <v>0</v>
      </c>
      <c r="M2531" t="str">
        <f>VLOOKUP(D2531,'Jer-Tip-Emp'!B:E,4,0)</f>
        <v>Combos para compartir</v>
      </c>
      <c r="N2531" t="str">
        <f>VLOOKUP(D2531,'Jer-Tip-Emp'!B:F,5,0)</f>
        <v>No Personal</v>
      </c>
      <c r="O2531" t="str">
        <f>VLOOKUP(D2531,'Jer-Tip-Emp'!B:G,6,0)</f>
        <v>Combo</v>
      </c>
    </row>
    <row r="2532" spans="1:15" ht="27.5" hidden="1" customHeight="1" x14ac:dyDescent="0.2">
      <c r="A2532">
        <v>2025</v>
      </c>
      <c r="B2532" t="s">
        <v>629</v>
      </c>
      <c r="C2532" t="s">
        <v>609</v>
      </c>
      <c r="D2532" s="19" t="s">
        <v>444</v>
      </c>
      <c r="E2532" s="18" t="s">
        <v>562</v>
      </c>
      <c r="F2532" s="18">
        <v>8</v>
      </c>
      <c r="G2532" s="20">
        <v>11200</v>
      </c>
      <c r="H2532" s="18">
        <v>0</v>
      </c>
      <c r="I2532" s="20">
        <v>12880</v>
      </c>
      <c r="J2532" s="8">
        <f t="shared" si="117"/>
        <v>-1680</v>
      </c>
      <c r="K2532" s="10">
        <f t="shared" si="118"/>
        <v>-0.15</v>
      </c>
      <c r="L2532" s="17">
        <f t="shared" si="119"/>
        <v>0</v>
      </c>
      <c r="M2532" t="str">
        <f>VLOOKUP(D2532,'Jer-Tip-Emp'!B:E,4,0)</f>
        <v>Bebidas</v>
      </c>
      <c r="N2532" t="str">
        <f>VLOOKUP(D2532,'Jer-Tip-Emp'!B:F,5,0)</f>
        <v>Bebidas Cambio de bebida</v>
      </c>
      <c r="O2532" t="str">
        <f>VLOOKUP(D2532,'Jer-Tip-Emp'!B:G,6,0)</f>
        <v>Bebidas</v>
      </c>
    </row>
    <row r="2533" spans="1:15" ht="27.5" hidden="1" customHeight="1" x14ac:dyDescent="0.2">
      <c r="A2533">
        <v>2025</v>
      </c>
      <c r="B2533" t="s">
        <v>629</v>
      </c>
      <c r="C2533" t="s">
        <v>609</v>
      </c>
      <c r="D2533" s="19" t="s">
        <v>193</v>
      </c>
      <c r="E2533" s="18" t="s">
        <v>18</v>
      </c>
      <c r="F2533" s="18">
        <v>7</v>
      </c>
      <c r="G2533" s="20">
        <v>62300</v>
      </c>
      <c r="H2533" s="18">
        <v>0</v>
      </c>
      <c r="I2533" s="20">
        <v>21756</v>
      </c>
      <c r="J2533" s="8">
        <f t="shared" si="117"/>
        <v>40544</v>
      </c>
      <c r="K2533" s="10">
        <f t="shared" si="118"/>
        <v>0.65078651685393263</v>
      </c>
      <c r="L2533" s="17">
        <f t="shared" si="119"/>
        <v>0</v>
      </c>
      <c r="M2533" t="str">
        <f>VLOOKUP(D2533,'Jer-Tip-Emp'!B:E,4,0)</f>
        <v>Adición</v>
      </c>
      <c r="N2533" t="str">
        <f>VLOOKUP(D2533,'Jer-Tip-Emp'!B:F,5,0)</f>
        <v>Adición</v>
      </c>
      <c r="O2533" t="str">
        <f>VLOOKUP(D2533,'Jer-Tip-Emp'!B:G,6,0)</f>
        <v>Adición</v>
      </c>
    </row>
    <row r="2534" spans="1:15" ht="27.5" customHeight="1" x14ac:dyDescent="0.2">
      <c r="A2534">
        <v>2025</v>
      </c>
      <c r="B2534" t="s">
        <v>629</v>
      </c>
      <c r="C2534" t="s">
        <v>609</v>
      </c>
      <c r="D2534" s="19" t="s">
        <v>214</v>
      </c>
      <c r="E2534" s="18" t="s">
        <v>81</v>
      </c>
      <c r="F2534" s="18">
        <v>6</v>
      </c>
      <c r="G2534" s="20">
        <v>419400</v>
      </c>
      <c r="H2534" s="18">
        <v>0</v>
      </c>
      <c r="I2534" s="20">
        <v>141828</v>
      </c>
      <c r="J2534" s="8">
        <f t="shared" si="117"/>
        <v>277572</v>
      </c>
      <c r="K2534" s="10">
        <f t="shared" si="118"/>
        <v>0.66183118741058655</v>
      </c>
      <c r="L2534" s="17">
        <f t="shared" si="119"/>
        <v>0</v>
      </c>
      <c r="M2534" t="str">
        <f>VLOOKUP(D2534,'Jer-Tip-Emp'!B:E,4,0)</f>
        <v>Combos para compartir</v>
      </c>
      <c r="N2534" t="str">
        <f>VLOOKUP(D2534,'Jer-Tip-Emp'!B:F,5,0)</f>
        <v>No Personal</v>
      </c>
      <c r="O2534" t="str">
        <f>VLOOKUP(D2534,'Jer-Tip-Emp'!B:G,6,0)</f>
        <v>Combo</v>
      </c>
    </row>
    <row r="2535" spans="1:15" ht="27.5" hidden="1" customHeight="1" x14ac:dyDescent="0.2">
      <c r="A2535">
        <v>2025</v>
      </c>
      <c r="B2535" t="s">
        <v>629</v>
      </c>
      <c r="C2535" t="s">
        <v>609</v>
      </c>
      <c r="D2535" s="19" t="s">
        <v>183</v>
      </c>
      <c r="E2535" s="18" t="s">
        <v>104</v>
      </c>
      <c r="F2535" s="18">
        <v>6</v>
      </c>
      <c r="G2535" s="20">
        <v>101400</v>
      </c>
      <c r="H2535" s="18">
        <v>0</v>
      </c>
      <c r="I2535" s="20">
        <v>60168</v>
      </c>
      <c r="J2535" s="8">
        <f t="shared" si="117"/>
        <v>41232</v>
      </c>
      <c r="K2535" s="10">
        <f t="shared" si="118"/>
        <v>0.40662721893491122</v>
      </c>
      <c r="L2535" s="17">
        <f t="shared" si="119"/>
        <v>0</v>
      </c>
      <c r="M2535" t="str">
        <f>VLOOKUP(D2535,'Jer-Tip-Emp'!B:E,4,0)</f>
        <v>Entradas</v>
      </c>
      <c r="N2535" t="str">
        <f>VLOOKUP(D2535,'Jer-Tip-Emp'!B:F,5,0)</f>
        <v>Otro</v>
      </c>
      <c r="O2535" t="str">
        <f>VLOOKUP(D2535,'Jer-Tip-Emp'!B:G,6,0)</f>
        <v>Otro</v>
      </c>
    </row>
    <row r="2536" spans="1:15" ht="27.5" customHeight="1" x14ac:dyDescent="0.2">
      <c r="A2536">
        <v>2025</v>
      </c>
      <c r="B2536" t="s">
        <v>629</v>
      </c>
      <c r="C2536" t="s">
        <v>609</v>
      </c>
      <c r="D2536" s="19" t="s">
        <v>225</v>
      </c>
      <c r="E2536" s="18" t="s">
        <v>157</v>
      </c>
      <c r="F2536" s="18">
        <v>6</v>
      </c>
      <c r="G2536" s="20">
        <v>107400</v>
      </c>
      <c r="H2536" s="18">
        <v>0</v>
      </c>
      <c r="I2536" s="20">
        <v>42846</v>
      </c>
      <c r="J2536" s="8">
        <f t="shared" si="117"/>
        <v>64554</v>
      </c>
      <c r="K2536" s="10">
        <f t="shared" si="118"/>
        <v>0.60106145251396648</v>
      </c>
      <c r="L2536" s="17">
        <f t="shared" si="119"/>
        <v>0</v>
      </c>
      <c r="M2536" t="str">
        <f>VLOOKUP(D2536,'Jer-Tip-Emp'!B:E,4,0)</f>
        <v>Platos mong</v>
      </c>
      <c r="N2536" t="str">
        <f>VLOOKUP(D2536,'Jer-Tip-Emp'!B:F,5,0)</f>
        <v>Personal</v>
      </c>
      <c r="O2536" t="str">
        <f>VLOOKUP(D2536,'Jer-Tip-Emp'!B:G,6,0)</f>
        <v>Caja</v>
      </c>
    </row>
    <row r="2537" spans="1:15" ht="27.5" customHeight="1" x14ac:dyDescent="0.2">
      <c r="A2537">
        <v>2025</v>
      </c>
      <c r="B2537" t="s">
        <v>629</v>
      </c>
      <c r="C2537" t="s">
        <v>609</v>
      </c>
      <c r="D2537" s="19" t="s">
        <v>198</v>
      </c>
      <c r="E2537" s="18" t="s">
        <v>124</v>
      </c>
      <c r="F2537" s="18">
        <v>6</v>
      </c>
      <c r="G2537" s="20">
        <v>149400</v>
      </c>
      <c r="H2537" s="18">
        <v>0</v>
      </c>
      <c r="I2537" s="20">
        <v>52542</v>
      </c>
      <c r="J2537" s="8">
        <f t="shared" si="117"/>
        <v>96858</v>
      </c>
      <c r="K2537" s="10">
        <f t="shared" si="118"/>
        <v>0.64831325301204823</v>
      </c>
      <c r="L2537" s="17">
        <f t="shared" si="119"/>
        <v>0</v>
      </c>
      <c r="M2537" t="str">
        <f>VLOOKUP(D2537,'Jer-Tip-Emp'!B:E,4,0)</f>
        <v>Platos mong</v>
      </c>
      <c r="N2537" t="str">
        <f>VLOOKUP(D2537,'Jer-Tip-Emp'!B:F,5,0)</f>
        <v>Personal</v>
      </c>
      <c r="O2537" t="str">
        <f>VLOOKUP(D2537,'Jer-Tip-Emp'!B:G,6,0)</f>
        <v>Caja</v>
      </c>
    </row>
    <row r="2538" spans="1:15" ht="27.5" hidden="1" customHeight="1" x14ac:dyDescent="0.2">
      <c r="A2538">
        <v>2025</v>
      </c>
      <c r="B2538" t="s">
        <v>629</v>
      </c>
      <c r="C2538" t="s">
        <v>609</v>
      </c>
      <c r="D2538" s="19" t="s">
        <v>397</v>
      </c>
      <c r="E2538" s="18" t="s">
        <v>61</v>
      </c>
      <c r="F2538" s="18">
        <v>6</v>
      </c>
      <c r="G2538" s="20">
        <v>29400</v>
      </c>
      <c r="H2538" s="18">
        <v>0</v>
      </c>
      <c r="I2538" s="20">
        <v>11376</v>
      </c>
      <c r="J2538" s="8">
        <f t="shared" si="117"/>
        <v>18024</v>
      </c>
      <c r="K2538" s="10">
        <f t="shared" si="118"/>
        <v>0.61306122448979594</v>
      </c>
      <c r="L2538" s="17">
        <f t="shared" si="119"/>
        <v>0</v>
      </c>
      <c r="M2538" t="str">
        <f>VLOOKUP(D2538,'Jer-Tip-Emp'!B:E,4,0)</f>
        <v>Bebidas</v>
      </c>
      <c r="N2538" t="str">
        <f>VLOOKUP(D2538,'Jer-Tip-Emp'!B:F,5,0)</f>
        <v>Bebidas</v>
      </c>
      <c r="O2538" t="str">
        <f>VLOOKUP(D2538,'Jer-Tip-Emp'!B:G,6,0)</f>
        <v>Bebidas</v>
      </c>
    </row>
    <row r="2539" spans="1:15" ht="27.5" customHeight="1" x14ac:dyDescent="0.2">
      <c r="A2539">
        <v>2025</v>
      </c>
      <c r="B2539" t="s">
        <v>629</v>
      </c>
      <c r="C2539" t="s">
        <v>609</v>
      </c>
      <c r="D2539" s="19" t="s">
        <v>235</v>
      </c>
      <c r="E2539" s="18" t="s">
        <v>143</v>
      </c>
      <c r="F2539" s="18">
        <v>6</v>
      </c>
      <c r="G2539" s="20">
        <v>275400</v>
      </c>
      <c r="H2539" s="18">
        <v>0</v>
      </c>
      <c r="I2539" s="20">
        <v>112908</v>
      </c>
      <c r="J2539" s="8">
        <f t="shared" si="117"/>
        <v>162492</v>
      </c>
      <c r="K2539" s="10">
        <f t="shared" si="118"/>
        <v>0.59002178649237469</v>
      </c>
      <c r="L2539" s="17">
        <f t="shared" si="119"/>
        <v>0</v>
      </c>
      <c r="M2539" t="str">
        <f>VLOOKUP(D2539,'Jer-Tip-Emp'!B:E,4,0)</f>
        <v>Platos mong</v>
      </c>
      <c r="N2539" t="str">
        <f>VLOOKUP(D2539,'Jer-Tip-Emp'!B:F,5,0)</f>
        <v>No Personal</v>
      </c>
      <c r="O2539" t="str">
        <f>VLOOKUP(D2539,'Jer-Tip-Emp'!B:G,6,0)</f>
        <v>Caja</v>
      </c>
    </row>
    <row r="2540" spans="1:15" ht="27.5" customHeight="1" x14ac:dyDescent="0.2">
      <c r="A2540">
        <v>2025</v>
      </c>
      <c r="B2540" t="s">
        <v>629</v>
      </c>
      <c r="C2540" t="s">
        <v>609</v>
      </c>
      <c r="D2540" s="19" t="s">
        <v>200</v>
      </c>
      <c r="E2540" s="18" t="s">
        <v>149</v>
      </c>
      <c r="F2540" s="18">
        <v>5</v>
      </c>
      <c r="G2540" s="20">
        <v>124500</v>
      </c>
      <c r="H2540" s="18">
        <v>0</v>
      </c>
      <c r="I2540" s="20">
        <v>52405</v>
      </c>
      <c r="J2540" s="8">
        <f t="shared" si="117"/>
        <v>72095</v>
      </c>
      <c r="K2540" s="10">
        <f t="shared" si="118"/>
        <v>0.57907630522088349</v>
      </c>
      <c r="L2540" s="17">
        <f t="shared" si="119"/>
        <v>0</v>
      </c>
      <c r="M2540" t="str">
        <f>VLOOKUP(D2540,'Jer-Tip-Emp'!B:E,4,0)</f>
        <v>Platos mong</v>
      </c>
      <c r="N2540" t="str">
        <f>VLOOKUP(D2540,'Jer-Tip-Emp'!B:F,5,0)</f>
        <v>Personal</v>
      </c>
      <c r="O2540" t="str">
        <f>VLOOKUP(D2540,'Jer-Tip-Emp'!B:G,6,0)</f>
        <v>Caja</v>
      </c>
    </row>
    <row r="2541" spans="1:15" ht="27.5" hidden="1" customHeight="1" x14ac:dyDescent="0.2">
      <c r="A2541">
        <v>2025</v>
      </c>
      <c r="B2541" t="s">
        <v>629</v>
      </c>
      <c r="C2541" t="s">
        <v>609</v>
      </c>
      <c r="D2541" s="19" t="s">
        <v>410</v>
      </c>
      <c r="E2541" s="18" t="s">
        <v>559</v>
      </c>
      <c r="F2541" s="18">
        <v>5</v>
      </c>
      <c r="G2541" s="20">
        <v>10000</v>
      </c>
      <c r="H2541" s="18">
        <v>0</v>
      </c>
      <c r="I2541" s="20">
        <v>11175</v>
      </c>
      <c r="J2541" s="8">
        <f t="shared" si="117"/>
        <v>-1175</v>
      </c>
      <c r="K2541" s="10">
        <f t="shared" si="118"/>
        <v>-0.11749999999999999</v>
      </c>
      <c r="L2541" s="17">
        <f t="shared" si="119"/>
        <v>0</v>
      </c>
      <c r="M2541" t="str">
        <f>VLOOKUP(D2541,'Jer-Tip-Emp'!B:E,4,0)</f>
        <v>Bebidas</v>
      </c>
      <c r="N2541" t="str">
        <f>VLOOKUP(D2541,'Jer-Tip-Emp'!B:F,5,0)</f>
        <v>Bebidas Cambio de bebida</v>
      </c>
      <c r="O2541" t="str">
        <f>VLOOKUP(D2541,'Jer-Tip-Emp'!B:G,6,0)</f>
        <v>Bebidas</v>
      </c>
    </row>
    <row r="2542" spans="1:15" ht="27.5" customHeight="1" x14ac:dyDescent="0.2">
      <c r="A2542">
        <v>2025</v>
      </c>
      <c r="B2542" t="s">
        <v>629</v>
      </c>
      <c r="C2542" t="s">
        <v>609</v>
      </c>
      <c r="D2542" s="19" t="s">
        <v>202</v>
      </c>
      <c r="E2542" s="18" t="s">
        <v>138</v>
      </c>
      <c r="F2542" s="18">
        <v>5</v>
      </c>
      <c r="G2542" s="20">
        <v>179500</v>
      </c>
      <c r="H2542" s="18">
        <v>0</v>
      </c>
      <c r="I2542" s="20">
        <v>71155</v>
      </c>
      <c r="J2542" s="8">
        <f t="shared" si="117"/>
        <v>108345</v>
      </c>
      <c r="K2542" s="10">
        <f t="shared" si="118"/>
        <v>0.60359331476323119</v>
      </c>
      <c r="L2542" s="17">
        <f t="shared" si="119"/>
        <v>0</v>
      </c>
      <c r="M2542" t="str">
        <f>VLOOKUP(D2542,'Jer-Tip-Emp'!B:E,4,0)</f>
        <v>Platos mong</v>
      </c>
      <c r="N2542" t="str">
        <f>VLOOKUP(D2542,'Jer-Tip-Emp'!B:F,5,0)</f>
        <v>No Personal</v>
      </c>
      <c r="O2542" t="str">
        <f>VLOOKUP(D2542,'Jer-Tip-Emp'!B:G,6,0)</f>
        <v>Caja</v>
      </c>
    </row>
    <row r="2543" spans="1:15" ht="27.5" hidden="1" customHeight="1" x14ac:dyDescent="0.2">
      <c r="A2543">
        <v>2025</v>
      </c>
      <c r="B2543" t="s">
        <v>629</v>
      </c>
      <c r="C2543" t="s">
        <v>609</v>
      </c>
      <c r="D2543" s="19" t="s">
        <v>450</v>
      </c>
      <c r="E2543" s="18" t="s">
        <v>565</v>
      </c>
      <c r="F2543" s="18">
        <v>5</v>
      </c>
      <c r="G2543" s="20">
        <v>7000</v>
      </c>
      <c r="H2543" s="18">
        <v>0</v>
      </c>
      <c r="I2543" s="20">
        <v>9370</v>
      </c>
      <c r="J2543" s="8">
        <f t="shared" si="117"/>
        <v>-2370</v>
      </c>
      <c r="K2543" s="10">
        <f t="shared" si="118"/>
        <v>-0.33857142857142858</v>
      </c>
      <c r="L2543" s="17">
        <f t="shared" si="119"/>
        <v>0</v>
      </c>
      <c r="M2543" t="str">
        <f>VLOOKUP(D2543,'Jer-Tip-Emp'!B:E,4,0)</f>
        <v>Bebidas</v>
      </c>
      <c r="N2543" t="str">
        <f>VLOOKUP(D2543,'Jer-Tip-Emp'!B:F,5,0)</f>
        <v>Bebidas Cambio de bebida</v>
      </c>
      <c r="O2543" t="str">
        <f>VLOOKUP(D2543,'Jer-Tip-Emp'!B:G,6,0)</f>
        <v>Bebidas</v>
      </c>
    </row>
    <row r="2544" spans="1:15" ht="27.5" hidden="1" customHeight="1" x14ac:dyDescent="0.2">
      <c r="A2544">
        <v>2025</v>
      </c>
      <c r="B2544" t="s">
        <v>629</v>
      </c>
      <c r="C2544" t="s">
        <v>609</v>
      </c>
      <c r="D2544" s="19" t="s">
        <v>494</v>
      </c>
      <c r="E2544" s="18" t="s">
        <v>568</v>
      </c>
      <c r="F2544" s="18">
        <v>4</v>
      </c>
      <c r="G2544" s="20">
        <v>5600</v>
      </c>
      <c r="H2544" s="18">
        <v>0</v>
      </c>
      <c r="I2544" s="20">
        <v>8556</v>
      </c>
      <c r="J2544" s="8">
        <f t="shared" si="117"/>
        <v>-2956</v>
      </c>
      <c r="K2544" s="10">
        <f t="shared" si="118"/>
        <v>-0.5278571428571428</v>
      </c>
      <c r="L2544" s="17">
        <f t="shared" si="119"/>
        <v>0</v>
      </c>
      <c r="M2544" t="str">
        <f>VLOOKUP(D2544,'Jer-Tip-Emp'!B:E,4,0)</f>
        <v>Bebidas</v>
      </c>
      <c r="N2544" t="str">
        <f>VLOOKUP(D2544,'Jer-Tip-Emp'!B:F,5,0)</f>
        <v>Bebidas Cambio de bebida</v>
      </c>
      <c r="O2544" t="str">
        <f>VLOOKUP(D2544,'Jer-Tip-Emp'!B:G,6,0)</f>
        <v>Bebidas</v>
      </c>
    </row>
    <row r="2545" spans="1:15" ht="27.5" customHeight="1" x14ac:dyDescent="0.2">
      <c r="A2545">
        <v>2025</v>
      </c>
      <c r="B2545" t="s">
        <v>629</v>
      </c>
      <c r="C2545" t="s">
        <v>609</v>
      </c>
      <c r="D2545" s="19" t="s">
        <v>242</v>
      </c>
      <c r="E2545" s="18" t="s">
        <v>90</v>
      </c>
      <c r="F2545" s="18">
        <v>4</v>
      </c>
      <c r="G2545" s="20">
        <v>227600</v>
      </c>
      <c r="H2545" s="18">
        <v>0</v>
      </c>
      <c r="I2545" s="20">
        <v>114272</v>
      </c>
      <c r="J2545" s="8">
        <f t="shared" si="117"/>
        <v>113328</v>
      </c>
      <c r="K2545" s="10">
        <f t="shared" si="118"/>
        <v>0.4979261862917399</v>
      </c>
      <c r="L2545" s="17">
        <f t="shared" si="119"/>
        <v>0</v>
      </c>
      <c r="M2545" t="str">
        <f>VLOOKUP(D2545,'Jer-Tip-Emp'!B:E,4,0)</f>
        <v>Combos para compartir</v>
      </c>
      <c r="N2545" t="str">
        <f>VLOOKUP(D2545,'Jer-Tip-Emp'!B:F,5,0)</f>
        <v>No Personal</v>
      </c>
      <c r="O2545" t="str">
        <f>VLOOKUP(D2545,'Jer-Tip-Emp'!B:G,6,0)</f>
        <v>Combo</v>
      </c>
    </row>
    <row r="2546" spans="1:15" ht="27.5" customHeight="1" x14ac:dyDescent="0.2">
      <c r="A2546">
        <v>2025</v>
      </c>
      <c r="B2546" t="s">
        <v>629</v>
      </c>
      <c r="C2546" t="s">
        <v>609</v>
      </c>
      <c r="D2546" s="19" t="s">
        <v>252</v>
      </c>
      <c r="E2546" s="18" t="s">
        <v>100</v>
      </c>
      <c r="F2546" s="18">
        <v>4</v>
      </c>
      <c r="G2546" s="20">
        <v>267600</v>
      </c>
      <c r="H2546" s="18">
        <v>0</v>
      </c>
      <c r="I2546" s="20">
        <v>129404</v>
      </c>
      <c r="J2546" s="8">
        <f t="shared" si="117"/>
        <v>138196</v>
      </c>
      <c r="K2546" s="10">
        <f t="shared" si="118"/>
        <v>0.51642750373692081</v>
      </c>
      <c r="L2546" s="17">
        <f t="shared" si="119"/>
        <v>0</v>
      </c>
      <c r="M2546" t="str">
        <f>VLOOKUP(D2546,'Jer-Tip-Emp'!B:E,4,0)</f>
        <v>Platos mong</v>
      </c>
      <c r="N2546" t="str">
        <f>VLOOKUP(D2546,'Jer-Tip-Emp'!B:F,5,0)</f>
        <v>No Personal</v>
      </c>
      <c r="O2546" t="str">
        <f>VLOOKUP(D2546,'Jer-Tip-Emp'!B:G,6,0)</f>
        <v>Caja</v>
      </c>
    </row>
    <row r="2547" spans="1:15" ht="27.5" customHeight="1" x14ac:dyDescent="0.2">
      <c r="A2547">
        <v>2025</v>
      </c>
      <c r="B2547" t="s">
        <v>629</v>
      </c>
      <c r="C2547" t="s">
        <v>609</v>
      </c>
      <c r="D2547" s="19" t="s">
        <v>299</v>
      </c>
      <c r="E2547" s="18" t="s">
        <v>126</v>
      </c>
      <c r="F2547" s="18">
        <v>4</v>
      </c>
      <c r="G2547" s="20">
        <v>183600</v>
      </c>
      <c r="H2547" s="18">
        <v>0</v>
      </c>
      <c r="I2547" s="20">
        <v>45328</v>
      </c>
      <c r="J2547" s="8">
        <f t="shared" si="117"/>
        <v>138272</v>
      </c>
      <c r="K2547" s="10">
        <f t="shared" si="118"/>
        <v>0.7531154684095861</v>
      </c>
      <c r="L2547" s="17">
        <f t="shared" si="119"/>
        <v>0</v>
      </c>
      <c r="M2547" t="str">
        <f>VLOOKUP(D2547,'Jer-Tip-Emp'!B:E,4,0)</f>
        <v>Platos mong</v>
      </c>
      <c r="N2547" t="str">
        <f>VLOOKUP(D2547,'Jer-Tip-Emp'!B:F,5,0)</f>
        <v>No Personal</v>
      </c>
      <c r="O2547" t="str">
        <f>VLOOKUP(D2547,'Jer-Tip-Emp'!B:G,6,0)</f>
        <v>Caja</v>
      </c>
    </row>
    <row r="2548" spans="1:15" ht="27.5" customHeight="1" x14ac:dyDescent="0.2">
      <c r="A2548">
        <v>2025</v>
      </c>
      <c r="B2548" t="s">
        <v>629</v>
      </c>
      <c r="C2548" t="s">
        <v>609</v>
      </c>
      <c r="D2548" s="19" t="s">
        <v>221</v>
      </c>
      <c r="E2548" s="18" t="s">
        <v>27</v>
      </c>
      <c r="F2548" s="18">
        <v>4</v>
      </c>
      <c r="G2548" s="20">
        <v>27600</v>
      </c>
      <c r="H2548" s="18">
        <v>0</v>
      </c>
      <c r="I2548" s="18">
        <v>0</v>
      </c>
      <c r="J2548" s="8">
        <f t="shared" si="117"/>
        <v>27600</v>
      </c>
      <c r="K2548" s="10">
        <f t="shared" si="118"/>
        <v>1</v>
      </c>
      <c r="L2548" s="17">
        <f t="shared" si="119"/>
        <v>0</v>
      </c>
      <c r="M2548" t="str">
        <f>VLOOKUP(D2548,'Jer-Tip-Emp'!B:E,4,0)</f>
        <v>Armalo en combo</v>
      </c>
      <c r="N2548" t="str">
        <f>VLOOKUP(D2548,'Jer-Tip-Emp'!B:F,5,0)</f>
        <v>Personal</v>
      </c>
      <c r="O2548" t="str">
        <f>VLOOKUP(D2548,'Jer-Tip-Emp'!B:G,6,0)</f>
        <v>Combo</v>
      </c>
    </row>
    <row r="2549" spans="1:15" ht="27.5" hidden="1" customHeight="1" x14ac:dyDescent="0.2">
      <c r="A2549">
        <v>2025</v>
      </c>
      <c r="B2549" t="s">
        <v>629</v>
      </c>
      <c r="C2549" t="s">
        <v>609</v>
      </c>
      <c r="D2549" s="19" t="s">
        <v>296</v>
      </c>
      <c r="E2549" s="18" t="s">
        <v>22</v>
      </c>
      <c r="F2549" s="18">
        <v>4</v>
      </c>
      <c r="G2549" s="20">
        <v>27200</v>
      </c>
      <c r="H2549" s="18">
        <v>0</v>
      </c>
      <c r="I2549" s="20">
        <v>2756</v>
      </c>
      <c r="J2549" s="8">
        <f t="shared" si="117"/>
        <v>24444</v>
      </c>
      <c r="K2549" s="10">
        <f t="shared" si="118"/>
        <v>0.8986764705882353</v>
      </c>
      <c r="L2549" s="17">
        <f t="shared" si="119"/>
        <v>0</v>
      </c>
      <c r="M2549" t="str">
        <f>VLOOKUP(D2549,'Jer-Tip-Emp'!B:E,4,0)</f>
        <v>Adición</v>
      </c>
      <c r="N2549" t="str">
        <f>VLOOKUP(D2549,'Jer-Tip-Emp'!B:F,5,0)</f>
        <v>Adición</v>
      </c>
      <c r="O2549" t="str">
        <f>VLOOKUP(D2549,'Jer-Tip-Emp'!B:G,6,0)</f>
        <v>Adición</v>
      </c>
    </row>
    <row r="2550" spans="1:15" ht="27.5" hidden="1" customHeight="1" x14ac:dyDescent="0.2">
      <c r="A2550">
        <v>2025</v>
      </c>
      <c r="B2550" t="s">
        <v>629</v>
      </c>
      <c r="C2550" t="s">
        <v>609</v>
      </c>
      <c r="D2550" s="19" t="s">
        <v>350</v>
      </c>
      <c r="E2550" s="18" t="s">
        <v>66</v>
      </c>
      <c r="F2550" s="18">
        <v>3</v>
      </c>
      <c r="G2550" s="20">
        <v>9800</v>
      </c>
      <c r="H2550" s="20">
        <v>-4900</v>
      </c>
      <c r="I2550" s="20">
        <v>4680</v>
      </c>
      <c r="J2550" s="8">
        <f t="shared" si="117"/>
        <v>5120</v>
      </c>
      <c r="K2550" s="10">
        <f t="shared" si="118"/>
        <v>0.52244897959183678</v>
      </c>
      <c r="L2550" s="17">
        <f t="shared" si="119"/>
        <v>0.5</v>
      </c>
      <c r="M2550" t="str">
        <f>VLOOKUP(D2550,'Jer-Tip-Emp'!B:E,4,0)</f>
        <v>Bebidas</v>
      </c>
      <c r="N2550" t="str">
        <f>VLOOKUP(D2550,'Jer-Tip-Emp'!B:F,5,0)</f>
        <v>Bebidas</v>
      </c>
      <c r="O2550" t="str">
        <f>VLOOKUP(D2550,'Jer-Tip-Emp'!B:G,6,0)</f>
        <v>Bebidas</v>
      </c>
    </row>
    <row r="2551" spans="1:15" ht="27.5" hidden="1" customHeight="1" x14ac:dyDescent="0.2">
      <c r="A2551">
        <v>2025</v>
      </c>
      <c r="B2551" t="s">
        <v>629</v>
      </c>
      <c r="C2551" t="s">
        <v>609</v>
      </c>
      <c r="D2551" s="19" t="s">
        <v>426</v>
      </c>
      <c r="E2551" s="18" t="s">
        <v>561</v>
      </c>
      <c r="F2551" s="18">
        <v>3</v>
      </c>
      <c r="G2551" s="20">
        <v>4200</v>
      </c>
      <c r="H2551" s="18">
        <v>0</v>
      </c>
      <c r="I2551" s="20">
        <v>4548</v>
      </c>
      <c r="J2551" s="8">
        <f t="shared" si="117"/>
        <v>-348</v>
      </c>
      <c r="K2551" s="10">
        <f t="shared" si="118"/>
        <v>-8.2857142857142851E-2</v>
      </c>
      <c r="L2551" s="17">
        <f t="shared" si="119"/>
        <v>0</v>
      </c>
      <c r="M2551" t="str">
        <f>VLOOKUP(D2551,'Jer-Tip-Emp'!B:E,4,0)</f>
        <v>Bebidas</v>
      </c>
      <c r="N2551" t="str">
        <f>VLOOKUP(D2551,'Jer-Tip-Emp'!B:F,5,0)</f>
        <v>Bebidas Cambio de bebida</v>
      </c>
      <c r="O2551" t="str">
        <f>VLOOKUP(D2551,'Jer-Tip-Emp'!B:G,6,0)</f>
        <v>Bebidas</v>
      </c>
    </row>
    <row r="2552" spans="1:15" ht="27.5" hidden="1" customHeight="1" x14ac:dyDescent="0.2">
      <c r="A2552">
        <v>2025</v>
      </c>
      <c r="B2552" t="s">
        <v>629</v>
      </c>
      <c r="C2552" t="s">
        <v>609</v>
      </c>
      <c r="D2552" s="19" t="s">
        <v>275</v>
      </c>
      <c r="E2552" s="18" t="s">
        <v>16</v>
      </c>
      <c r="F2552" s="18">
        <v>3</v>
      </c>
      <c r="G2552" s="20">
        <v>20700</v>
      </c>
      <c r="H2552" s="18">
        <v>0</v>
      </c>
      <c r="I2552" s="20">
        <v>6735</v>
      </c>
      <c r="J2552" s="8">
        <f t="shared" si="117"/>
        <v>13965</v>
      </c>
      <c r="K2552" s="10">
        <f t="shared" si="118"/>
        <v>0.67463768115942024</v>
      </c>
      <c r="L2552" s="17">
        <f t="shared" si="119"/>
        <v>0</v>
      </c>
      <c r="M2552" t="str">
        <f>VLOOKUP(D2552,'Jer-Tip-Emp'!B:E,4,0)</f>
        <v>Adición</v>
      </c>
      <c r="N2552" t="str">
        <f>VLOOKUP(D2552,'Jer-Tip-Emp'!B:F,5,0)</f>
        <v>Adición</v>
      </c>
      <c r="O2552" t="str">
        <f>VLOOKUP(D2552,'Jer-Tip-Emp'!B:G,6,0)</f>
        <v>Adición</v>
      </c>
    </row>
    <row r="2553" spans="1:15" ht="27.5" hidden="1" customHeight="1" x14ac:dyDescent="0.2">
      <c r="A2553">
        <v>2025</v>
      </c>
      <c r="B2553" t="s">
        <v>629</v>
      </c>
      <c r="C2553" t="s">
        <v>609</v>
      </c>
      <c r="D2553" s="19" t="s">
        <v>465</v>
      </c>
      <c r="E2553" s="18" t="s">
        <v>578</v>
      </c>
      <c r="F2553" s="18">
        <v>3</v>
      </c>
      <c r="G2553" s="20">
        <v>5799</v>
      </c>
      <c r="H2553" s="18">
        <v>-201</v>
      </c>
      <c r="I2553" s="20">
        <v>6717</v>
      </c>
      <c r="J2553" s="8">
        <f t="shared" si="117"/>
        <v>-918</v>
      </c>
      <c r="K2553" s="10">
        <f t="shared" si="118"/>
        <v>-0.15830315571650286</v>
      </c>
      <c r="L2553" s="17">
        <f t="shared" si="119"/>
        <v>3.4661148473874803E-2</v>
      </c>
      <c r="M2553" t="str">
        <f>VLOOKUP(D2553,'Jer-Tip-Emp'!B:E,4,0)</f>
        <v>Bebidas</v>
      </c>
      <c r="N2553" t="str">
        <f>VLOOKUP(D2553,'Jer-Tip-Emp'!B:F,5,0)</f>
        <v>Bebidas Cambio de bebida</v>
      </c>
      <c r="O2553" t="str">
        <f>VLOOKUP(D2553,'Jer-Tip-Emp'!B:G,6,0)</f>
        <v>Bebidas</v>
      </c>
    </row>
    <row r="2554" spans="1:15" ht="27.5" hidden="1" customHeight="1" x14ac:dyDescent="0.2">
      <c r="A2554">
        <v>2025</v>
      </c>
      <c r="B2554" t="s">
        <v>629</v>
      </c>
      <c r="C2554" t="s">
        <v>609</v>
      </c>
      <c r="D2554" s="19" t="s">
        <v>254</v>
      </c>
      <c r="E2554" s="18" t="s">
        <v>20</v>
      </c>
      <c r="F2554" s="18">
        <v>3</v>
      </c>
      <c r="G2554" s="20">
        <v>20700</v>
      </c>
      <c r="H2554" s="18">
        <v>0</v>
      </c>
      <c r="I2554" s="20">
        <v>9030</v>
      </c>
      <c r="J2554" s="8">
        <f t="shared" si="117"/>
        <v>11670</v>
      </c>
      <c r="K2554" s="10">
        <f t="shared" si="118"/>
        <v>0.56376811594202902</v>
      </c>
      <c r="L2554" s="17">
        <f t="shared" si="119"/>
        <v>0</v>
      </c>
      <c r="M2554" t="str">
        <f>VLOOKUP(D2554,'Jer-Tip-Emp'!B:E,4,0)</f>
        <v>Adición</v>
      </c>
      <c r="N2554" t="str">
        <f>VLOOKUP(D2554,'Jer-Tip-Emp'!B:F,5,0)</f>
        <v>Adición</v>
      </c>
      <c r="O2554" t="str">
        <f>VLOOKUP(D2554,'Jer-Tip-Emp'!B:G,6,0)</f>
        <v>Adición</v>
      </c>
    </row>
    <row r="2555" spans="1:15" ht="27.5" customHeight="1" x14ac:dyDescent="0.2">
      <c r="A2555">
        <v>2025</v>
      </c>
      <c r="B2555" t="s">
        <v>629</v>
      </c>
      <c r="C2555" t="s">
        <v>609</v>
      </c>
      <c r="D2555" s="19" t="s">
        <v>279</v>
      </c>
      <c r="E2555" s="18" t="s">
        <v>130</v>
      </c>
      <c r="F2555" s="18">
        <v>3</v>
      </c>
      <c r="G2555" s="20">
        <v>119700</v>
      </c>
      <c r="H2555" s="18">
        <v>0</v>
      </c>
      <c r="I2555" s="20">
        <v>33651</v>
      </c>
      <c r="J2555" s="8">
        <f t="shared" si="117"/>
        <v>86049</v>
      </c>
      <c r="K2555" s="10">
        <f t="shared" si="118"/>
        <v>0.71887218045112777</v>
      </c>
      <c r="L2555" s="17">
        <f t="shared" si="119"/>
        <v>0</v>
      </c>
      <c r="M2555" t="str">
        <f>VLOOKUP(D2555,'Jer-Tip-Emp'!B:E,4,0)</f>
        <v>Platos mong</v>
      </c>
      <c r="N2555" t="str">
        <f>VLOOKUP(D2555,'Jer-Tip-Emp'!B:F,5,0)</f>
        <v>No Personal</v>
      </c>
      <c r="O2555" t="str">
        <f>VLOOKUP(D2555,'Jer-Tip-Emp'!B:G,6,0)</f>
        <v>Caja</v>
      </c>
    </row>
    <row r="2556" spans="1:15" ht="27.5" hidden="1" customHeight="1" x14ac:dyDescent="0.2">
      <c r="A2556">
        <v>2025</v>
      </c>
      <c r="B2556" t="s">
        <v>629</v>
      </c>
      <c r="C2556" t="s">
        <v>609</v>
      </c>
      <c r="D2556" s="19" t="s">
        <v>314</v>
      </c>
      <c r="E2556" s="18" t="s">
        <v>67</v>
      </c>
      <c r="F2556" s="18">
        <v>3</v>
      </c>
      <c r="G2556" s="20">
        <v>14700</v>
      </c>
      <c r="H2556" s="18">
        <v>0</v>
      </c>
      <c r="I2556" s="20">
        <v>3990</v>
      </c>
      <c r="J2556" s="8">
        <f t="shared" si="117"/>
        <v>10710</v>
      </c>
      <c r="K2556" s="10">
        <f t="shared" si="118"/>
        <v>0.72857142857142854</v>
      </c>
      <c r="L2556" s="17">
        <f t="shared" si="119"/>
        <v>0</v>
      </c>
      <c r="M2556" t="str">
        <f>VLOOKUP(D2556,'Jer-Tip-Emp'!B:E,4,0)</f>
        <v>Bebidas</v>
      </c>
      <c r="N2556" t="str">
        <f>VLOOKUP(D2556,'Jer-Tip-Emp'!B:F,5,0)</f>
        <v>Bebidas</v>
      </c>
      <c r="O2556" t="str">
        <f>VLOOKUP(D2556,'Jer-Tip-Emp'!B:G,6,0)</f>
        <v>Bebidas</v>
      </c>
    </row>
    <row r="2557" spans="1:15" ht="27.5" hidden="1" customHeight="1" x14ac:dyDescent="0.2">
      <c r="A2557">
        <v>2025</v>
      </c>
      <c r="B2557" t="s">
        <v>629</v>
      </c>
      <c r="C2557" t="s">
        <v>609</v>
      </c>
      <c r="D2557" s="19" t="s">
        <v>369</v>
      </c>
      <c r="E2557" s="18" t="s">
        <v>68</v>
      </c>
      <c r="F2557" s="18">
        <v>3</v>
      </c>
      <c r="G2557" s="20">
        <v>14700</v>
      </c>
      <c r="H2557" s="18">
        <v>0</v>
      </c>
      <c r="I2557" s="20">
        <v>3990</v>
      </c>
      <c r="J2557" s="8">
        <f t="shared" si="117"/>
        <v>10710</v>
      </c>
      <c r="K2557" s="10">
        <f t="shared" si="118"/>
        <v>0.72857142857142854</v>
      </c>
      <c r="L2557" s="17">
        <f t="shared" si="119"/>
        <v>0</v>
      </c>
      <c r="M2557" t="str">
        <f>VLOOKUP(D2557,'Jer-Tip-Emp'!B:E,4,0)</f>
        <v>Bebidas</v>
      </c>
      <c r="N2557" t="str">
        <f>VLOOKUP(D2557,'Jer-Tip-Emp'!B:F,5,0)</f>
        <v>Bebidas</v>
      </c>
      <c r="O2557" t="str">
        <f>VLOOKUP(D2557,'Jer-Tip-Emp'!B:G,6,0)</f>
        <v>Bebidas</v>
      </c>
    </row>
    <row r="2558" spans="1:15" ht="27.5" hidden="1" customHeight="1" x14ac:dyDescent="0.2">
      <c r="A2558">
        <v>2025</v>
      </c>
      <c r="B2558" t="s">
        <v>629</v>
      </c>
      <c r="C2558" t="s">
        <v>609</v>
      </c>
      <c r="D2558" s="19" t="s">
        <v>452</v>
      </c>
      <c r="E2558" s="18" t="s">
        <v>573</v>
      </c>
      <c r="F2558" s="18">
        <v>3</v>
      </c>
      <c r="G2558" s="20">
        <v>4200</v>
      </c>
      <c r="H2558" s="18">
        <v>0</v>
      </c>
      <c r="I2558" s="20">
        <v>5622</v>
      </c>
      <c r="J2558" s="8">
        <f t="shared" si="117"/>
        <v>-1422</v>
      </c>
      <c r="K2558" s="10">
        <f t="shared" si="118"/>
        <v>-0.33857142857142858</v>
      </c>
      <c r="L2558" s="17">
        <f t="shared" si="119"/>
        <v>0</v>
      </c>
      <c r="M2558" t="str">
        <f>VLOOKUP(D2558,'Jer-Tip-Emp'!B:E,4,0)</f>
        <v>Bebidas</v>
      </c>
      <c r="N2558" t="str">
        <f>VLOOKUP(D2558,'Jer-Tip-Emp'!B:F,5,0)</f>
        <v>Bebidas Cambio de bebida</v>
      </c>
      <c r="O2558" t="str">
        <f>VLOOKUP(D2558,'Jer-Tip-Emp'!B:G,6,0)</f>
        <v>Bebidas</v>
      </c>
    </row>
    <row r="2559" spans="1:15" ht="27.5" hidden="1" customHeight="1" x14ac:dyDescent="0.2">
      <c r="A2559">
        <v>2025</v>
      </c>
      <c r="B2559" t="s">
        <v>629</v>
      </c>
      <c r="C2559" t="s">
        <v>609</v>
      </c>
      <c r="D2559" s="19" t="s">
        <v>402</v>
      </c>
      <c r="E2559" s="18" t="s">
        <v>63</v>
      </c>
      <c r="F2559" s="18">
        <v>3</v>
      </c>
      <c r="G2559" s="20">
        <v>14700</v>
      </c>
      <c r="H2559" s="18">
        <v>0</v>
      </c>
      <c r="I2559" s="20">
        <v>4680</v>
      </c>
      <c r="J2559" s="8">
        <f t="shared" si="117"/>
        <v>10020</v>
      </c>
      <c r="K2559" s="10">
        <f t="shared" si="118"/>
        <v>0.68163265306122445</v>
      </c>
      <c r="L2559" s="17">
        <f t="shared" si="119"/>
        <v>0</v>
      </c>
      <c r="M2559" t="str">
        <f>VLOOKUP(D2559,'Jer-Tip-Emp'!B:E,4,0)</f>
        <v>Bebidas</v>
      </c>
      <c r="N2559" t="str">
        <f>VLOOKUP(D2559,'Jer-Tip-Emp'!B:F,5,0)</f>
        <v>Bebidas</v>
      </c>
      <c r="O2559" t="str">
        <f>VLOOKUP(D2559,'Jer-Tip-Emp'!B:G,6,0)</f>
        <v>Bebidas</v>
      </c>
    </row>
    <row r="2560" spans="1:15" ht="27.5" hidden="1" customHeight="1" x14ac:dyDescent="0.2">
      <c r="A2560">
        <v>2025</v>
      </c>
      <c r="B2560" t="s">
        <v>629</v>
      </c>
      <c r="C2560" t="s">
        <v>609</v>
      </c>
      <c r="D2560" s="19" t="s">
        <v>492</v>
      </c>
      <c r="E2560" s="18" t="s">
        <v>577</v>
      </c>
      <c r="F2560" s="18">
        <v>2</v>
      </c>
      <c r="G2560" s="20">
        <v>2800</v>
      </c>
      <c r="H2560" s="18">
        <v>0</v>
      </c>
      <c r="I2560" s="20">
        <v>3790</v>
      </c>
      <c r="J2560" s="8">
        <f t="shared" si="117"/>
        <v>-990</v>
      </c>
      <c r="K2560" s="10">
        <f t="shared" si="118"/>
        <v>-0.35357142857142859</v>
      </c>
      <c r="L2560" s="17">
        <f t="shared" si="119"/>
        <v>0</v>
      </c>
      <c r="M2560" t="str">
        <f>VLOOKUP(D2560,'Jer-Tip-Emp'!B:E,4,0)</f>
        <v>Bebidas</v>
      </c>
      <c r="N2560" t="str">
        <f>VLOOKUP(D2560,'Jer-Tip-Emp'!B:F,5,0)</f>
        <v>Bebidas Cambio de bebida</v>
      </c>
      <c r="O2560" t="str">
        <f>VLOOKUP(D2560,'Jer-Tip-Emp'!B:G,6,0)</f>
        <v>Bebidas</v>
      </c>
    </row>
    <row r="2561" spans="1:15" ht="27.5" customHeight="1" x14ac:dyDescent="0.2">
      <c r="A2561">
        <v>2025</v>
      </c>
      <c r="B2561" t="s">
        <v>629</v>
      </c>
      <c r="C2561" t="s">
        <v>609</v>
      </c>
      <c r="D2561" s="19" t="s">
        <v>261</v>
      </c>
      <c r="E2561" s="18" t="s">
        <v>135</v>
      </c>
      <c r="F2561" s="18">
        <v>2</v>
      </c>
      <c r="G2561" s="20">
        <v>31800</v>
      </c>
      <c r="H2561" s="18">
        <v>0</v>
      </c>
      <c r="I2561" s="20">
        <v>10932</v>
      </c>
      <c r="J2561" s="8">
        <f t="shared" ref="J2561:J2624" si="120">G2561-I2561</f>
        <v>20868</v>
      </c>
      <c r="K2561" s="10">
        <f t="shared" ref="K2561:K2624" si="121">IFERROR(J2561/G2561,0)</f>
        <v>0.65622641509433965</v>
      </c>
      <c r="L2561" s="17">
        <f t="shared" ref="L2561:L2624" si="122">IFERROR((H2561/G2561)*-1,0)</f>
        <v>0</v>
      </c>
      <c r="M2561" t="str">
        <f>VLOOKUP(D2561,'Jer-Tip-Emp'!B:E,4,0)</f>
        <v>Platos mong</v>
      </c>
      <c r="N2561" t="str">
        <f>VLOOKUP(D2561,'Jer-Tip-Emp'!B:F,5,0)</f>
        <v>Personal</v>
      </c>
      <c r="O2561" t="str">
        <f>VLOOKUP(D2561,'Jer-Tip-Emp'!B:G,6,0)</f>
        <v>Caja</v>
      </c>
    </row>
    <row r="2562" spans="1:15" ht="27.5" customHeight="1" x14ac:dyDescent="0.2">
      <c r="A2562">
        <v>2025</v>
      </c>
      <c r="B2562" t="s">
        <v>629</v>
      </c>
      <c r="C2562" t="s">
        <v>609</v>
      </c>
      <c r="D2562" s="19" t="s">
        <v>204</v>
      </c>
      <c r="E2562" s="18" t="s">
        <v>151</v>
      </c>
      <c r="F2562" s="18">
        <v>2</v>
      </c>
      <c r="G2562" s="20">
        <v>91800</v>
      </c>
      <c r="H2562" s="18">
        <v>0</v>
      </c>
      <c r="I2562" s="20">
        <v>38882</v>
      </c>
      <c r="J2562" s="8">
        <f t="shared" si="120"/>
        <v>52918</v>
      </c>
      <c r="K2562" s="10">
        <f t="shared" si="121"/>
        <v>0.57644880174291935</v>
      </c>
      <c r="L2562" s="17">
        <f t="shared" si="122"/>
        <v>0</v>
      </c>
      <c r="M2562" t="str">
        <f>VLOOKUP(D2562,'Jer-Tip-Emp'!B:E,4,0)</f>
        <v>Platos mong</v>
      </c>
      <c r="N2562" t="str">
        <f>VLOOKUP(D2562,'Jer-Tip-Emp'!B:F,5,0)</f>
        <v>No Personal</v>
      </c>
      <c r="O2562" t="str">
        <f>VLOOKUP(D2562,'Jer-Tip-Emp'!B:G,6,0)</f>
        <v>Caja</v>
      </c>
    </row>
    <row r="2563" spans="1:15" ht="27.5" customHeight="1" x14ac:dyDescent="0.2">
      <c r="A2563">
        <v>2025</v>
      </c>
      <c r="B2563" t="s">
        <v>629</v>
      </c>
      <c r="C2563" t="s">
        <v>609</v>
      </c>
      <c r="D2563" s="19" t="s">
        <v>241</v>
      </c>
      <c r="E2563" s="18" t="s">
        <v>107</v>
      </c>
      <c r="F2563" s="18">
        <v>2</v>
      </c>
      <c r="G2563" s="20">
        <v>165800</v>
      </c>
      <c r="H2563" s="18">
        <v>0</v>
      </c>
      <c r="I2563" s="20">
        <v>85408</v>
      </c>
      <c r="J2563" s="8">
        <f t="shared" si="120"/>
        <v>80392</v>
      </c>
      <c r="K2563" s="10">
        <f t="shared" si="121"/>
        <v>0.48487334137515076</v>
      </c>
      <c r="L2563" s="17">
        <f t="shared" si="122"/>
        <v>0</v>
      </c>
      <c r="M2563" t="str">
        <f>VLOOKUP(D2563,'Jer-Tip-Emp'!B:E,4,0)</f>
        <v>Platos mong</v>
      </c>
      <c r="N2563" t="str">
        <f>VLOOKUP(D2563,'Jer-Tip-Emp'!B:F,5,0)</f>
        <v>No Personal</v>
      </c>
      <c r="O2563" t="str">
        <f>VLOOKUP(D2563,'Jer-Tip-Emp'!B:G,6,0)</f>
        <v>Caja</v>
      </c>
    </row>
    <row r="2564" spans="1:15" ht="27.5" hidden="1" customHeight="1" x14ac:dyDescent="0.2">
      <c r="A2564">
        <v>2025</v>
      </c>
      <c r="B2564" t="s">
        <v>629</v>
      </c>
      <c r="C2564" t="s">
        <v>609</v>
      </c>
      <c r="D2564" s="19" t="s">
        <v>365</v>
      </c>
      <c r="E2564" s="18" t="s">
        <v>558</v>
      </c>
      <c r="F2564" s="18">
        <v>2</v>
      </c>
      <c r="G2564" s="20">
        <v>1000</v>
      </c>
      <c r="H2564" s="18">
        <v>0</v>
      </c>
      <c r="I2564" s="20">
        <v>3138</v>
      </c>
      <c r="J2564" s="8">
        <f t="shared" si="120"/>
        <v>-2138</v>
      </c>
      <c r="K2564" s="10">
        <f t="shared" si="121"/>
        <v>-2.1379999999999999</v>
      </c>
      <c r="L2564" s="17">
        <f t="shared" si="122"/>
        <v>0</v>
      </c>
      <c r="M2564" t="str">
        <f>VLOOKUP(D2564,'Jer-Tip-Emp'!B:E,4,0)</f>
        <v>Adición</v>
      </c>
      <c r="N2564" t="str">
        <f>VLOOKUP(D2564,'Jer-Tip-Emp'!B:F,5,0)</f>
        <v>Otro</v>
      </c>
      <c r="O2564" t="str">
        <f>VLOOKUP(D2564,'Jer-Tip-Emp'!B:G,6,0)</f>
        <v>Otro</v>
      </c>
    </row>
    <row r="2565" spans="1:15" ht="27.5" customHeight="1" x14ac:dyDescent="0.2">
      <c r="A2565">
        <v>2025</v>
      </c>
      <c r="B2565" t="s">
        <v>629</v>
      </c>
      <c r="C2565" t="s">
        <v>609</v>
      </c>
      <c r="D2565" s="19" t="s">
        <v>208</v>
      </c>
      <c r="E2565" s="18" t="s">
        <v>30</v>
      </c>
      <c r="F2565" s="18">
        <v>2</v>
      </c>
      <c r="G2565" s="20">
        <v>13800</v>
      </c>
      <c r="H2565" s="18">
        <v>0</v>
      </c>
      <c r="I2565" s="20">
        <v>5834</v>
      </c>
      <c r="J2565" s="8">
        <f t="shared" si="120"/>
        <v>7966</v>
      </c>
      <c r="K2565" s="10">
        <f t="shared" si="121"/>
        <v>0.57724637681159419</v>
      </c>
      <c r="L2565" s="17">
        <f t="shared" si="122"/>
        <v>0</v>
      </c>
      <c r="M2565" t="str">
        <f>VLOOKUP(D2565,'Jer-Tip-Emp'!B:E,4,0)</f>
        <v>Armalo en combo</v>
      </c>
      <c r="N2565" t="str">
        <f>VLOOKUP(D2565,'Jer-Tip-Emp'!B:F,5,0)</f>
        <v>Personal</v>
      </c>
      <c r="O2565" t="str">
        <f>VLOOKUP(D2565,'Jer-Tip-Emp'!B:G,6,0)</f>
        <v>Combo</v>
      </c>
    </row>
    <row r="2566" spans="1:15" ht="27.5" customHeight="1" x14ac:dyDescent="0.2">
      <c r="A2566">
        <v>2025</v>
      </c>
      <c r="B2566" t="s">
        <v>629</v>
      </c>
      <c r="C2566" t="s">
        <v>609</v>
      </c>
      <c r="D2566" s="19" t="s">
        <v>274</v>
      </c>
      <c r="E2566" s="18" t="s">
        <v>91</v>
      </c>
      <c r="F2566" s="18">
        <v>2</v>
      </c>
      <c r="G2566" s="20">
        <v>159800</v>
      </c>
      <c r="H2566" s="18">
        <v>0</v>
      </c>
      <c r="I2566" s="20">
        <v>57630</v>
      </c>
      <c r="J2566" s="8">
        <f t="shared" si="120"/>
        <v>102170</v>
      </c>
      <c r="K2566" s="10">
        <f t="shared" si="121"/>
        <v>0.63936170212765953</v>
      </c>
      <c r="L2566" s="17">
        <f t="shared" si="122"/>
        <v>0</v>
      </c>
      <c r="M2566" t="str">
        <f>VLOOKUP(D2566,'Jer-Tip-Emp'!B:E,4,0)</f>
        <v>Platos mong</v>
      </c>
      <c r="N2566" t="str">
        <f>VLOOKUP(D2566,'Jer-Tip-Emp'!B:F,5,0)</f>
        <v>No Personal</v>
      </c>
      <c r="O2566" t="str">
        <f>VLOOKUP(D2566,'Jer-Tip-Emp'!B:G,6,0)</f>
        <v>Caja</v>
      </c>
    </row>
    <row r="2567" spans="1:15" ht="27.5" customHeight="1" x14ac:dyDescent="0.2">
      <c r="A2567">
        <v>2025</v>
      </c>
      <c r="B2567" t="s">
        <v>629</v>
      </c>
      <c r="C2567" t="s">
        <v>609</v>
      </c>
      <c r="D2567" s="19" t="s">
        <v>251</v>
      </c>
      <c r="E2567" s="18" t="s">
        <v>123</v>
      </c>
      <c r="F2567" s="18">
        <v>2</v>
      </c>
      <c r="G2567" s="20">
        <v>159800</v>
      </c>
      <c r="H2567" s="18">
        <v>0</v>
      </c>
      <c r="I2567" s="20">
        <v>67354</v>
      </c>
      <c r="J2567" s="8">
        <f t="shared" si="120"/>
        <v>92446</v>
      </c>
      <c r="K2567" s="10">
        <f t="shared" si="121"/>
        <v>0.5785106382978723</v>
      </c>
      <c r="L2567" s="17">
        <f t="shared" si="122"/>
        <v>0</v>
      </c>
      <c r="M2567" t="str">
        <f>VLOOKUP(D2567,'Jer-Tip-Emp'!B:E,4,0)</f>
        <v>Platos mong</v>
      </c>
      <c r="N2567" t="str">
        <f>VLOOKUP(D2567,'Jer-Tip-Emp'!B:F,5,0)</f>
        <v>No Personal</v>
      </c>
      <c r="O2567" t="str">
        <f>VLOOKUP(D2567,'Jer-Tip-Emp'!B:G,6,0)</f>
        <v>Caja</v>
      </c>
    </row>
    <row r="2568" spans="1:15" ht="27.5" hidden="1" customHeight="1" x14ac:dyDescent="0.2">
      <c r="A2568">
        <v>2025</v>
      </c>
      <c r="B2568" t="s">
        <v>629</v>
      </c>
      <c r="C2568" t="s">
        <v>609</v>
      </c>
      <c r="D2568" s="19" t="s">
        <v>495</v>
      </c>
      <c r="E2568" s="18" t="s">
        <v>572</v>
      </c>
      <c r="F2568" s="18">
        <v>2</v>
      </c>
      <c r="G2568" s="20">
        <v>2800</v>
      </c>
      <c r="H2568" s="18">
        <v>0</v>
      </c>
      <c r="I2568" s="20">
        <v>3792</v>
      </c>
      <c r="J2568" s="8">
        <f t="shared" si="120"/>
        <v>-992</v>
      </c>
      <c r="K2568" s="10">
        <f t="shared" si="121"/>
        <v>-0.35428571428571426</v>
      </c>
      <c r="L2568" s="17">
        <f t="shared" si="122"/>
        <v>0</v>
      </c>
      <c r="M2568" t="str">
        <f>VLOOKUP(D2568,'Jer-Tip-Emp'!B:E,4,0)</f>
        <v>Bebidas</v>
      </c>
      <c r="N2568" t="str">
        <f>VLOOKUP(D2568,'Jer-Tip-Emp'!B:F,5,0)</f>
        <v>Bebidas Cambio de bebida</v>
      </c>
      <c r="O2568" t="str">
        <f>VLOOKUP(D2568,'Jer-Tip-Emp'!B:G,6,0)</f>
        <v>Bebidas</v>
      </c>
    </row>
    <row r="2569" spans="1:15" ht="27.5" customHeight="1" x14ac:dyDescent="0.2">
      <c r="A2569">
        <v>2025</v>
      </c>
      <c r="B2569" t="s">
        <v>629</v>
      </c>
      <c r="C2569" t="s">
        <v>609</v>
      </c>
      <c r="D2569" s="19" t="s">
        <v>278</v>
      </c>
      <c r="E2569" s="18" t="s">
        <v>84</v>
      </c>
      <c r="F2569" s="18">
        <v>2</v>
      </c>
      <c r="G2569" s="20">
        <v>43800</v>
      </c>
      <c r="H2569" s="18">
        <v>0</v>
      </c>
      <c r="I2569" s="20">
        <v>15946</v>
      </c>
      <c r="J2569" s="8">
        <f t="shared" si="120"/>
        <v>27854</v>
      </c>
      <c r="K2569" s="10">
        <f t="shared" si="121"/>
        <v>0.63593607305936073</v>
      </c>
      <c r="L2569" s="17">
        <f t="shared" si="122"/>
        <v>0</v>
      </c>
      <c r="M2569" t="str">
        <f>VLOOKUP(D2569,'Jer-Tip-Emp'!B:E,4,0)</f>
        <v>Combos para compartir</v>
      </c>
      <c r="N2569" t="str">
        <f>VLOOKUP(D2569,'Jer-Tip-Emp'!B:F,5,0)</f>
        <v>No Personal</v>
      </c>
      <c r="O2569" t="str">
        <f>VLOOKUP(D2569,'Jer-Tip-Emp'!B:G,6,0)</f>
        <v>Combo</v>
      </c>
    </row>
    <row r="2570" spans="1:15" ht="27.5" hidden="1" customHeight="1" x14ac:dyDescent="0.2">
      <c r="A2570">
        <v>2025</v>
      </c>
      <c r="B2570" t="s">
        <v>629</v>
      </c>
      <c r="C2570" t="s">
        <v>609</v>
      </c>
      <c r="D2570" s="19" t="s">
        <v>339</v>
      </c>
      <c r="E2570" s="18" t="s">
        <v>65</v>
      </c>
      <c r="F2570" s="18">
        <v>2</v>
      </c>
      <c r="G2570" s="20">
        <v>9800</v>
      </c>
      <c r="H2570" s="18">
        <v>0</v>
      </c>
      <c r="I2570" s="20">
        <v>3120</v>
      </c>
      <c r="J2570" s="8">
        <f t="shared" si="120"/>
        <v>6680</v>
      </c>
      <c r="K2570" s="10">
        <f t="shared" si="121"/>
        <v>0.68163265306122445</v>
      </c>
      <c r="L2570" s="17">
        <f t="shared" si="122"/>
        <v>0</v>
      </c>
      <c r="M2570" t="str">
        <f>VLOOKUP(D2570,'Jer-Tip-Emp'!B:E,4,0)</f>
        <v>Bebidas</v>
      </c>
      <c r="N2570" t="str">
        <f>VLOOKUP(D2570,'Jer-Tip-Emp'!B:F,5,0)</f>
        <v>Bebidas</v>
      </c>
      <c r="O2570" t="str">
        <f>VLOOKUP(D2570,'Jer-Tip-Emp'!B:G,6,0)</f>
        <v>Bebidas</v>
      </c>
    </row>
    <row r="2571" spans="1:15" ht="27.5" customHeight="1" x14ac:dyDescent="0.2">
      <c r="A2571">
        <v>2025</v>
      </c>
      <c r="B2571" t="s">
        <v>629</v>
      </c>
      <c r="C2571" t="s">
        <v>609</v>
      </c>
      <c r="D2571" s="19" t="s">
        <v>286</v>
      </c>
      <c r="E2571" s="18" t="s">
        <v>144</v>
      </c>
      <c r="F2571" s="18">
        <v>2</v>
      </c>
      <c r="G2571" s="20">
        <v>135800</v>
      </c>
      <c r="H2571" s="18">
        <v>0</v>
      </c>
      <c r="I2571" s="20">
        <v>69310</v>
      </c>
      <c r="J2571" s="8">
        <f t="shared" si="120"/>
        <v>66490</v>
      </c>
      <c r="K2571" s="10">
        <f t="shared" si="121"/>
        <v>0.48961708394698084</v>
      </c>
      <c r="L2571" s="17">
        <f t="shared" si="122"/>
        <v>0</v>
      </c>
      <c r="M2571" t="str">
        <f>VLOOKUP(D2571,'Jer-Tip-Emp'!B:E,4,0)</f>
        <v>Platos mong</v>
      </c>
      <c r="N2571" t="str">
        <f>VLOOKUP(D2571,'Jer-Tip-Emp'!B:F,5,0)</f>
        <v>No Personal</v>
      </c>
      <c r="O2571" t="str">
        <f>VLOOKUP(D2571,'Jer-Tip-Emp'!B:G,6,0)</f>
        <v>Caja</v>
      </c>
    </row>
    <row r="2572" spans="1:15" ht="27.5" hidden="1" customHeight="1" x14ac:dyDescent="0.2">
      <c r="A2572">
        <v>2025</v>
      </c>
      <c r="B2572" t="s">
        <v>629</v>
      </c>
      <c r="C2572" t="s">
        <v>609</v>
      </c>
      <c r="D2572" s="19" t="s">
        <v>176</v>
      </c>
      <c r="E2572" s="18" t="s">
        <v>544</v>
      </c>
      <c r="F2572" s="18">
        <v>1</v>
      </c>
      <c r="G2572" s="18">
        <v>0</v>
      </c>
      <c r="H2572" s="18">
        <v>0</v>
      </c>
      <c r="I2572" s="20">
        <v>1945</v>
      </c>
      <c r="J2572" s="8">
        <f t="shared" si="120"/>
        <v>-1945</v>
      </c>
      <c r="K2572" s="10">
        <f t="shared" si="121"/>
        <v>0</v>
      </c>
      <c r="L2572" s="17">
        <f t="shared" si="122"/>
        <v>0</v>
      </c>
      <c r="M2572" t="str">
        <f>VLOOKUP(D2572,'Jer-Tip-Emp'!B:E,4,0)</f>
        <v>Bebidas</v>
      </c>
      <c r="N2572" t="str">
        <f>VLOOKUP(D2572,'Jer-Tip-Emp'!B:F,5,0)</f>
        <v>Bebidas Cambio de bebida</v>
      </c>
      <c r="O2572" t="str">
        <f>VLOOKUP(D2572,'Jer-Tip-Emp'!B:G,6,0)</f>
        <v>Bebidas</v>
      </c>
    </row>
    <row r="2573" spans="1:15" ht="27.5" customHeight="1" x14ac:dyDescent="0.2">
      <c r="A2573">
        <v>2025</v>
      </c>
      <c r="B2573" t="s">
        <v>629</v>
      </c>
      <c r="C2573" t="s">
        <v>609</v>
      </c>
      <c r="D2573" s="19" t="s">
        <v>259</v>
      </c>
      <c r="E2573" s="18" t="s">
        <v>152</v>
      </c>
      <c r="F2573" s="18">
        <v>1</v>
      </c>
      <c r="G2573" s="20">
        <v>62900</v>
      </c>
      <c r="H2573" s="18">
        <v>0</v>
      </c>
      <c r="I2573" s="20">
        <v>37744</v>
      </c>
      <c r="J2573" s="8">
        <f t="shared" si="120"/>
        <v>25156</v>
      </c>
      <c r="K2573" s="10">
        <f t="shared" si="121"/>
        <v>0.39993640699523053</v>
      </c>
      <c r="L2573" s="17">
        <f t="shared" si="122"/>
        <v>0</v>
      </c>
      <c r="M2573" t="str">
        <f>VLOOKUP(D2573,'Jer-Tip-Emp'!B:E,4,0)</f>
        <v>Platos mong</v>
      </c>
      <c r="N2573" t="str">
        <f>VLOOKUP(D2573,'Jer-Tip-Emp'!B:F,5,0)</f>
        <v>No Personal</v>
      </c>
      <c r="O2573" t="str">
        <f>VLOOKUP(D2573,'Jer-Tip-Emp'!B:G,6,0)</f>
        <v>Caja</v>
      </c>
    </row>
    <row r="2574" spans="1:15" ht="27.5" customHeight="1" x14ac:dyDescent="0.2">
      <c r="A2574">
        <v>2025</v>
      </c>
      <c r="B2574" t="s">
        <v>629</v>
      </c>
      <c r="C2574" t="s">
        <v>609</v>
      </c>
      <c r="D2574" s="19" t="s">
        <v>270</v>
      </c>
      <c r="E2574" s="18" t="s">
        <v>87</v>
      </c>
      <c r="F2574" s="18">
        <v>1</v>
      </c>
      <c r="G2574" s="20">
        <v>109900</v>
      </c>
      <c r="H2574" s="18">
        <v>0</v>
      </c>
      <c r="I2574" s="20">
        <v>45484</v>
      </c>
      <c r="J2574" s="8">
        <f t="shared" si="120"/>
        <v>64416</v>
      </c>
      <c r="K2574" s="10">
        <f t="shared" si="121"/>
        <v>0.58613284804367605</v>
      </c>
      <c r="L2574" s="17">
        <f t="shared" si="122"/>
        <v>0</v>
      </c>
      <c r="M2574" t="str">
        <f>VLOOKUP(D2574,'Jer-Tip-Emp'!B:E,4,0)</f>
        <v>Combos para compartir</v>
      </c>
      <c r="N2574" t="str">
        <f>VLOOKUP(D2574,'Jer-Tip-Emp'!B:F,5,0)</f>
        <v>No Personal</v>
      </c>
      <c r="O2574" t="str">
        <f>VLOOKUP(D2574,'Jer-Tip-Emp'!B:G,6,0)</f>
        <v>Combo</v>
      </c>
    </row>
    <row r="2575" spans="1:15" ht="27.5" customHeight="1" x14ac:dyDescent="0.2">
      <c r="A2575">
        <v>2025</v>
      </c>
      <c r="B2575" t="s">
        <v>629</v>
      </c>
      <c r="C2575" t="s">
        <v>609</v>
      </c>
      <c r="D2575" s="19" t="s">
        <v>199</v>
      </c>
      <c r="E2575" s="18" t="s">
        <v>115</v>
      </c>
      <c r="F2575" s="18">
        <v>1</v>
      </c>
      <c r="G2575" s="20">
        <v>10900</v>
      </c>
      <c r="H2575" s="18">
        <v>0</v>
      </c>
      <c r="I2575" s="18">
        <v>0</v>
      </c>
      <c r="J2575" s="8">
        <f t="shared" si="120"/>
        <v>10900</v>
      </c>
      <c r="K2575" s="10">
        <f t="shared" si="121"/>
        <v>1</v>
      </c>
      <c r="L2575" s="17">
        <f t="shared" si="122"/>
        <v>0</v>
      </c>
      <c r="M2575" t="str">
        <f>VLOOKUP(D2575,'Jer-Tip-Emp'!B:E,4,0)</f>
        <v>Platos especiales</v>
      </c>
      <c r="N2575" t="str">
        <f>VLOOKUP(D2575,'Jer-Tip-Emp'!B:F,5,0)</f>
        <v>Personal</v>
      </c>
      <c r="O2575" t="str">
        <f>VLOOKUP(D2575,'Jer-Tip-Emp'!B:G,6,0)</f>
        <v>Platos especiales</v>
      </c>
    </row>
    <row r="2576" spans="1:15" ht="27.5" customHeight="1" x14ac:dyDescent="0.2">
      <c r="A2576">
        <v>2025</v>
      </c>
      <c r="B2576" t="s">
        <v>629</v>
      </c>
      <c r="C2576" t="s">
        <v>609</v>
      </c>
      <c r="D2576" s="19" t="s">
        <v>178</v>
      </c>
      <c r="E2576" s="18" t="s">
        <v>145</v>
      </c>
      <c r="F2576" s="18">
        <v>1</v>
      </c>
      <c r="G2576" s="20">
        <v>95900</v>
      </c>
      <c r="H2576" s="18">
        <v>0</v>
      </c>
      <c r="I2576" s="20">
        <v>48608</v>
      </c>
      <c r="J2576" s="8">
        <f t="shared" si="120"/>
        <v>47292</v>
      </c>
      <c r="K2576" s="10">
        <f t="shared" si="121"/>
        <v>0.49313868613138684</v>
      </c>
      <c r="L2576" s="17">
        <f t="shared" si="122"/>
        <v>0</v>
      </c>
      <c r="M2576" t="str">
        <f>VLOOKUP(D2576,'Jer-Tip-Emp'!B:E,4,0)</f>
        <v>Platos mong</v>
      </c>
      <c r="N2576" t="str">
        <f>VLOOKUP(D2576,'Jer-Tip-Emp'!B:F,5,0)</f>
        <v>No Personal</v>
      </c>
      <c r="O2576" t="str">
        <f>VLOOKUP(D2576,'Jer-Tip-Emp'!B:G,6,0)</f>
        <v>Caja</v>
      </c>
    </row>
    <row r="2577" spans="1:15" ht="27.5" customHeight="1" x14ac:dyDescent="0.2">
      <c r="A2577">
        <v>2025</v>
      </c>
      <c r="B2577" t="s">
        <v>629</v>
      </c>
      <c r="C2577" t="s">
        <v>609</v>
      </c>
      <c r="D2577" s="19" t="s">
        <v>216</v>
      </c>
      <c r="E2577" s="18" t="s">
        <v>155</v>
      </c>
      <c r="F2577" s="18">
        <v>1</v>
      </c>
      <c r="G2577" s="20">
        <v>39900</v>
      </c>
      <c r="H2577" s="18">
        <v>0</v>
      </c>
      <c r="I2577" s="20">
        <v>15895</v>
      </c>
      <c r="J2577" s="8">
        <f t="shared" si="120"/>
        <v>24005</v>
      </c>
      <c r="K2577" s="10">
        <f t="shared" si="121"/>
        <v>0.60162907268170429</v>
      </c>
      <c r="L2577" s="17">
        <f t="shared" si="122"/>
        <v>0</v>
      </c>
      <c r="M2577" t="str">
        <f>VLOOKUP(D2577,'Jer-Tip-Emp'!B:E,4,0)</f>
        <v>Platos mong</v>
      </c>
      <c r="N2577" t="str">
        <f>VLOOKUP(D2577,'Jer-Tip-Emp'!B:F,5,0)</f>
        <v>No Personal</v>
      </c>
      <c r="O2577" t="str">
        <f>VLOOKUP(D2577,'Jer-Tip-Emp'!B:G,6,0)</f>
        <v>Caja</v>
      </c>
    </row>
    <row r="2578" spans="1:15" ht="27.5" customHeight="1" x14ac:dyDescent="0.2">
      <c r="A2578">
        <v>2025</v>
      </c>
      <c r="B2578" t="s">
        <v>629</v>
      </c>
      <c r="C2578" t="s">
        <v>609</v>
      </c>
      <c r="D2578" s="19" t="s">
        <v>240</v>
      </c>
      <c r="E2578" s="18" t="s">
        <v>139</v>
      </c>
      <c r="F2578" s="18">
        <v>1</v>
      </c>
      <c r="G2578" s="20">
        <v>55900</v>
      </c>
      <c r="H2578" s="18">
        <v>0</v>
      </c>
      <c r="I2578" s="20">
        <v>24255</v>
      </c>
      <c r="J2578" s="8">
        <f t="shared" si="120"/>
        <v>31645</v>
      </c>
      <c r="K2578" s="10">
        <f t="shared" si="121"/>
        <v>0.5661001788908766</v>
      </c>
      <c r="L2578" s="17">
        <f t="shared" si="122"/>
        <v>0</v>
      </c>
      <c r="M2578" t="str">
        <f>VLOOKUP(D2578,'Jer-Tip-Emp'!B:E,4,0)</f>
        <v>Platos mong</v>
      </c>
      <c r="N2578" t="str">
        <f>VLOOKUP(D2578,'Jer-Tip-Emp'!B:F,5,0)</f>
        <v>No Personal</v>
      </c>
      <c r="O2578" t="str">
        <f>VLOOKUP(D2578,'Jer-Tip-Emp'!B:G,6,0)</f>
        <v>Caja</v>
      </c>
    </row>
    <row r="2579" spans="1:15" ht="27.5" customHeight="1" x14ac:dyDescent="0.2">
      <c r="A2579">
        <v>2025</v>
      </c>
      <c r="B2579" t="s">
        <v>629</v>
      </c>
      <c r="C2579" t="s">
        <v>609</v>
      </c>
      <c r="D2579" s="19" t="s">
        <v>175</v>
      </c>
      <c r="E2579" s="18" t="s">
        <v>164</v>
      </c>
      <c r="F2579" s="18">
        <v>1</v>
      </c>
      <c r="G2579" s="20">
        <v>109900</v>
      </c>
      <c r="H2579" s="18">
        <v>0</v>
      </c>
      <c r="I2579" s="20">
        <v>50240</v>
      </c>
      <c r="J2579" s="8">
        <f t="shared" si="120"/>
        <v>59660</v>
      </c>
      <c r="K2579" s="10">
        <f t="shared" si="121"/>
        <v>0.54285714285714282</v>
      </c>
      <c r="L2579" s="17">
        <f t="shared" si="122"/>
        <v>0</v>
      </c>
      <c r="M2579" t="str">
        <f>VLOOKUP(D2579,'Jer-Tip-Emp'!B:E,4,0)</f>
        <v>Combos para compartir</v>
      </c>
      <c r="N2579" t="str">
        <f>VLOOKUP(D2579,'Jer-Tip-Emp'!B:F,5,0)</f>
        <v>No Personal</v>
      </c>
      <c r="O2579" t="str">
        <f>VLOOKUP(D2579,'Jer-Tip-Emp'!B:G,6,0)</f>
        <v>Combo</v>
      </c>
    </row>
    <row r="2580" spans="1:15" ht="27.5" hidden="1" customHeight="1" x14ac:dyDescent="0.2">
      <c r="A2580">
        <v>2025</v>
      </c>
      <c r="B2580" t="s">
        <v>629</v>
      </c>
      <c r="C2580" t="s">
        <v>609</v>
      </c>
      <c r="D2580" s="19" t="s">
        <v>445</v>
      </c>
      <c r="E2580" s="18" t="s">
        <v>570</v>
      </c>
      <c r="F2580" s="18">
        <v>1</v>
      </c>
      <c r="G2580" s="20">
        <v>1400</v>
      </c>
      <c r="H2580" s="18">
        <v>0</v>
      </c>
      <c r="I2580" s="20">
        <v>1711</v>
      </c>
      <c r="J2580" s="8">
        <f t="shared" si="120"/>
        <v>-311</v>
      </c>
      <c r="K2580" s="10">
        <f t="shared" si="121"/>
        <v>-0.22214285714285714</v>
      </c>
      <c r="L2580" s="17">
        <f t="shared" si="122"/>
        <v>0</v>
      </c>
      <c r="M2580" t="str">
        <f>VLOOKUP(D2580,'Jer-Tip-Emp'!B:E,4,0)</f>
        <v>Bebidas</v>
      </c>
      <c r="N2580" t="str">
        <f>VLOOKUP(D2580,'Jer-Tip-Emp'!B:F,5,0)</f>
        <v>Bebidas Cambio de bebida</v>
      </c>
      <c r="O2580" t="str">
        <f>VLOOKUP(D2580,'Jer-Tip-Emp'!B:G,6,0)</f>
        <v>Bebidas</v>
      </c>
    </row>
    <row r="2581" spans="1:15" ht="27.5" customHeight="1" x14ac:dyDescent="0.2">
      <c r="A2581">
        <v>2025</v>
      </c>
      <c r="B2581" t="s">
        <v>629</v>
      </c>
      <c r="C2581" t="s">
        <v>609</v>
      </c>
      <c r="D2581" s="19" t="s">
        <v>293</v>
      </c>
      <c r="E2581" s="18" t="s">
        <v>127</v>
      </c>
      <c r="F2581" s="18">
        <v>1</v>
      </c>
      <c r="G2581" s="20">
        <v>62900</v>
      </c>
      <c r="H2581" s="18">
        <v>0</v>
      </c>
      <c r="I2581" s="20">
        <v>28057</v>
      </c>
      <c r="J2581" s="8">
        <f t="shared" si="120"/>
        <v>34843</v>
      </c>
      <c r="K2581" s="10">
        <f t="shared" si="121"/>
        <v>0.55394276629570749</v>
      </c>
      <c r="L2581" s="17">
        <f t="shared" si="122"/>
        <v>0</v>
      </c>
      <c r="M2581" t="str">
        <f>VLOOKUP(D2581,'Jer-Tip-Emp'!B:E,4,0)</f>
        <v>Platos mong</v>
      </c>
      <c r="N2581" t="str">
        <f>VLOOKUP(D2581,'Jer-Tip-Emp'!B:F,5,0)</f>
        <v>No Personal</v>
      </c>
      <c r="O2581" t="str">
        <f>VLOOKUP(D2581,'Jer-Tip-Emp'!B:G,6,0)</f>
        <v>Caja</v>
      </c>
    </row>
    <row r="2582" spans="1:15" ht="27.5" hidden="1" customHeight="1" x14ac:dyDescent="0.2">
      <c r="A2582">
        <v>2025</v>
      </c>
      <c r="B2582" t="s">
        <v>629</v>
      </c>
      <c r="C2582" t="s">
        <v>594</v>
      </c>
      <c r="D2582" s="19" t="s">
        <v>346</v>
      </c>
      <c r="E2582" s="18" t="s">
        <v>551</v>
      </c>
      <c r="F2582" s="18">
        <v>157</v>
      </c>
      <c r="G2582" s="18">
        <v>0</v>
      </c>
      <c r="H2582" s="18">
        <v>0</v>
      </c>
      <c r="I2582" s="18">
        <v>0</v>
      </c>
      <c r="J2582" s="8">
        <f t="shared" si="120"/>
        <v>0</v>
      </c>
      <c r="K2582" s="10">
        <f t="shared" si="121"/>
        <v>0</v>
      </c>
      <c r="L2582" s="17">
        <f t="shared" si="122"/>
        <v>0</v>
      </c>
      <c r="M2582" t="str">
        <f>VLOOKUP(D2582,'Jer-Tip-Emp'!B:E,4,0)</f>
        <v>Adición</v>
      </c>
      <c r="N2582" t="str">
        <f>VLOOKUP(D2582,'Jer-Tip-Emp'!B:F,5,0)</f>
        <v>Adición</v>
      </c>
      <c r="O2582" t="str">
        <f>VLOOKUP(D2582,'Jer-Tip-Emp'!B:G,6,0)</f>
        <v>Adición</v>
      </c>
    </row>
    <row r="2583" spans="1:15" ht="27.5" hidden="1" customHeight="1" x14ac:dyDescent="0.2">
      <c r="A2583">
        <v>2025</v>
      </c>
      <c r="B2583" t="s">
        <v>629</v>
      </c>
      <c r="C2583" t="s">
        <v>594</v>
      </c>
      <c r="D2583" s="19" t="s">
        <v>173</v>
      </c>
      <c r="E2583" s="18" t="s">
        <v>542</v>
      </c>
      <c r="F2583" s="18">
        <v>84</v>
      </c>
      <c r="G2583" s="18">
        <v>0</v>
      </c>
      <c r="H2583" s="18">
        <v>0</v>
      </c>
      <c r="I2583" s="18">
        <v>0</v>
      </c>
      <c r="J2583" s="8">
        <f t="shared" si="120"/>
        <v>0</v>
      </c>
      <c r="K2583" s="10">
        <f t="shared" si="121"/>
        <v>0</v>
      </c>
      <c r="L2583" s="17">
        <f t="shared" si="122"/>
        <v>0</v>
      </c>
      <c r="M2583" t="str">
        <f>VLOOKUP(D2583,'Jer-Tip-Emp'!B:E,4,0)</f>
        <v>Bebidas</v>
      </c>
      <c r="N2583" t="str">
        <f>VLOOKUP(D2583,'Jer-Tip-Emp'!B:F,5,0)</f>
        <v>Bebidas Cambio de bebida</v>
      </c>
      <c r="O2583" t="str">
        <f>VLOOKUP(D2583,'Jer-Tip-Emp'!B:G,6,0)</f>
        <v>Bebidas</v>
      </c>
    </row>
    <row r="2584" spans="1:15" ht="27.5" customHeight="1" x14ac:dyDescent="0.2">
      <c r="A2584">
        <v>2025</v>
      </c>
      <c r="B2584" t="s">
        <v>629</v>
      </c>
      <c r="C2584" t="s">
        <v>594</v>
      </c>
      <c r="D2584" s="19" t="s">
        <v>207</v>
      </c>
      <c r="E2584" s="18" t="s">
        <v>92</v>
      </c>
      <c r="F2584" s="18">
        <v>59</v>
      </c>
      <c r="G2584" s="20">
        <v>1229700</v>
      </c>
      <c r="H2584" s="20">
        <v>-357400</v>
      </c>
      <c r="I2584" s="20">
        <v>567993</v>
      </c>
      <c r="J2584" s="8">
        <f t="shared" si="120"/>
        <v>661707</v>
      </c>
      <c r="K2584" s="10">
        <f t="shared" si="121"/>
        <v>0.53810441571114909</v>
      </c>
      <c r="L2584" s="17">
        <f t="shared" si="122"/>
        <v>0.29063999349434821</v>
      </c>
      <c r="M2584" t="str">
        <f>VLOOKUP(D2584,'Jer-Tip-Emp'!B:E,4,0)</f>
        <v>Combos personales</v>
      </c>
      <c r="N2584" t="str">
        <f>VLOOKUP(D2584,'Jer-Tip-Emp'!B:F,5,0)</f>
        <v>Personal</v>
      </c>
      <c r="O2584" t="str">
        <f>VLOOKUP(D2584,'Jer-Tip-Emp'!B:G,6,0)</f>
        <v>Combo</v>
      </c>
    </row>
    <row r="2585" spans="1:15" ht="27.5" customHeight="1" x14ac:dyDescent="0.2">
      <c r="A2585">
        <v>2025</v>
      </c>
      <c r="B2585" t="s">
        <v>629</v>
      </c>
      <c r="C2585" t="s">
        <v>594</v>
      </c>
      <c r="D2585" s="19" t="s">
        <v>184</v>
      </c>
      <c r="E2585" s="18" t="s">
        <v>162</v>
      </c>
      <c r="F2585" s="18">
        <v>37</v>
      </c>
      <c r="G2585" s="20">
        <v>664500</v>
      </c>
      <c r="H2585" s="20">
        <v>-182800</v>
      </c>
      <c r="I2585" s="18">
        <v>0</v>
      </c>
      <c r="J2585" s="8">
        <f t="shared" si="120"/>
        <v>664500</v>
      </c>
      <c r="K2585" s="10">
        <f t="shared" si="121"/>
        <v>1</v>
      </c>
      <c r="L2585" s="17">
        <f t="shared" si="122"/>
        <v>0.27509405568096312</v>
      </c>
      <c r="M2585" t="str">
        <f>VLOOKUP(D2585,'Jer-Tip-Emp'!B:E,4,0)</f>
        <v>Combos personales</v>
      </c>
      <c r="N2585" t="str">
        <f>VLOOKUP(D2585,'Jer-Tip-Emp'!B:F,5,0)</f>
        <v>Personal</v>
      </c>
      <c r="O2585" t="str">
        <f>VLOOKUP(D2585,'Jer-Tip-Emp'!B:G,6,0)</f>
        <v>Caja</v>
      </c>
    </row>
    <row r="2586" spans="1:15" ht="27.5" hidden="1" customHeight="1" x14ac:dyDescent="0.2">
      <c r="A2586">
        <v>2025</v>
      </c>
      <c r="B2586" t="s">
        <v>629</v>
      </c>
      <c r="C2586" t="s">
        <v>594</v>
      </c>
      <c r="D2586" s="19" t="s">
        <v>338</v>
      </c>
      <c r="E2586" s="18" t="s">
        <v>579</v>
      </c>
      <c r="F2586" s="18">
        <v>24</v>
      </c>
      <c r="G2586" s="20">
        <v>9600</v>
      </c>
      <c r="H2586" s="18">
        <v>0</v>
      </c>
      <c r="I2586" s="20">
        <v>7704</v>
      </c>
      <c r="J2586" s="8">
        <f t="shared" si="120"/>
        <v>1896</v>
      </c>
      <c r="K2586" s="10">
        <f t="shared" si="121"/>
        <v>0.19750000000000001</v>
      </c>
      <c r="L2586" s="17">
        <f t="shared" si="122"/>
        <v>0</v>
      </c>
      <c r="M2586" t="str">
        <f>VLOOKUP(D2586,'Jer-Tip-Emp'!B:E,4,0)</f>
        <v>Adición</v>
      </c>
      <c r="N2586" t="str">
        <f>VLOOKUP(D2586,'Jer-Tip-Emp'!B:F,5,0)</f>
        <v>Adición</v>
      </c>
      <c r="O2586" t="str">
        <f>VLOOKUP(D2586,'Jer-Tip-Emp'!B:G,6,0)</f>
        <v>Adición</v>
      </c>
    </row>
    <row r="2587" spans="1:15" ht="27.5" customHeight="1" x14ac:dyDescent="0.2">
      <c r="A2587">
        <v>2025</v>
      </c>
      <c r="B2587" t="s">
        <v>629</v>
      </c>
      <c r="C2587" t="s">
        <v>594</v>
      </c>
      <c r="D2587" s="19" t="s">
        <v>196</v>
      </c>
      <c r="E2587" s="18" t="s">
        <v>159</v>
      </c>
      <c r="F2587" s="18">
        <v>24</v>
      </c>
      <c r="G2587" s="20">
        <v>519850</v>
      </c>
      <c r="H2587" s="20">
        <v>-149750</v>
      </c>
      <c r="I2587" s="20">
        <v>228024</v>
      </c>
      <c r="J2587" s="8">
        <f t="shared" si="120"/>
        <v>291826</v>
      </c>
      <c r="K2587" s="10">
        <f t="shared" si="121"/>
        <v>0.56136577858997783</v>
      </c>
      <c r="L2587" s="17">
        <f t="shared" si="122"/>
        <v>0.28806386457632011</v>
      </c>
      <c r="M2587" t="str">
        <f>VLOOKUP(D2587,'Jer-Tip-Emp'!B:E,4,0)</f>
        <v>Combos personales</v>
      </c>
      <c r="N2587" t="str">
        <f>VLOOKUP(D2587,'Jer-Tip-Emp'!B:F,5,0)</f>
        <v>Personal</v>
      </c>
      <c r="O2587" t="str">
        <f>VLOOKUP(D2587,'Jer-Tip-Emp'!B:G,6,0)</f>
        <v>Combo</v>
      </c>
    </row>
    <row r="2588" spans="1:15" ht="27.5" customHeight="1" x14ac:dyDescent="0.2">
      <c r="A2588">
        <v>2025</v>
      </c>
      <c r="B2588" t="s">
        <v>629</v>
      </c>
      <c r="C2588" t="s">
        <v>594</v>
      </c>
      <c r="D2588" s="19" t="s">
        <v>177</v>
      </c>
      <c r="E2588" s="18" t="s">
        <v>99</v>
      </c>
      <c r="F2588" s="18">
        <v>20</v>
      </c>
      <c r="G2588" s="20">
        <v>481300</v>
      </c>
      <c r="H2588" s="20">
        <v>-156700</v>
      </c>
      <c r="I2588" s="18">
        <v>0</v>
      </c>
      <c r="J2588" s="8">
        <f t="shared" si="120"/>
        <v>481300</v>
      </c>
      <c r="K2588" s="10">
        <f t="shared" si="121"/>
        <v>1</v>
      </c>
      <c r="L2588" s="17">
        <f t="shared" si="122"/>
        <v>0.32557656347392477</v>
      </c>
      <c r="M2588" t="str">
        <f>VLOOKUP(D2588,'Jer-Tip-Emp'!B:E,4,0)</f>
        <v>Combos personales</v>
      </c>
      <c r="N2588" t="str">
        <f>VLOOKUP(D2588,'Jer-Tip-Emp'!B:F,5,0)</f>
        <v>Personal</v>
      </c>
      <c r="O2588" t="str">
        <f>VLOOKUP(D2588,'Jer-Tip-Emp'!B:G,6,0)</f>
        <v>Combo</v>
      </c>
    </row>
    <row r="2589" spans="1:15" ht="27.5" hidden="1" customHeight="1" x14ac:dyDescent="0.2">
      <c r="A2589">
        <v>2025</v>
      </c>
      <c r="B2589" t="s">
        <v>629</v>
      </c>
      <c r="C2589" t="s">
        <v>594</v>
      </c>
      <c r="D2589" s="19" t="s">
        <v>490</v>
      </c>
      <c r="E2589" s="18" t="s">
        <v>554</v>
      </c>
      <c r="F2589" s="18">
        <v>17</v>
      </c>
      <c r="G2589" s="18">
        <v>0</v>
      </c>
      <c r="H2589" s="18">
        <v>0</v>
      </c>
      <c r="I2589" s="20">
        <v>34833</v>
      </c>
      <c r="J2589" s="8">
        <f t="shared" si="120"/>
        <v>-34833</v>
      </c>
      <c r="K2589" s="10">
        <f t="shared" si="121"/>
        <v>0</v>
      </c>
      <c r="L2589" s="17">
        <f t="shared" si="122"/>
        <v>0</v>
      </c>
      <c r="M2589" t="str">
        <f>VLOOKUP(D2589,'Jer-Tip-Emp'!B:E,4,0)</f>
        <v>Adición</v>
      </c>
      <c r="N2589" t="str">
        <f>VLOOKUP(D2589,'Jer-Tip-Emp'!B:F,5,0)</f>
        <v>Otro</v>
      </c>
      <c r="O2589" t="str">
        <f>VLOOKUP(D2589,'Jer-Tip-Emp'!B:G,6,0)</f>
        <v>Otro</v>
      </c>
    </row>
    <row r="2590" spans="1:15" ht="27.5" customHeight="1" x14ac:dyDescent="0.2">
      <c r="A2590">
        <v>2025</v>
      </c>
      <c r="B2590" t="s">
        <v>629</v>
      </c>
      <c r="C2590" t="s">
        <v>594</v>
      </c>
      <c r="D2590" s="19" t="s">
        <v>313</v>
      </c>
      <c r="E2590" s="18" t="s">
        <v>540</v>
      </c>
      <c r="F2590" s="18">
        <v>16</v>
      </c>
      <c r="G2590" s="18">
        <v>0</v>
      </c>
      <c r="H2590" s="18">
        <v>0</v>
      </c>
      <c r="I2590" s="20">
        <v>87856</v>
      </c>
      <c r="J2590" s="8">
        <f t="shared" si="120"/>
        <v>-87856</v>
      </c>
      <c r="K2590" s="10">
        <f t="shared" si="121"/>
        <v>0</v>
      </c>
      <c r="L2590" s="17">
        <f t="shared" si="122"/>
        <v>0</v>
      </c>
      <c r="M2590" t="str">
        <f>VLOOKUP(D2590,'Jer-Tip-Emp'!B:E,4,0)</f>
        <v>Arma tu plato</v>
      </c>
      <c r="N2590" t="str">
        <f>VLOOKUP(D2590,'Jer-Tip-Emp'!B:F,5,0)</f>
        <v>Personal</v>
      </c>
      <c r="O2590" t="str">
        <f>VLOOKUP(D2590,'Jer-Tip-Emp'!B:G,6,0)</f>
        <v>Caja</v>
      </c>
    </row>
    <row r="2591" spans="1:15" ht="27.5" hidden="1" customHeight="1" x14ac:dyDescent="0.2">
      <c r="A2591">
        <v>2025</v>
      </c>
      <c r="B2591" t="s">
        <v>629</v>
      </c>
      <c r="C2591" t="s">
        <v>594</v>
      </c>
      <c r="D2591" s="19" t="s">
        <v>236</v>
      </c>
      <c r="E2591" s="18" t="s">
        <v>621</v>
      </c>
      <c r="F2591" s="18">
        <v>14</v>
      </c>
      <c r="G2591" s="18">
        <v>0</v>
      </c>
      <c r="H2591" s="18">
        <v>0</v>
      </c>
      <c r="I2591" s="18">
        <v>0</v>
      </c>
      <c r="J2591" s="8">
        <f t="shared" si="120"/>
        <v>0</v>
      </c>
      <c r="K2591" s="10">
        <f t="shared" si="121"/>
        <v>0</v>
      </c>
      <c r="L2591" s="17">
        <f t="shared" si="122"/>
        <v>0</v>
      </c>
      <c r="M2591" t="str">
        <f>VLOOKUP(D2591,'Jer-Tip-Emp'!B:E,4,0)</f>
        <v>Otro</v>
      </c>
      <c r="N2591" t="str">
        <f>VLOOKUP(D2591,'Jer-Tip-Emp'!B:F,5,0)</f>
        <v>Otro</v>
      </c>
      <c r="O2591" t="str">
        <f>VLOOKUP(D2591,'Jer-Tip-Emp'!B:G,6,0)</f>
        <v>Otro</v>
      </c>
    </row>
    <row r="2592" spans="1:15" ht="27.5" customHeight="1" x14ac:dyDescent="0.2">
      <c r="A2592">
        <v>2025</v>
      </c>
      <c r="B2592" t="s">
        <v>629</v>
      </c>
      <c r="C2592" t="s">
        <v>594</v>
      </c>
      <c r="D2592" s="19" t="s">
        <v>186</v>
      </c>
      <c r="E2592" s="18" t="s">
        <v>95</v>
      </c>
      <c r="F2592" s="18">
        <v>12</v>
      </c>
      <c r="G2592" s="20">
        <v>307400</v>
      </c>
      <c r="H2592" s="20">
        <v>-87400</v>
      </c>
      <c r="I2592" s="20">
        <v>114840</v>
      </c>
      <c r="J2592" s="8">
        <f t="shared" si="120"/>
        <v>192560</v>
      </c>
      <c r="K2592" s="10">
        <f t="shared" si="121"/>
        <v>0.62641509433962261</v>
      </c>
      <c r="L2592" s="17">
        <f t="shared" si="122"/>
        <v>0.28432010409889397</v>
      </c>
      <c r="M2592" t="str">
        <f>VLOOKUP(D2592,'Jer-Tip-Emp'!B:E,4,0)</f>
        <v>Combos personales</v>
      </c>
      <c r="N2592" t="str">
        <f>VLOOKUP(D2592,'Jer-Tip-Emp'!B:F,5,0)</f>
        <v>Personal</v>
      </c>
      <c r="O2592" t="str">
        <f>VLOOKUP(D2592,'Jer-Tip-Emp'!B:G,6,0)</f>
        <v>Combo</v>
      </c>
    </row>
    <row r="2593" spans="1:15" ht="27.5" customHeight="1" x14ac:dyDescent="0.2">
      <c r="A2593">
        <v>2025</v>
      </c>
      <c r="B2593" t="s">
        <v>629</v>
      </c>
      <c r="C2593" t="s">
        <v>594</v>
      </c>
      <c r="D2593" s="19" t="s">
        <v>376</v>
      </c>
      <c r="E2593" s="18" t="s">
        <v>543</v>
      </c>
      <c r="F2593" s="18">
        <v>9</v>
      </c>
      <c r="G2593" s="18">
        <v>0</v>
      </c>
      <c r="H2593" s="18">
        <v>0</v>
      </c>
      <c r="I2593" s="20">
        <v>11538</v>
      </c>
      <c r="J2593" s="8">
        <f t="shared" si="120"/>
        <v>-11538</v>
      </c>
      <c r="K2593" s="10">
        <f t="shared" si="121"/>
        <v>0</v>
      </c>
      <c r="L2593" s="17">
        <f t="shared" si="122"/>
        <v>0</v>
      </c>
      <c r="M2593" t="str">
        <f>VLOOKUP(D2593,'Jer-Tip-Emp'!B:E,4,0)</f>
        <v>Arma tu plato</v>
      </c>
      <c r="N2593" t="str">
        <f>VLOOKUP(D2593,'Jer-Tip-Emp'!B:F,5,0)</f>
        <v>Personal</v>
      </c>
      <c r="O2593" t="str">
        <f>VLOOKUP(D2593,'Jer-Tip-Emp'!B:G,6,0)</f>
        <v>Caja</v>
      </c>
    </row>
    <row r="2594" spans="1:15" ht="27.5" hidden="1" customHeight="1" x14ac:dyDescent="0.2">
      <c r="A2594">
        <v>2025</v>
      </c>
      <c r="B2594" t="s">
        <v>629</v>
      </c>
      <c r="C2594" t="s">
        <v>594</v>
      </c>
      <c r="D2594" s="19" t="s">
        <v>365</v>
      </c>
      <c r="E2594" s="18" t="s">
        <v>558</v>
      </c>
      <c r="F2594" s="18">
        <v>9</v>
      </c>
      <c r="G2594" s="20">
        <v>4500</v>
      </c>
      <c r="H2594" s="18">
        <v>0</v>
      </c>
      <c r="I2594" s="20">
        <v>14121</v>
      </c>
      <c r="J2594" s="8">
        <f t="shared" si="120"/>
        <v>-9621</v>
      </c>
      <c r="K2594" s="10">
        <f t="shared" si="121"/>
        <v>-2.1379999999999999</v>
      </c>
      <c r="L2594" s="17">
        <f t="shared" si="122"/>
        <v>0</v>
      </c>
      <c r="M2594" t="str">
        <f>VLOOKUP(D2594,'Jer-Tip-Emp'!B:E,4,0)</f>
        <v>Adición</v>
      </c>
      <c r="N2594" t="str">
        <f>VLOOKUP(D2594,'Jer-Tip-Emp'!B:F,5,0)</f>
        <v>Otro</v>
      </c>
      <c r="O2594" t="str">
        <f>VLOOKUP(D2594,'Jer-Tip-Emp'!B:G,6,0)</f>
        <v>Otro</v>
      </c>
    </row>
    <row r="2595" spans="1:15" ht="27.5" customHeight="1" x14ac:dyDescent="0.2">
      <c r="A2595">
        <v>2025</v>
      </c>
      <c r="B2595" t="s">
        <v>629</v>
      </c>
      <c r="C2595" t="s">
        <v>594</v>
      </c>
      <c r="D2595" s="19" t="s">
        <v>212</v>
      </c>
      <c r="E2595" s="18" t="s">
        <v>160</v>
      </c>
      <c r="F2595" s="18">
        <v>9</v>
      </c>
      <c r="G2595" s="20">
        <v>228450</v>
      </c>
      <c r="H2595" s="20">
        <v>-67650</v>
      </c>
      <c r="I2595" s="20">
        <v>101277</v>
      </c>
      <c r="J2595" s="8">
        <f t="shared" si="120"/>
        <v>127173</v>
      </c>
      <c r="K2595" s="10">
        <f t="shared" si="121"/>
        <v>0.55667760998030202</v>
      </c>
      <c r="L2595" s="17">
        <f t="shared" si="122"/>
        <v>0.29612606697307947</v>
      </c>
      <c r="M2595" t="str">
        <f>VLOOKUP(D2595,'Jer-Tip-Emp'!B:E,4,0)</f>
        <v>Combos personales</v>
      </c>
      <c r="N2595" t="str">
        <f>VLOOKUP(D2595,'Jer-Tip-Emp'!B:F,5,0)</f>
        <v>Personal</v>
      </c>
      <c r="O2595" t="str">
        <f>VLOOKUP(D2595,'Jer-Tip-Emp'!B:G,6,0)</f>
        <v>Combo</v>
      </c>
    </row>
    <row r="2596" spans="1:15" ht="27.5" hidden="1" customHeight="1" x14ac:dyDescent="0.2">
      <c r="A2596">
        <v>2025</v>
      </c>
      <c r="B2596" t="s">
        <v>629</v>
      </c>
      <c r="C2596" t="s">
        <v>594</v>
      </c>
      <c r="D2596" s="19" t="s">
        <v>328</v>
      </c>
      <c r="E2596" s="18" t="s">
        <v>555</v>
      </c>
      <c r="F2596" s="18">
        <v>8</v>
      </c>
      <c r="G2596" s="20">
        <v>8000</v>
      </c>
      <c r="H2596" s="18">
        <v>0</v>
      </c>
      <c r="I2596" s="18">
        <v>472</v>
      </c>
      <c r="J2596" s="8">
        <f t="shared" si="120"/>
        <v>7528</v>
      </c>
      <c r="K2596" s="10">
        <f t="shared" si="121"/>
        <v>0.94099999999999995</v>
      </c>
      <c r="L2596" s="17">
        <f t="shared" si="122"/>
        <v>0</v>
      </c>
      <c r="M2596" t="str">
        <f>VLOOKUP(D2596,'Jer-Tip-Emp'!B:E,4,0)</f>
        <v>Adición</v>
      </c>
      <c r="N2596" t="str">
        <f>VLOOKUP(D2596,'Jer-Tip-Emp'!B:F,5,0)</f>
        <v>Adición</v>
      </c>
      <c r="O2596" t="str">
        <f>VLOOKUP(D2596,'Jer-Tip-Emp'!B:G,6,0)</f>
        <v>Adición</v>
      </c>
    </row>
    <row r="2597" spans="1:15" ht="27.5" hidden="1" customHeight="1" x14ac:dyDescent="0.2">
      <c r="A2597">
        <v>2025</v>
      </c>
      <c r="B2597" t="s">
        <v>629</v>
      </c>
      <c r="C2597" t="s">
        <v>594</v>
      </c>
      <c r="D2597" s="19" t="s">
        <v>236</v>
      </c>
      <c r="E2597" s="18" t="s">
        <v>622</v>
      </c>
      <c r="F2597" s="18">
        <v>7</v>
      </c>
      <c r="G2597" s="20">
        <v>14000</v>
      </c>
      <c r="H2597" s="18">
        <v>0</v>
      </c>
      <c r="I2597" s="18">
        <v>0</v>
      </c>
      <c r="J2597" s="8">
        <f t="shared" si="120"/>
        <v>14000</v>
      </c>
      <c r="K2597" s="10">
        <f t="shared" si="121"/>
        <v>1</v>
      </c>
      <c r="L2597" s="17">
        <f t="shared" si="122"/>
        <v>0</v>
      </c>
      <c r="M2597" t="str">
        <f>VLOOKUP(D2597,'Jer-Tip-Emp'!B:E,4,0)</f>
        <v>Otro</v>
      </c>
      <c r="N2597" t="str">
        <f>VLOOKUP(D2597,'Jer-Tip-Emp'!B:F,5,0)</f>
        <v>Otro</v>
      </c>
      <c r="O2597" t="str">
        <f>VLOOKUP(D2597,'Jer-Tip-Emp'!B:G,6,0)</f>
        <v>Otro</v>
      </c>
    </row>
    <row r="2598" spans="1:15" ht="27.5" customHeight="1" x14ac:dyDescent="0.2">
      <c r="A2598">
        <v>2025</v>
      </c>
      <c r="B2598" t="s">
        <v>629</v>
      </c>
      <c r="C2598" t="s">
        <v>594</v>
      </c>
      <c r="D2598" s="19" t="s">
        <v>389</v>
      </c>
      <c r="E2598" s="18" t="s">
        <v>541</v>
      </c>
      <c r="F2598" s="18">
        <v>7</v>
      </c>
      <c r="G2598" s="18">
        <v>0</v>
      </c>
      <c r="H2598" s="18">
        <v>0</v>
      </c>
      <c r="I2598" s="20">
        <v>38269</v>
      </c>
      <c r="J2598" s="8">
        <f t="shared" si="120"/>
        <v>-38269</v>
      </c>
      <c r="K2598" s="10">
        <f t="shared" si="121"/>
        <v>0</v>
      </c>
      <c r="L2598" s="17">
        <f t="shared" si="122"/>
        <v>0</v>
      </c>
      <c r="M2598" t="str">
        <f>VLOOKUP(D2598,'Jer-Tip-Emp'!B:E,4,0)</f>
        <v>Arma tu plato</v>
      </c>
      <c r="N2598" t="str">
        <f>VLOOKUP(D2598,'Jer-Tip-Emp'!B:F,5,0)</f>
        <v>Personal</v>
      </c>
      <c r="O2598" t="str">
        <f>VLOOKUP(D2598,'Jer-Tip-Emp'!B:G,6,0)</f>
        <v>Caja</v>
      </c>
    </row>
    <row r="2599" spans="1:15" ht="27.5" customHeight="1" x14ac:dyDescent="0.2">
      <c r="A2599">
        <v>2025</v>
      </c>
      <c r="B2599" t="s">
        <v>629</v>
      </c>
      <c r="C2599" t="s">
        <v>594</v>
      </c>
      <c r="D2599" s="19" t="s">
        <v>333</v>
      </c>
      <c r="E2599" s="18" t="s">
        <v>547</v>
      </c>
      <c r="F2599" s="18">
        <v>6</v>
      </c>
      <c r="G2599" s="18">
        <v>0</v>
      </c>
      <c r="H2599" s="18">
        <v>0</v>
      </c>
      <c r="I2599" s="20">
        <v>19932</v>
      </c>
      <c r="J2599" s="8">
        <f t="shared" si="120"/>
        <v>-19932</v>
      </c>
      <c r="K2599" s="10">
        <f t="shared" si="121"/>
        <v>0</v>
      </c>
      <c r="L2599" s="17">
        <f t="shared" si="122"/>
        <v>0</v>
      </c>
      <c r="M2599" t="str">
        <f>VLOOKUP(D2599,'Jer-Tip-Emp'!B:E,4,0)</f>
        <v>Arma tu plato</v>
      </c>
      <c r="N2599" t="str">
        <f>VLOOKUP(D2599,'Jer-Tip-Emp'!B:F,5,0)</f>
        <v>Personal</v>
      </c>
      <c r="O2599" t="str">
        <f>VLOOKUP(D2599,'Jer-Tip-Emp'!B:G,6,0)</f>
        <v>Caja</v>
      </c>
    </row>
    <row r="2600" spans="1:15" ht="27.5" customHeight="1" x14ac:dyDescent="0.2">
      <c r="A2600">
        <v>2025</v>
      </c>
      <c r="B2600" t="s">
        <v>629</v>
      </c>
      <c r="C2600" t="s">
        <v>594</v>
      </c>
      <c r="D2600" s="19" t="s">
        <v>354</v>
      </c>
      <c r="E2600" s="18" t="s">
        <v>548</v>
      </c>
      <c r="F2600" s="18">
        <v>6</v>
      </c>
      <c r="G2600" s="18">
        <v>0</v>
      </c>
      <c r="H2600" s="18">
        <v>0</v>
      </c>
      <c r="I2600" s="20">
        <v>15804</v>
      </c>
      <c r="J2600" s="8">
        <f t="shared" si="120"/>
        <v>-15804</v>
      </c>
      <c r="K2600" s="10">
        <f t="shared" si="121"/>
        <v>0</v>
      </c>
      <c r="L2600" s="17">
        <f t="shared" si="122"/>
        <v>0</v>
      </c>
      <c r="M2600" t="str">
        <f>VLOOKUP(D2600,'Jer-Tip-Emp'!B:E,4,0)</f>
        <v>Arma tu plato</v>
      </c>
      <c r="N2600" t="str">
        <f>VLOOKUP(D2600,'Jer-Tip-Emp'!B:F,5,0)</f>
        <v>Personal</v>
      </c>
      <c r="O2600" t="str">
        <f>VLOOKUP(D2600,'Jer-Tip-Emp'!B:G,6,0)</f>
        <v>Caja</v>
      </c>
    </row>
    <row r="2601" spans="1:15" ht="27.5" customHeight="1" x14ac:dyDescent="0.2">
      <c r="A2601">
        <v>2025</v>
      </c>
      <c r="B2601" t="s">
        <v>629</v>
      </c>
      <c r="C2601" t="s">
        <v>594</v>
      </c>
      <c r="D2601" s="19" t="s">
        <v>294</v>
      </c>
      <c r="E2601" s="18" t="s">
        <v>108</v>
      </c>
      <c r="F2601" s="18">
        <v>5</v>
      </c>
      <c r="G2601" s="20">
        <v>91900</v>
      </c>
      <c r="H2601" s="20">
        <v>-27600</v>
      </c>
      <c r="I2601" s="20">
        <v>40915</v>
      </c>
      <c r="J2601" s="8">
        <f t="shared" si="120"/>
        <v>50985</v>
      </c>
      <c r="K2601" s="10">
        <f t="shared" si="121"/>
        <v>0.55478781284004353</v>
      </c>
      <c r="L2601" s="17">
        <f t="shared" si="122"/>
        <v>0.30032644178454843</v>
      </c>
      <c r="M2601" t="str">
        <f>VLOOKUP(D2601,'Jer-Tip-Emp'!B:E,4,0)</f>
        <v>Mong Express</v>
      </c>
      <c r="N2601" t="str">
        <f>VLOOKUP(D2601,'Jer-Tip-Emp'!B:F,5,0)</f>
        <v>Personal</v>
      </c>
      <c r="O2601" t="str">
        <f>VLOOKUP(D2601,'Jer-Tip-Emp'!B:G,6,0)</f>
        <v>Caja</v>
      </c>
    </row>
    <row r="2602" spans="1:15" ht="27.5" hidden="1" customHeight="1" x14ac:dyDescent="0.2">
      <c r="A2602">
        <v>2025</v>
      </c>
      <c r="B2602" t="s">
        <v>629</v>
      </c>
      <c r="C2602" t="s">
        <v>594</v>
      </c>
      <c r="D2602" s="19" t="s">
        <v>360</v>
      </c>
      <c r="E2602" s="18" t="s">
        <v>620</v>
      </c>
      <c r="F2602" s="18">
        <v>5</v>
      </c>
      <c r="G2602" s="20">
        <v>22500</v>
      </c>
      <c r="H2602" s="18">
        <v>0</v>
      </c>
      <c r="I2602" s="20">
        <v>7845</v>
      </c>
      <c r="J2602" s="8">
        <f t="shared" si="120"/>
        <v>14655</v>
      </c>
      <c r="K2602" s="10">
        <f t="shared" si="121"/>
        <v>0.65133333333333332</v>
      </c>
      <c r="L2602" s="17">
        <f t="shared" si="122"/>
        <v>0</v>
      </c>
      <c r="M2602" t="str">
        <f>VLOOKUP(D2602,'Jer-Tip-Emp'!B:E,4,0)</f>
        <v>Adición</v>
      </c>
      <c r="N2602" t="str">
        <f>VLOOKUP(D2602,'Jer-Tip-Emp'!B:F,5,0)</f>
        <v>Adición</v>
      </c>
      <c r="O2602" t="str">
        <f>VLOOKUP(D2602,'Jer-Tip-Emp'!B:G,6,0)</f>
        <v>Adición</v>
      </c>
    </row>
    <row r="2603" spans="1:15" ht="27.5" hidden="1" customHeight="1" x14ac:dyDescent="0.2">
      <c r="A2603">
        <v>2025</v>
      </c>
      <c r="B2603" t="s">
        <v>629</v>
      </c>
      <c r="C2603" t="s">
        <v>594</v>
      </c>
      <c r="D2603" s="19" t="s">
        <v>311</v>
      </c>
      <c r="E2603" s="18" t="s">
        <v>625</v>
      </c>
      <c r="F2603" s="18">
        <v>5</v>
      </c>
      <c r="G2603" s="20">
        <v>28000</v>
      </c>
      <c r="H2603" s="18">
        <v>0</v>
      </c>
      <c r="I2603" s="20">
        <v>10245</v>
      </c>
      <c r="J2603" s="8">
        <f t="shared" si="120"/>
        <v>17755</v>
      </c>
      <c r="K2603" s="10">
        <f t="shared" si="121"/>
        <v>0.63410714285714287</v>
      </c>
      <c r="L2603" s="17">
        <f t="shared" si="122"/>
        <v>0</v>
      </c>
      <c r="M2603" t="str">
        <f>VLOOKUP(D2603,'Jer-Tip-Emp'!B:E,4,0)</f>
        <v>Adición</v>
      </c>
      <c r="N2603" t="str">
        <f>VLOOKUP(D2603,'Jer-Tip-Emp'!B:F,5,0)</f>
        <v>Adición</v>
      </c>
      <c r="O2603" t="str">
        <f>VLOOKUP(D2603,'Jer-Tip-Emp'!B:G,6,0)</f>
        <v>Adición</v>
      </c>
    </row>
    <row r="2604" spans="1:15" ht="27.5" customHeight="1" x14ac:dyDescent="0.2">
      <c r="A2604">
        <v>2025</v>
      </c>
      <c r="B2604" t="s">
        <v>629</v>
      </c>
      <c r="C2604" t="s">
        <v>594</v>
      </c>
      <c r="D2604" s="19" t="s">
        <v>322</v>
      </c>
      <c r="E2604" s="18" t="s">
        <v>545</v>
      </c>
      <c r="F2604" s="18">
        <v>5</v>
      </c>
      <c r="G2604" s="20">
        <v>10000</v>
      </c>
      <c r="H2604" s="18">
        <v>0</v>
      </c>
      <c r="I2604" s="20">
        <v>15540</v>
      </c>
      <c r="J2604" s="8">
        <f t="shared" si="120"/>
        <v>-5540</v>
      </c>
      <c r="K2604" s="10">
        <f t="shared" si="121"/>
        <v>-0.55400000000000005</v>
      </c>
      <c r="L2604" s="17">
        <f t="shared" si="122"/>
        <v>0</v>
      </c>
      <c r="M2604" t="str">
        <f>VLOOKUP(D2604,'Jer-Tip-Emp'!B:E,4,0)</f>
        <v>Arma tu plato</v>
      </c>
      <c r="N2604" t="str">
        <f>VLOOKUP(D2604,'Jer-Tip-Emp'!B:F,5,0)</f>
        <v>Personal</v>
      </c>
      <c r="O2604" t="str">
        <f>VLOOKUP(D2604,'Jer-Tip-Emp'!B:G,6,0)</f>
        <v>Caja</v>
      </c>
    </row>
    <row r="2605" spans="1:15" ht="27.5" hidden="1" customHeight="1" x14ac:dyDescent="0.2">
      <c r="A2605">
        <v>2025</v>
      </c>
      <c r="B2605" t="s">
        <v>629</v>
      </c>
      <c r="C2605" t="s">
        <v>594</v>
      </c>
      <c r="D2605" s="19" t="s">
        <v>236</v>
      </c>
      <c r="E2605" s="18" t="s">
        <v>623</v>
      </c>
      <c r="F2605" s="18">
        <v>5</v>
      </c>
      <c r="G2605" s="20">
        <v>10000</v>
      </c>
      <c r="H2605" s="18">
        <v>0</v>
      </c>
      <c r="I2605" s="18">
        <v>0</v>
      </c>
      <c r="J2605" s="8">
        <f t="shared" si="120"/>
        <v>10000</v>
      </c>
      <c r="K2605" s="10">
        <f t="shared" si="121"/>
        <v>1</v>
      </c>
      <c r="L2605" s="17">
        <f t="shared" si="122"/>
        <v>0</v>
      </c>
      <c r="M2605" t="str">
        <f>VLOOKUP(D2605,'Jer-Tip-Emp'!B:E,4,0)</f>
        <v>Otro</v>
      </c>
      <c r="N2605" t="str">
        <f>VLOOKUP(D2605,'Jer-Tip-Emp'!B:F,5,0)</f>
        <v>Otro</v>
      </c>
      <c r="O2605" t="str">
        <f>VLOOKUP(D2605,'Jer-Tip-Emp'!B:G,6,0)</f>
        <v>Otro</v>
      </c>
    </row>
    <row r="2606" spans="1:15" ht="27.5" customHeight="1" x14ac:dyDescent="0.2">
      <c r="A2606">
        <v>2025</v>
      </c>
      <c r="B2606" t="s">
        <v>629</v>
      </c>
      <c r="C2606" t="s">
        <v>594</v>
      </c>
      <c r="D2606" s="19" t="s">
        <v>470</v>
      </c>
      <c r="E2606" s="18" t="s">
        <v>550</v>
      </c>
      <c r="F2606" s="18">
        <v>5</v>
      </c>
      <c r="G2606" s="18">
        <v>0</v>
      </c>
      <c r="H2606" s="18">
        <v>0</v>
      </c>
      <c r="I2606" s="20">
        <v>15485</v>
      </c>
      <c r="J2606" s="8">
        <f t="shared" si="120"/>
        <v>-15485</v>
      </c>
      <c r="K2606" s="10">
        <f t="shared" si="121"/>
        <v>0</v>
      </c>
      <c r="L2606" s="17">
        <f t="shared" si="122"/>
        <v>0</v>
      </c>
      <c r="M2606" t="str">
        <f>VLOOKUP(D2606,'Jer-Tip-Emp'!B:E,4,0)</f>
        <v>Arma tu plato</v>
      </c>
      <c r="N2606" t="str">
        <f>VLOOKUP(D2606,'Jer-Tip-Emp'!B:F,5,0)</f>
        <v>Personal</v>
      </c>
      <c r="O2606" t="str">
        <f>VLOOKUP(D2606,'Jer-Tip-Emp'!B:G,6,0)</f>
        <v>Caja</v>
      </c>
    </row>
    <row r="2607" spans="1:15" ht="27.5" hidden="1" customHeight="1" x14ac:dyDescent="0.2">
      <c r="A2607">
        <v>2025</v>
      </c>
      <c r="B2607" t="s">
        <v>629</v>
      </c>
      <c r="C2607" t="s">
        <v>594</v>
      </c>
      <c r="D2607" s="19" t="s">
        <v>236</v>
      </c>
      <c r="E2607" s="18" t="s">
        <v>624</v>
      </c>
      <c r="F2607" s="18">
        <v>5</v>
      </c>
      <c r="G2607" s="20">
        <v>7000</v>
      </c>
      <c r="H2607" s="18">
        <v>0</v>
      </c>
      <c r="I2607" s="18">
        <v>0</v>
      </c>
      <c r="J2607" s="8">
        <f t="shared" si="120"/>
        <v>7000</v>
      </c>
      <c r="K2607" s="10">
        <f t="shared" si="121"/>
        <v>1</v>
      </c>
      <c r="L2607" s="17">
        <f t="shared" si="122"/>
        <v>0</v>
      </c>
      <c r="M2607" t="str">
        <f>VLOOKUP(D2607,'Jer-Tip-Emp'!B:E,4,0)</f>
        <v>Otro</v>
      </c>
      <c r="N2607" t="str">
        <f>VLOOKUP(D2607,'Jer-Tip-Emp'!B:F,5,0)</f>
        <v>Otro</v>
      </c>
      <c r="O2607" t="str">
        <f>VLOOKUP(D2607,'Jer-Tip-Emp'!B:G,6,0)</f>
        <v>Otro</v>
      </c>
    </row>
    <row r="2608" spans="1:15" ht="27.5" hidden="1" customHeight="1" x14ac:dyDescent="0.2">
      <c r="A2608">
        <v>2025</v>
      </c>
      <c r="B2608" t="s">
        <v>629</v>
      </c>
      <c r="C2608" t="s">
        <v>594</v>
      </c>
      <c r="D2608" s="19" t="s">
        <v>400</v>
      </c>
      <c r="E2608" s="18" t="s">
        <v>564</v>
      </c>
      <c r="F2608" s="18">
        <v>4</v>
      </c>
      <c r="G2608" s="20">
        <v>19200</v>
      </c>
      <c r="H2608" s="18">
        <v>0</v>
      </c>
      <c r="I2608" s="20">
        <v>5128</v>
      </c>
      <c r="J2608" s="8">
        <f t="shared" si="120"/>
        <v>14072</v>
      </c>
      <c r="K2608" s="10">
        <f t="shared" si="121"/>
        <v>0.73291666666666666</v>
      </c>
      <c r="L2608" s="17">
        <f t="shared" si="122"/>
        <v>0</v>
      </c>
      <c r="M2608" t="str">
        <f>VLOOKUP(D2608,'Jer-Tip-Emp'!B:E,4,0)</f>
        <v>Adición</v>
      </c>
      <c r="N2608" t="str">
        <f>VLOOKUP(D2608,'Jer-Tip-Emp'!B:F,5,0)</f>
        <v>Adición</v>
      </c>
      <c r="O2608" t="str">
        <f>VLOOKUP(D2608,'Jer-Tip-Emp'!B:G,6,0)</f>
        <v>Adición</v>
      </c>
    </row>
    <row r="2609" spans="1:15" ht="27.5" hidden="1" customHeight="1" x14ac:dyDescent="0.2">
      <c r="A2609">
        <v>2025</v>
      </c>
      <c r="B2609" t="s">
        <v>629</v>
      </c>
      <c r="C2609" t="s">
        <v>594</v>
      </c>
      <c r="D2609" s="19" t="s">
        <v>438</v>
      </c>
      <c r="E2609" s="18" t="s">
        <v>563</v>
      </c>
      <c r="F2609" s="18">
        <v>4</v>
      </c>
      <c r="G2609" s="20">
        <v>30400</v>
      </c>
      <c r="H2609" s="18">
        <v>0</v>
      </c>
      <c r="I2609" s="20">
        <v>11396</v>
      </c>
      <c r="J2609" s="8">
        <f t="shared" si="120"/>
        <v>19004</v>
      </c>
      <c r="K2609" s="10">
        <f t="shared" si="121"/>
        <v>0.62513157894736837</v>
      </c>
      <c r="L2609" s="17">
        <f t="shared" si="122"/>
        <v>0</v>
      </c>
      <c r="M2609" t="str">
        <f>VLOOKUP(D2609,'Jer-Tip-Emp'!B:E,4,0)</f>
        <v>Adición</v>
      </c>
      <c r="N2609" t="str">
        <f>VLOOKUP(D2609,'Jer-Tip-Emp'!B:F,5,0)</f>
        <v>Adición</v>
      </c>
      <c r="O2609" t="str">
        <f>VLOOKUP(D2609,'Jer-Tip-Emp'!B:G,6,0)</f>
        <v>Adición</v>
      </c>
    </row>
    <row r="2610" spans="1:15" ht="27.5" hidden="1" customHeight="1" x14ac:dyDescent="0.2">
      <c r="A2610">
        <v>2025</v>
      </c>
      <c r="B2610" t="s">
        <v>629</v>
      </c>
      <c r="C2610" t="s">
        <v>594</v>
      </c>
      <c r="D2610" s="19" t="s">
        <v>236</v>
      </c>
      <c r="E2610" s="18" t="s">
        <v>627</v>
      </c>
      <c r="F2610" s="18">
        <v>3</v>
      </c>
      <c r="G2610" s="20">
        <v>4200</v>
      </c>
      <c r="H2610" s="18">
        <v>0</v>
      </c>
      <c r="I2610" s="18">
        <v>0</v>
      </c>
      <c r="J2610" s="8">
        <f t="shared" si="120"/>
        <v>4200</v>
      </c>
      <c r="K2610" s="10">
        <f t="shared" si="121"/>
        <v>1</v>
      </c>
      <c r="L2610" s="17">
        <f t="shared" si="122"/>
        <v>0</v>
      </c>
      <c r="M2610" t="str">
        <f>VLOOKUP(D2610,'Jer-Tip-Emp'!B:E,4,0)</f>
        <v>Otro</v>
      </c>
      <c r="N2610" t="str">
        <f>VLOOKUP(D2610,'Jer-Tip-Emp'!B:F,5,0)</f>
        <v>Otro</v>
      </c>
      <c r="O2610" t="str">
        <f>VLOOKUP(D2610,'Jer-Tip-Emp'!B:G,6,0)</f>
        <v>Otro</v>
      </c>
    </row>
    <row r="2611" spans="1:15" ht="27.5" hidden="1" customHeight="1" x14ac:dyDescent="0.2">
      <c r="A2611">
        <v>2025</v>
      </c>
      <c r="B2611" t="s">
        <v>629</v>
      </c>
      <c r="C2611" t="s">
        <v>594</v>
      </c>
      <c r="D2611" s="19" t="s">
        <v>189</v>
      </c>
      <c r="E2611" s="18" t="s">
        <v>21</v>
      </c>
      <c r="F2611" s="18">
        <v>3</v>
      </c>
      <c r="G2611" s="20">
        <v>23700</v>
      </c>
      <c r="H2611" s="18">
        <v>0</v>
      </c>
      <c r="I2611" s="20">
        <v>7392</v>
      </c>
      <c r="J2611" s="8">
        <f t="shared" si="120"/>
        <v>16308</v>
      </c>
      <c r="K2611" s="10">
        <f t="shared" si="121"/>
        <v>0.68810126582278486</v>
      </c>
      <c r="L2611" s="17">
        <f t="shared" si="122"/>
        <v>0</v>
      </c>
      <c r="M2611" t="str">
        <f>VLOOKUP(D2611,'Jer-Tip-Emp'!B:E,4,0)</f>
        <v>Adición</v>
      </c>
      <c r="N2611" t="str">
        <f>VLOOKUP(D2611,'Jer-Tip-Emp'!B:F,5,0)</f>
        <v>Adición</v>
      </c>
      <c r="O2611" t="str">
        <f>VLOOKUP(D2611,'Jer-Tip-Emp'!B:G,6,0)</f>
        <v>Adición</v>
      </c>
    </row>
    <row r="2612" spans="1:15" ht="27.5" customHeight="1" x14ac:dyDescent="0.2">
      <c r="A2612">
        <v>2025</v>
      </c>
      <c r="B2612" t="s">
        <v>629</v>
      </c>
      <c r="C2612" t="s">
        <v>594</v>
      </c>
      <c r="D2612" s="19" t="s">
        <v>214</v>
      </c>
      <c r="E2612" s="18" t="s">
        <v>81</v>
      </c>
      <c r="F2612" s="18">
        <v>3</v>
      </c>
      <c r="G2612" s="20">
        <v>167600</v>
      </c>
      <c r="H2612" s="20">
        <v>-51100</v>
      </c>
      <c r="I2612" s="20">
        <v>70914</v>
      </c>
      <c r="J2612" s="8">
        <f t="shared" si="120"/>
        <v>96686</v>
      </c>
      <c r="K2612" s="10">
        <f t="shared" si="121"/>
        <v>0.57688544152744625</v>
      </c>
      <c r="L2612" s="17">
        <f t="shared" si="122"/>
        <v>0.30489260143198088</v>
      </c>
      <c r="M2612" t="str">
        <f>VLOOKUP(D2612,'Jer-Tip-Emp'!B:E,4,0)</f>
        <v>Combos para compartir</v>
      </c>
      <c r="N2612" t="str">
        <f>VLOOKUP(D2612,'Jer-Tip-Emp'!B:F,5,0)</f>
        <v>No Personal</v>
      </c>
      <c r="O2612" t="str">
        <f>VLOOKUP(D2612,'Jer-Tip-Emp'!B:G,6,0)</f>
        <v>Combo</v>
      </c>
    </row>
    <row r="2613" spans="1:15" ht="27.5" customHeight="1" x14ac:dyDescent="0.2">
      <c r="A2613">
        <v>2025</v>
      </c>
      <c r="B2613" t="s">
        <v>629</v>
      </c>
      <c r="C2613" t="s">
        <v>594</v>
      </c>
      <c r="D2613" s="19" t="s">
        <v>266</v>
      </c>
      <c r="E2613" s="18" t="s">
        <v>85</v>
      </c>
      <c r="F2613" s="18">
        <v>3</v>
      </c>
      <c r="G2613" s="20">
        <v>237050</v>
      </c>
      <c r="H2613" s="20">
        <v>-65650</v>
      </c>
      <c r="I2613" s="20">
        <v>117663</v>
      </c>
      <c r="J2613" s="8">
        <f t="shared" si="120"/>
        <v>119387</v>
      </c>
      <c r="K2613" s="10">
        <f t="shared" si="121"/>
        <v>0.50363636363636366</v>
      </c>
      <c r="L2613" s="17">
        <f t="shared" si="122"/>
        <v>0.27694579202699854</v>
      </c>
      <c r="M2613" t="str">
        <f>VLOOKUP(D2613,'Jer-Tip-Emp'!B:E,4,0)</f>
        <v>Combos para compartir</v>
      </c>
      <c r="N2613" t="str">
        <f>VLOOKUP(D2613,'Jer-Tip-Emp'!B:F,5,0)</f>
        <v>No Personal</v>
      </c>
      <c r="O2613" t="str">
        <f>VLOOKUP(D2613,'Jer-Tip-Emp'!B:G,6,0)</f>
        <v>Combo</v>
      </c>
    </row>
    <row r="2614" spans="1:15" ht="27.5" hidden="1" customHeight="1" x14ac:dyDescent="0.2">
      <c r="A2614">
        <v>2025</v>
      </c>
      <c r="B2614" t="s">
        <v>629</v>
      </c>
      <c r="C2614" t="s">
        <v>594</v>
      </c>
      <c r="D2614" s="19" t="s">
        <v>367</v>
      </c>
      <c r="E2614" s="18" t="s">
        <v>566</v>
      </c>
      <c r="F2614" s="18">
        <v>3</v>
      </c>
      <c r="G2614" s="20">
        <v>3000</v>
      </c>
      <c r="H2614" s="18">
        <v>0</v>
      </c>
      <c r="I2614" s="18">
        <v>0</v>
      </c>
      <c r="J2614" s="8">
        <f t="shared" si="120"/>
        <v>3000</v>
      </c>
      <c r="K2614" s="10">
        <f t="shared" si="121"/>
        <v>1</v>
      </c>
      <c r="L2614" s="17">
        <f t="shared" si="122"/>
        <v>0</v>
      </c>
      <c r="M2614" t="str">
        <f>VLOOKUP(D2614,'Jer-Tip-Emp'!B:E,4,0)</f>
        <v>Adición</v>
      </c>
      <c r="N2614" t="str">
        <f>VLOOKUP(D2614,'Jer-Tip-Emp'!B:F,5,0)</f>
        <v>Adición</v>
      </c>
      <c r="O2614" t="str">
        <f>VLOOKUP(D2614,'Jer-Tip-Emp'!B:G,6,0)</f>
        <v>Adición</v>
      </c>
    </row>
    <row r="2615" spans="1:15" ht="27.5" hidden="1" customHeight="1" x14ac:dyDescent="0.2">
      <c r="A2615">
        <v>2025</v>
      </c>
      <c r="B2615" t="s">
        <v>629</v>
      </c>
      <c r="C2615" t="s">
        <v>594</v>
      </c>
      <c r="D2615" s="19" t="s">
        <v>348</v>
      </c>
      <c r="E2615" s="18" t="s">
        <v>567</v>
      </c>
      <c r="F2615" s="18">
        <v>2</v>
      </c>
      <c r="G2615" s="20">
        <v>16000</v>
      </c>
      <c r="H2615" s="18">
        <v>0</v>
      </c>
      <c r="I2615" s="20">
        <v>3494</v>
      </c>
      <c r="J2615" s="8">
        <f t="shared" si="120"/>
        <v>12506</v>
      </c>
      <c r="K2615" s="10">
        <f t="shared" si="121"/>
        <v>0.78162500000000001</v>
      </c>
      <c r="L2615" s="17">
        <f t="shared" si="122"/>
        <v>0</v>
      </c>
      <c r="M2615" t="str">
        <f>VLOOKUP(D2615,'Jer-Tip-Emp'!B:E,4,0)</f>
        <v>Adición</v>
      </c>
      <c r="N2615" t="str">
        <f>VLOOKUP(D2615,'Jer-Tip-Emp'!B:F,5,0)</f>
        <v>Adición</v>
      </c>
      <c r="O2615" t="str">
        <f>VLOOKUP(D2615,'Jer-Tip-Emp'!B:G,6,0)</f>
        <v>Adición</v>
      </c>
    </row>
    <row r="2616" spans="1:15" ht="27.5" customHeight="1" x14ac:dyDescent="0.2">
      <c r="A2616">
        <v>2025</v>
      </c>
      <c r="B2616" t="s">
        <v>629</v>
      </c>
      <c r="C2616" t="s">
        <v>594</v>
      </c>
      <c r="D2616" s="19" t="s">
        <v>228</v>
      </c>
      <c r="E2616" s="18" t="s">
        <v>96</v>
      </c>
      <c r="F2616" s="18">
        <v>2</v>
      </c>
      <c r="G2616" s="20">
        <v>65800</v>
      </c>
      <c r="H2616" s="18">
        <v>0</v>
      </c>
      <c r="I2616" s="20">
        <v>20494</v>
      </c>
      <c r="J2616" s="8">
        <f t="shared" si="120"/>
        <v>45306</v>
      </c>
      <c r="K2616" s="10">
        <f t="shared" si="121"/>
        <v>0.68854103343465045</v>
      </c>
      <c r="L2616" s="17">
        <f t="shared" si="122"/>
        <v>0</v>
      </c>
      <c r="M2616" t="str">
        <f>VLOOKUP(D2616,'Jer-Tip-Emp'!B:E,4,0)</f>
        <v>Combos personales</v>
      </c>
      <c r="N2616" t="str">
        <f>VLOOKUP(D2616,'Jer-Tip-Emp'!B:F,5,0)</f>
        <v>Personal</v>
      </c>
      <c r="O2616" t="str">
        <f>VLOOKUP(D2616,'Jer-Tip-Emp'!B:G,6,0)</f>
        <v>Combo</v>
      </c>
    </row>
    <row r="2617" spans="1:15" ht="27.5" hidden="1" customHeight="1" x14ac:dyDescent="0.2">
      <c r="A2617">
        <v>2025</v>
      </c>
      <c r="B2617" t="s">
        <v>629</v>
      </c>
      <c r="C2617" t="s">
        <v>594</v>
      </c>
      <c r="D2617" s="19" t="s">
        <v>284</v>
      </c>
      <c r="E2617" s="18" t="s">
        <v>106</v>
      </c>
      <c r="F2617" s="18">
        <v>2</v>
      </c>
      <c r="G2617" s="20">
        <v>21800</v>
      </c>
      <c r="H2617" s="18">
        <v>0</v>
      </c>
      <c r="I2617" s="20">
        <v>6278</v>
      </c>
      <c r="J2617" s="8">
        <f t="shared" si="120"/>
        <v>15522</v>
      </c>
      <c r="K2617" s="10">
        <f t="shared" si="121"/>
        <v>0.71201834862385316</v>
      </c>
      <c r="L2617" s="17">
        <f t="shared" si="122"/>
        <v>0</v>
      </c>
      <c r="M2617" t="str">
        <f>VLOOKUP(D2617,'Jer-Tip-Emp'!B:E,4,0)</f>
        <v>Entradas</v>
      </c>
      <c r="N2617" t="str">
        <f>VLOOKUP(D2617,'Jer-Tip-Emp'!B:F,5,0)</f>
        <v>Otro</v>
      </c>
      <c r="O2617" t="str">
        <f>VLOOKUP(D2617,'Jer-Tip-Emp'!B:G,6,0)</f>
        <v>Otro</v>
      </c>
    </row>
    <row r="2618" spans="1:15" ht="27.5" hidden="1" customHeight="1" x14ac:dyDescent="0.2">
      <c r="A2618">
        <v>2025</v>
      </c>
      <c r="B2618" t="s">
        <v>629</v>
      </c>
      <c r="C2618" t="s">
        <v>594</v>
      </c>
      <c r="D2618" s="19" t="s">
        <v>262</v>
      </c>
      <c r="E2618" s="18" t="s">
        <v>102</v>
      </c>
      <c r="F2618" s="18">
        <v>2</v>
      </c>
      <c r="G2618" s="20">
        <v>53800</v>
      </c>
      <c r="H2618" s="18">
        <v>0</v>
      </c>
      <c r="I2618" s="20">
        <v>12430</v>
      </c>
      <c r="J2618" s="8">
        <f t="shared" si="120"/>
        <v>41370</v>
      </c>
      <c r="K2618" s="10">
        <f t="shared" si="121"/>
        <v>0.76895910780669141</v>
      </c>
      <c r="L2618" s="17">
        <f t="shared" si="122"/>
        <v>0</v>
      </c>
      <c r="M2618" t="str">
        <f>VLOOKUP(D2618,'Jer-Tip-Emp'!B:E,4,0)</f>
        <v>Entradas</v>
      </c>
      <c r="N2618" t="str">
        <f>VLOOKUP(D2618,'Jer-Tip-Emp'!B:F,5,0)</f>
        <v>Otro</v>
      </c>
      <c r="O2618" t="str">
        <f>VLOOKUP(D2618,'Jer-Tip-Emp'!B:G,6,0)</f>
        <v>Otro</v>
      </c>
    </row>
    <row r="2619" spans="1:15" ht="27.5" customHeight="1" x14ac:dyDescent="0.2">
      <c r="A2619">
        <v>2025</v>
      </c>
      <c r="B2619" t="s">
        <v>629</v>
      </c>
      <c r="C2619" t="s">
        <v>594</v>
      </c>
      <c r="D2619" s="19" t="s">
        <v>290</v>
      </c>
      <c r="E2619" s="18" t="s">
        <v>86</v>
      </c>
      <c r="F2619" s="18">
        <v>2</v>
      </c>
      <c r="G2619" s="20">
        <v>201300</v>
      </c>
      <c r="H2619" s="20">
        <v>-58500</v>
      </c>
      <c r="I2619" s="20">
        <v>93560</v>
      </c>
      <c r="J2619" s="8">
        <f t="shared" si="120"/>
        <v>107740</v>
      </c>
      <c r="K2619" s="10">
        <f t="shared" si="121"/>
        <v>0.53522106308991557</v>
      </c>
      <c r="L2619" s="17">
        <f t="shared" si="122"/>
        <v>0.29061102831594637</v>
      </c>
      <c r="M2619" t="str">
        <f>VLOOKUP(D2619,'Jer-Tip-Emp'!B:E,4,0)</f>
        <v>Combos para compartir</v>
      </c>
      <c r="N2619" t="str">
        <f>VLOOKUP(D2619,'Jer-Tip-Emp'!B:F,5,0)</f>
        <v>No Personal</v>
      </c>
      <c r="O2619" t="str">
        <f>VLOOKUP(D2619,'Jer-Tip-Emp'!B:G,6,0)</f>
        <v>Combo</v>
      </c>
    </row>
    <row r="2620" spans="1:15" ht="27.5" hidden="1" customHeight="1" x14ac:dyDescent="0.2">
      <c r="A2620">
        <v>2025</v>
      </c>
      <c r="B2620" t="s">
        <v>629</v>
      </c>
      <c r="C2620" t="s">
        <v>594</v>
      </c>
      <c r="D2620" s="19" t="s">
        <v>342</v>
      </c>
      <c r="E2620" s="18" t="s">
        <v>556</v>
      </c>
      <c r="F2620" s="18">
        <v>2</v>
      </c>
      <c r="G2620" s="20">
        <v>15200</v>
      </c>
      <c r="H2620" s="18">
        <v>0</v>
      </c>
      <c r="I2620" s="20">
        <v>6216</v>
      </c>
      <c r="J2620" s="8">
        <f t="shared" si="120"/>
        <v>8984</v>
      </c>
      <c r="K2620" s="10">
        <f t="shared" si="121"/>
        <v>0.59105263157894739</v>
      </c>
      <c r="L2620" s="17">
        <f t="shared" si="122"/>
        <v>0</v>
      </c>
      <c r="M2620" t="str">
        <f>VLOOKUP(D2620,'Jer-Tip-Emp'!B:E,4,0)</f>
        <v>Adición</v>
      </c>
      <c r="N2620" t="str">
        <f>VLOOKUP(D2620,'Jer-Tip-Emp'!B:F,5,0)</f>
        <v>Adición</v>
      </c>
      <c r="O2620" t="str">
        <f>VLOOKUP(D2620,'Jer-Tip-Emp'!B:G,6,0)</f>
        <v>Adición</v>
      </c>
    </row>
    <row r="2621" spans="1:15" ht="27.5" customHeight="1" x14ac:dyDescent="0.2">
      <c r="A2621">
        <v>2025</v>
      </c>
      <c r="B2621" t="s">
        <v>629</v>
      </c>
      <c r="C2621" t="s">
        <v>594</v>
      </c>
      <c r="D2621" s="19" t="s">
        <v>448</v>
      </c>
      <c r="E2621" s="18" t="s">
        <v>552</v>
      </c>
      <c r="F2621" s="18">
        <v>1</v>
      </c>
      <c r="G2621" s="18">
        <v>0</v>
      </c>
      <c r="H2621" s="18">
        <v>0</v>
      </c>
      <c r="I2621" s="20">
        <v>5263</v>
      </c>
      <c r="J2621" s="8">
        <f t="shared" si="120"/>
        <v>-5263</v>
      </c>
      <c r="K2621" s="10">
        <f t="shared" si="121"/>
        <v>0</v>
      </c>
      <c r="L2621" s="17">
        <f t="shared" si="122"/>
        <v>0</v>
      </c>
      <c r="M2621" t="str">
        <f>VLOOKUP(D2621,'Jer-Tip-Emp'!B:E,4,0)</f>
        <v>Arma tu plato</v>
      </c>
      <c r="N2621" t="str">
        <f>VLOOKUP(D2621,'Jer-Tip-Emp'!B:F,5,0)</f>
        <v>Personal</v>
      </c>
      <c r="O2621" t="str">
        <f>VLOOKUP(D2621,'Jer-Tip-Emp'!B:G,6,0)</f>
        <v>Caja</v>
      </c>
    </row>
    <row r="2622" spans="1:15" ht="27.5" hidden="1" customHeight="1" x14ac:dyDescent="0.2">
      <c r="A2622">
        <v>2025</v>
      </c>
      <c r="B2622" t="s">
        <v>629</v>
      </c>
      <c r="C2622" t="s">
        <v>594</v>
      </c>
      <c r="D2622" s="19" t="s">
        <v>351</v>
      </c>
      <c r="E2622" s="18" t="s">
        <v>55</v>
      </c>
      <c r="F2622" s="18">
        <v>1</v>
      </c>
      <c r="G2622" s="20">
        <v>5500</v>
      </c>
      <c r="H2622" s="18">
        <v>0</v>
      </c>
      <c r="I2622" s="20">
        <v>1448</v>
      </c>
      <c r="J2622" s="8">
        <f t="shared" si="120"/>
        <v>4052</v>
      </c>
      <c r="K2622" s="10">
        <f t="shared" si="121"/>
        <v>0.73672727272727268</v>
      </c>
      <c r="L2622" s="17">
        <f t="shared" si="122"/>
        <v>0</v>
      </c>
      <c r="M2622" t="str">
        <f>VLOOKUP(D2622,'Jer-Tip-Emp'!B:E,4,0)</f>
        <v>Bebidas</v>
      </c>
      <c r="N2622" t="str">
        <f>VLOOKUP(D2622,'Jer-Tip-Emp'!B:F,5,0)</f>
        <v>Bebidas</v>
      </c>
      <c r="O2622" t="str">
        <f>VLOOKUP(D2622,'Jer-Tip-Emp'!B:G,6,0)</f>
        <v>Bebidas</v>
      </c>
    </row>
    <row r="2623" spans="1:15" ht="27.5" hidden="1" customHeight="1" x14ac:dyDescent="0.2">
      <c r="A2623">
        <v>2025</v>
      </c>
      <c r="B2623" t="s">
        <v>629</v>
      </c>
      <c r="C2623" t="s">
        <v>594</v>
      </c>
      <c r="D2623" s="19" t="s">
        <v>236</v>
      </c>
      <c r="E2623" s="18" t="s">
        <v>630</v>
      </c>
      <c r="F2623" s="18">
        <v>1</v>
      </c>
      <c r="G2623" s="20">
        <v>1400</v>
      </c>
      <c r="H2623" s="18">
        <v>0</v>
      </c>
      <c r="I2623" s="18">
        <v>0</v>
      </c>
      <c r="J2623" s="8">
        <f t="shared" si="120"/>
        <v>1400</v>
      </c>
      <c r="K2623" s="10">
        <f t="shared" si="121"/>
        <v>1</v>
      </c>
      <c r="L2623" s="17">
        <f t="shared" si="122"/>
        <v>0</v>
      </c>
      <c r="M2623" t="str">
        <f>VLOOKUP(D2623,'Jer-Tip-Emp'!B:E,4,0)</f>
        <v>Otro</v>
      </c>
      <c r="N2623" t="str">
        <f>VLOOKUP(D2623,'Jer-Tip-Emp'!B:F,5,0)</f>
        <v>Otro</v>
      </c>
      <c r="O2623" t="str">
        <f>VLOOKUP(D2623,'Jer-Tip-Emp'!B:G,6,0)</f>
        <v>Otro</v>
      </c>
    </row>
    <row r="2624" spans="1:15" ht="27.5" hidden="1" customHeight="1" x14ac:dyDescent="0.2">
      <c r="A2624">
        <v>2025</v>
      </c>
      <c r="B2624" t="s">
        <v>629</v>
      </c>
      <c r="C2624" t="s">
        <v>594</v>
      </c>
      <c r="D2624" s="19" t="s">
        <v>457</v>
      </c>
      <c r="E2624" s="18" t="s">
        <v>602</v>
      </c>
      <c r="F2624" s="18">
        <v>1</v>
      </c>
      <c r="G2624" s="20">
        <v>6700</v>
      </c>
      <c r="H2624" s="18">
        <v>0</v>
      </c>
      <c r="I2624" s="18">
        <v>7</v>
      </c>
      <c r="J2624" s="8">
        <f t="shared" si="120"/>
        <v>6693</v>
      </c>
      <c r="K2624" s="10">
        <f t="shared" si="121"/>
        <v>0.99895522388059699</v>
      </c>
      <c r="L2624" s="17">
        <f t="shared" si="122"/>
        <v>0</v>
      </c>
      <c r="M2624" t="str">
        <f>VLOOKUP(D2624,'Jer-Tip-Emp'!B:E,4,0)</f>
        <v>Adición</v>
      </c>
      <c r="N2624" t="str">
        <f>VLOOKUP(D2624,'Jer-Tip-Emp'!B:F,5,0)</f>
        <v>Adición</v>
      </c>
      <c r="O2624" t="str">
        <f>VLOOKUP(D2624,'Jer-Tip-Emp'!B:G,6,0)</f>
        <v>Adición</v>
      </c>
    </row>
    <row r="2625" spans="1:15" ht="27.5" hidden="1" customHeight="1" x14ac:dyDescent="0.2">
      <c r="A2625">
        <v>2025</v>
      </c>
      <c r="B2625" t="s">
        <v>629</v>
      </c>
      <c r="C2625" t="s">
        <v>594</v>
      </c>
      <c r="D2625" s="19" t="s">
        <v>254</v>
      </c>
      <c r="E2625" s="18" t="s">
        <v>20</v>
      </c>
      <c r="F2625" s="18">
        <v>1</v>
      </c>
      <c r="G2625" s="20">
        <v>5900</v>
      </c>
      <c r="H2625" s="18">
        <v>0</v>
      </c>
      <c r="I2625" s="20">
        <v>3010</v>
      </c>
      <c r="J2625" s="8">
        <f t="shared" ref="J2625:J2688" si="123">G2625-I2625</f>
        <v>2890</v>
      </c>
      <c r="K2625" s="10">
        <f t="shared" ref="K2625:K2688" si="124">IFERROR(J2625/G2625,0)</f>
        <v>0.48983050847457626</v>
      </c>
      <c r="L2625" s="17">
        <f t="shared" ref="L2625:L2688" si="125">IFERROR((H2625/G2625)*-1,0)</f>
        <v>0</v>
      </c>
      <c r="M2625" t="str">
        <f>VLOOKUP(D2625,'Jer-Tip-Emp'!B:E,4,0)</f>
        <v>Adición</v>
      </c>
      <c r="N2625" t="str">
        <f>VLOOKUP(D2625,'Jer-Tip-Emp'!B:F,5,0)</f>
        <v>Adición</v>
      </c>
      <c r="O2625" t="str">
        <f>VLOOKUP(D2625,'Jer-Tip-Emp'!B:G,6,0)</f>
        <v>Adición</v>
      </c>
    </row>
    <row r="2626" spans="1:15" ht="27.5" hidden="1" customHeight="1" x14ac:dyDescent="0.2">
      <c r="A2626">
        <v>2025</v>
      </c>
      <c r="B2626" t="s">
        <v>629</v>
      </c>
      <c r="C2626" t="s">
        <v>594</v>
      </c>
      <c r="D2626" s="19" t="s">
        <v>309</v>
      </c>
      <c r="E2626" s="18" t="s">
        <v>48</v>
      </c>
      <c r="F2626" s="18">
        <v>1</v>
      </c>
      <c r="G2626" s="20">
        <v>3900</v>
      </c>
      <c r="H2626" s="18">
        <v>0</v>
      </c>
      <c r="I2626" s="20">
        <v>1163</v>
      </c>
      <c r="J2626" s="8">
        <f t="shared" si="123"/>
        <v>2737</v>
      </c>
      <c r="K2626" s="10">
        <f t="shared" si="124"/>
        <v>0.70179487179487177</v>
      </c>
      <c r="L2626" s="17">
        <f t="shared" si="125"/>
        <v>0</v>
      </c>
      <c r="M2626" t="str">
        <f>VLOOKUP(D2626,'Jer-Tip-Emp'!B:E,4,0)</f>
        <v>Bebidas</v>
      </c>
      <c r="N2626" t="str">
        <f>VLOOKUP(D2626,'Jer-Tip-Emp'!B:F,5,0)</f>
        <v>Bebidas</v>
      </c>
      <c r="O2626" t="str">
        <f>VLOOKUP(D2626,'Jer-Tip-Emp'!B:G,6,0)</f>
        <v>Bebidas</v>
      </c>
    </row>
    <row r="2627" spans="1:15" ht="27.5" customHeight="1" x14ac:dyDescent="0.2">
      <c r="A2627">
        <v>2025</v>
      </c>
      <c r="B2627" t="s">
        <v>629</v>
      </c>
      <c r="C2627" t="s">
        <v>594</v>
      </c>
      <c r="D2627" s="19" t="s">
        <v>213</v>
      </c>
      <c r="E2627" s="18" t="s">
        <v>101</v>
      </c>
      <c r="F2627" s="18">
        <v>1</v>
      </c>
      <c r="G2627" s="20">
        <v>38900</v>
      </c>
      <c r="H2627" s="18">
        <v>0</v>
      </c>
      <c r="I2627" s="20">
        <v>32801</v>
      </c>
      <c r="J2627" s="8">
        <f t="shared" si="123"/>
        <v>6099</v>
      </c>
      <c r="K2627" s="10">
        <f t="shared" si="124"/>
        <v>0.1567866323907455</v>
      </c>
      <c r="L2627" s="17">
        <f t="shared" si="125"/>
        <v>0</v>
      </c>
      <c r="M2627" t="str">
        <f>VLOOKUP(D2627,'Jer-Tip-Emp'!B:E,4,0)</f>
        <v>Combos personales</v>
      </c>
      <c r="N2627" t="str">
        <f>VLOOKUP(D2627,'Jer-Tip-Emp'!B:F,5,0)</f>
        <v>Personal</v>
      </c>
      <c r="O2627" t="str">
        <f>VLOOKUP(D2627,'Jer-Tip-Emp'!B:G,6,0)</f>
        <v>Combo</v>
      </c>
    </row>
    <row r="2628" spans="1:15" ht="27.5" hidden="1" customHeight="1" x14ac:dyDescent="0.2">
      <c r="A2628">
        <v>2025</v>
      </c>
      <c r="B2628" t="s">
        <v>629</v>
      </c>
      <c r="C2628" t="s">
        <v>594</v>
      </c>
      <c r="D2628" s="19" t="s">
        <v>268</v>
      </c>
      <c r="E2628" s="18" t="s">
        <v>17</v>
      </c>
      <c r="F2628" s="18">
        <v>1</v>
      </c>
      <c r="G2628" s="20">
        <v>6900</v>
      </c>
      <c r="H2628" s="18">
        <v>0</v>
      </c>
      <c r="I2628" s="20">
        <v>1282</v>
      </c>
      <c r="J2628" s="8">
        <f t="shared" si="123"/>
        <v>5618</v>
      </c>
      <c r="K2628" s="10">
        <f t="shared" si="124"/>
        <v>0.81420289855072459</v>
      </c>
      <c r="L2628" s="17">
        <f t="shared" si="125"/>
        <v>0</v>
      </c>
      <c r="M2628" t="str">
        <f>VLOOKUP(D2628,'Jer-Tip-Emp'!B:E,4,0)</f>
        <v>Adición</v>
      </c>
      <c r="N2628" t="str">
        <f>VLOOKUP(D2628,'Jer-Tip-Emp'!B:F,5,0)</f>
        <v>Adición</v>
      </c>
      <c r="O2628" t="str">
        <f>VLOOKUP(D2628,'Jer-Tip-Emp'!B:G,6,0)</f>
        <v>Adición</v>
      </c>
    </row>
    <row r="2629" spans="1:15" ht="27.5" hidden="1" customHeight="1" x14ac:dyDescent="0.2">
      <c r="A2629">
        <v>2025</v>
      </c>
      <c r="B2629" t="s">
        <v>629</v>
      </c>
      <c r="C2629" t="s">
        <v>594</v>
      </c>
      <c r="D2629" s="19" t="s">
        <v>282</v>
      </c>
      <c r="E2629" s="18" t="s">
        <v>19</v>
      </c>
      <c r="F2629" s="18">
        <v>1</v>
      </c>
      <c r="G2629" s="20">
        <v>5900</v>
      </c>
      <c r="H2629" s="18">
        <v>0</v>
      </c>
      <c r="I2629" s="20">
        <v>4098</v>
      </c>
      <c r="J2629" s="8">
        <f t="shared" si="123"/>
        <v>1802</v>
      </c>
      <c r="K2629" s="10">
        <f t="shared" si="124"/>
        <v>0.30542372881355934</v>
      </c>
      <c r="L2629" s="17">
        <f t="shared" si="125"/>
        <v>0</v>
      </c>
      <c r="M2629" t="str">
        <f>VLOOKUP(D2629,'Jer-Tip-Emp'!B:E,4,0)</f>
        <v>Adición</v>
      </c>
      <c r="N2629" t="str">
        <f>VLOOKUP(D2629,'Jer-Tip-Emp'!B:F,5,0)</f>
        <v>Adición</v>
      </c>
      <c r="O2629" t="str">
        <f>VLOOKUP(D2629,'Jer-Tip-Emp'!B:G,6,0)</f>
        <v>Adición</v>
      </c>
    </row>
    <row r="2630" spans="1:15" ht="27.5" customHeight="1" x14ac:dyDescent="0.2">
      <c r="A2630">
        <v>2025</v>
      </c>
      <c r="B2630" t="s">
        <v>599</v>
      </c>
      <c r="C2630" t="s">
        <v>609</v>
      </c>
      <c r="D2630" s="19" t="s">
        <v>207</v>
      </c>
      <c r="E2630" s="18" t="s">
        <v>92</v>
      </c>
      <c r="F2630" s="18">
        <v>192</v>
      </c>
      <c r="G2630" s="20">
        <v>4193229</v>
      </c>
      <c r="H2630" s="20">
        <v>-11571</v>
      </c>
      <c r="I2630" s="20">
        <v>1848384</v>
      </c>
      <c r="J2630" s="8">
        <f t="shared" si="123"/>
        <v>2344845</v>
      </c>
      <c r="K2630" s="10">
        <f t="shared" si="124"/>
        <v>0.5591979355289205</v>
      </c>
      <c r="L2630" s="17">
        <f t="shared" si="125"/>
        <v>2.7594486253910769E-3</v>
      </c>
      <c r="M2630" t="str">
        <f>VLOOKUP(D2630,'Jer-Tip-Emp'!B:E,4,0)</f>
        <v>Combos personales</v>
      </c>
      <c r="N2630" t="str">
        <f>VLOOKUP(D2630,'Jer-Tip-Emp'!B:F,5,0)</f>
        <v>Personal</v>
      </c>
      <c r="O2630" t="str">
        <f>VLOOKUP(D2630,'Jer-Tip-Emp'!B:G,6,0)</f>
        <v>Combo</v>
      </c>
    </row>
    <row r="2631" spans="1:15" ht="27.5" customHeight="1" x14ac:dyDescent="0.2">
      <c r="A2631">
        <v>2025</v>
      </c>
      <c r="B2631" t="s">
        <v>599</v>
      </c>
      <c r="C2631" t="s">
        <v>609</v>
      </c>
      <c r="D2631" s="19" t="s">
        <v>294</v>
      </c>
      <c r="E2631" s="18" t="s">
        <v>108</v>
      </c>
      <c r="F2631" s="18">
        <v>159</v>
      </c>
      <c r="G2631" s="20">
        <v>2926689</v>
      </c>
      <c r="H2631" s="20">
        <v>-78411</v>
      </c>
      <c r="I2631" s="20">
        <v>1301097</v>
      </c>
      <c r="J2631" s="8">
        <f t="shared" si="123"/>
        <v>1625592</v>
      </c>
      <c r="K2631" s="10">
        <f t="shared" si="124"/>
        <v>0.55543721932873635</v>
      </c>
      <c r="L2631" s="17">
        <f t="shared" si="125"/>
        <v>2.6791708992653474E-2</v>
      </c>
      <c r="M2631" t="str">
        <f>VLOOKUP(D2631,'Jer-Tip-Emp'!B:E,4,0)</f>
        <v>Mong Express</v>
      </c>
      <c r="N2631" t="str">
        <f>VLOOKUP(D2631,'Jer-Tip-Emp'!B:F,5,0)</f>
        <v>Personal</v>
      </c>
      <c r="O2631" t="str">
        <f>VLOOKUP(D2631,'Jer-Tip-Emp'!B:G,6,0)</f>
        <v>Caja</v>
      </c>
    </row>
    <row r="2632" spans="1:15" ht="27.5" customHeight="1" x14ac:dyDescent="0.2">
      <c r="A2632">
        <v>2025</v>
      </c>
      <c r="B2632" t="s">
        <v>599</v>
      </c>
      <c r="C2632" t="s">
        <v>609</v>
      </c>
      <c r="D2632" s="19" t="s">
        <v>273</v>
      </c>
      <c r="E2632" s="18" t="s">
        <v>23</v>
      </c>
      <c r="F2632" s="18">
        <v>154</v>
      </c>
      <c r="G2632" s="20">
        <v>3834600</v>
      </c>
      <c r="H2632" s="18">
        <v>0</v>
      </c>
      <c r="I2632" s="18">
        <v>0</v>
      </c>
      <c r="J2632" s="8">
        <f t="shared" si="123"/>
        <v>3834600</v>
      </c>
      <c r="K2632" s="10">
        <f t="shared" si="124"/>
        <v>1</v>
      </c>
      <c r="L2632" s="17">
        <f t="shared" si="125"/>
        <v>0</v>
      </c>
      <c r="M2632" t="str">
        <f>VLOOKUP(D2632,'Jer-Tip-Emp'!B:E,4,0)</f>
        <v>Arma tu plato</v>
      </c>
      <c r="N2632" t="str">
        <f>VLOOKUP(D2632,'Jer-Tip-Emp'!B:F,5,0)</f>
        <v>Personal</v>
      </c>
      <c r="O2632" t="str">
        <f>VLOOKUP(D2632,'Jer-Tip-Emp'!B:G,6,0)</f>
        <v>Caja</v>
      </c>
    </row>
    <row r="2633" spans="1:15" ht="27.5" customHeight="1" x14ac:dyDescent="0.2">
      <c r="A2633">
        <v>2025</v>
      </c>
      <c r="B2633" t="s">
        <v>599</v>
      </c>
      <c r="C2633" t="s">
        <v>609</v>
      </c>
      <c r="D2633" s="19" t="s">
        <v>313</v>
      </c>
      <c r="E2633" s="18" t="s">
        <v>540</v>
      </c>
      <c r="F2633" s="18">
        <v>107</v>
      </c>
      <c r="G2633" s="18">
        <v>0</v>
      </c>
      <c r="H2633" s="18">
        <v>0</v>
      </c>
      <c r="I2633" s="20">
        <v>587537</v>
      </c>
      <c r="J2633" s="8">
        <f t="shared" si="123"/>
        <v>-587537</v>
      </c>
      <c r="K2633" s="10">
        <f t="shared" si="124"/>
        <v>0</v>
      </c>
      <c r="L2633" s="17">
        <f t="shared" si="125"/>
        <v>0</v>
      </c>
      <c r="M2633" t="str">
        <f>VLOOKUP(D2633,'Jer-Tip-Emp'!B:E,4,0)</f>
        <v>Arma tu plato</v>
      </c>
      <c r="N2633" t="str">
        <f>VLOOKUP(D2633,'Jer-Tip-Emp'!B:F,5,0)</f>
        <v>Personal</v>
      </c>
      <c r="O2633" t="str">
        <f>VLOOKUP(D2633,'Jer-Tip-Emp'!B:G,6,0)</f>
        <v>Caja</v>
      </c>
    </row>
    <row r="2634" spans="1:15" ht="27.5" hidden="1" customHeight="1" x14ac:dyDescent="0.2">
      <c r="A2634">
        <v>2025</v>
      </c>
      <c r="B2634" t="s">
        <v>599</v>
      </c>
      <c r="C2634" t="s">
        <v>609</v>
      </c>
      <c r="D2634" s="19" t="s">
        <v>284</v>
      </c>
      <c r="E2634" s="18" t="s">
        <v>106</v>
      </c>
      <c r="F2634" s="18">
        <v>105</v>
      </c>
      <c r="G2634" s="20">
        <v>926257</v>
      </c>
      <c r="H2634" s="20">
        <v>-8243</v>
      </c>
      <c r="I2634" s="20">
        <v>329595</v>
      </c>
      <c r="J2634" s="8">
        <f t="shared" si="123"/>
        <v>596662</v>
      </c>
      <c r="K2634" s="10">
        <f t="shared" si="124"/>
        <v>0.64416463249400546</v>
      </c>
      <c r="L2634" s="17">
        <f t="shared" si="125"/>
        <v>8.8992579813162009E-3</v>
      </c>
      <c r="M2634" t="str">
        <f>VLOOKUP(D2634,'Jer-Tip-Emp'!B:E,4,0)</f>
        <v>Entradas</v>
      </c>
      <c r="N2634" t="str">
        <f>VLOOKUP(D2634,'Jer-Tip-Emp'!B:F,5,0)</f>
        <v>Otro</v>
      </c>
      <c r="O2634" t="str">
        <f>VLOOKUP(D2634,'Jer-Tip-Emp'!B:G,6,0)</f>
        <v>Otro</v>
      </c>
    </row>
    <row r="2635" spans="1:15" ht="27.5" customHeight="1" x14ac:dyDescent="0.2">
      <c r="A2635">
        <v>2025</v>
      </c>
      <c r="B2635" t="s">
        <v>599</v>
      </c>
      <c r="C2635" t="s">
        <v>609</v>
      </c>
      <c r="D2635" s="19" t="s">
        <v>196</v>
      </c>
      <c r="E2635" s="18" t="s">
        <v>159</v>
      </c>
      <c r="F2635" s="18">
        <v>102</v>
      </c>
      <c r="G2635" s="20">
        <v>2430010</v>
      </c>
      <c r="H2635" s="20">
        <v>-7790</v>
      </c>
      <c r="I2635" s="20">
        <v>969102</v>
      </c>
      <c r="J2635" s="8">
        <f t="shared" si="123"/>
        <v>1460908</v>
      </c>
      <c r="K2635" s="10">
        <f t="shared" si="124"/>
        <v>0.60119423376858527</v>
      </c>
      <c r="L2635" s="17">
        <f t="shared" si="125"/>
        <v>3.205748124493315E-3</v>
      </c>
      <c r="M2635" t="str">
        <f>VLOOKUP(D2635,'Jer-Tip-Emp'!B:E,4,0)</f>
        <v>Combos personales</v>
      </c>
      <c r="N2635" t="str">
        <f>VLOOKUP(D2635,'Jer-Tip-Emp'!B:F,5,0)</f>
        <v>Personal</v>
      </c>
      <c r="O2635" t="str">
        <f>VLOOKUP(D2635,'Jer-Tip-Emp'!B:G,6,0)</f>
        <v>Combo</v>
      </c>
    </row>
    <row r="2636" spans="1:15" ht="27.5" customHeight="1" x14ac:dyDescent="0.2">
      <c r="A2636">
        <v>2025</v>
      </c>
      <c r="B2636" t="s">
        <v>599</v>
      </c>
      <c r="C2636" t="s">
        <v>609</v>
      </c>
      <c r="D2636" s="19" t="s">
        <v>245</v>
      </c>
      <c r="E2636" s="18" t="s">
        <v>167</v>
      </c>
      <c r="F2636" s="18">
        <v>101</v>
      </c>
      <c r="G2636" s="20">
        <v>1843119</v>
      </c>
      <c r="H2636" s="20">
        <v>-65781</v>
      </c>
      <c r="I2636" s="18">
        <v>0</v>
      </c>
      <c r="J2636" s="8">
        <f t="shared" si="123"/>
        <v>1843119</v>
      </c>
      <c r="K2636" s="10">
        <f t="shared" si="124"/>
        <v>1</v>
      </c>
      <c r="L2636" s="17">
        <f t="shared" si="125"/>
        <v>3.5690044972679462E-2</v>
      </c>
      <c r="M2636" t="str">
        <f>VLOOKUP(D2636,'Jer-Tip-Emp'!B:E,4,0)</f>
        <v>Mong Express</v>
      </c>
      <c r="N2636" t="str">
        <f>VLOOKUP(D2636,'Jer-Tip-Emp'!B:F,5,0)</f>
        <v>Personal</v>
      </c>
      <c r="O2636" t="str">
        <f>VLOOKUP(D2636,'Jer-Tip-Emp'!B:G,6,0)</f>
        <v>Caja</v>
      </c>
    </row>
    <row r="2637" spans="1:15" ht="27.5" customHeight="1" x14ac:dyDescent="0.2">
      <c r="A2637">
        <v>2025</v>
      </c>
      <c r="B2637" t="s">
        <v>599</v>
      </c>
      <c r="C2637" t="s">
        <v>609</v>
      </c>
      <c r="D2637" s="19" t="s">
        <v>186</v>
      </c>
      <c r="E2637" s="18" t="s">
        <v>95</v>
      </c>
      <c r="F2637" s="18">
        <v>88</v>
      </c>
      <c r="G2637" s="20">
        <v>2364539</v>
      </c>
      <c r="H2637" s="20">
        <v>-2661</v>
      </c>
      <c r="I2637" s="20">
        <v>842160</v>
      </c>
      <c r="J2637" s="8">
        <f t="shared" si="123"/>
        <v>1522379</v>
      </c>
      <c r="K2637" s="10">
        <f t="shared" si="124"/>
        <v>0.64383755142122845</v>
      </c>
      <c r="L2637" s="17">
        <f t="shared" si="125"/>
        <v>1.1253779277905756E-3</v>
      </c>
      <c r="M2637" t="str">
        <f>VLOOKUP(D2637,'Jer-Tip-Emp'!B:E,4,0)</f>
        <v>Combos personales</v>
      </c>
      <c r="N2637" t="str">
        <f>VLOOKUP(D2637,'Jer-Tip-Emp'!B:F,5,0)</f>
        <v>Personal</v>
      </c>
      <c r="O2637" t="str">
        <f>VLOOKUP(D2637,'Jer-Tip-Emp'!B:G,6,0)</f>
        <v>Combo</v>
      </c>
    </row>
    <row r="2638" spans="1:15" ht="27.5" customHeight="1" x14ac:dyDescent="0.2">
      <c r="A2638">
        <v>2025</v>
      </c>
      <c r="B2638" t="s">
        <v>599</v>
      </c>
      <c r="C2638" t="s">
        <v>609</v>
      </c>
      <c r="D2638" s="19" t="s">
        <v>389</v>
      </c>
      <c r="E2638" s="18" t="s">
        <v>541</v>
      </c>
      <c r="F2638" s="18">
        <v>62</v>
      </c>
      <c r="G2638" s="18">
        <v>0</v>
      </c>
      <c r="H2638" s="18">
        <v>0</v>
      </c>
      <c r="I2638" s="20">
        <v>338954</v>
      </c>
      <c r="J2638" s="8">
        <f t="shared" si="123"/>
        <v>-338954</v>
      </c>
      <c r="K2638" s="10">
        <f t="shared" si="124"/>
        <v>0</v>
      </c>
      <c r="L2638" s="17">
        <f t="shared" si="125"/>
        <v>0</v>
      </c>
      <c r="M2638" t="str">
        <f>VLOOKUP(D2638,'Jer-Tip-Emp'!B:E,4,0)</f>
        <v>Arma tu plato</v>
      </c>
      <c r="N2638" t="str">
        <f>VLOOKUP(D2638,'Jer-Tip-Emp'!B:F,5,0)</f>
        <v>Personal</v>
      </c>
      <c r="O2638" t="str">
        <f>VLOOKUP(D2638,'Jer-Tip-Emp'!B:G,6,0)</f>
        <v>Caja</v>
      </c>
    </row>
    <row r="2639" spans="1:15" ht="27.5" customHeight="1" x14ac:dyDescent="0.2">
      <c r="A2639">
        <v>2025</v>
      </c>
      <c r="B2639" t="s">
        <v>599</v>
      </c>
      <c r="C2639" t="s">
        <v>609</v>
      </c>
      <c r="D2639" s="19" t="s">
        <v>212</v>
      </c>
      <c r="E2639" s="18" t="s">
        <v>160</v>
      </c>
      <c r="F2639" s="18">
        <v>57</v>
      </c>
      <c r="G2639" s="20">
        <v>1533300</v>
      </c>
      <c r="H2639" s="18">
        <v>0</v>
      </c>
      <c r="I2639" s="20">
        <v>641421</v>
      </c>
      <c r="J2639" s="8">
        <f t="shared" si="123"/>
        <v>891879</v>
      </c>
      <c r="K2639" s="10">
        <f t="shared" si="124"/>
        <v>0.58167286245353156</v>
      </c>
      <c r="L2639" s="17">
        <f t="shared" si="125"/>
        <v>0</v>
      </c>
      <c r="M2639" t="str">
        <f>VLOOKUP(D2639,'Jer-Tip-Emp'!B:E,4,0)</f>
        <v>Combos personales</v>
      </c>
      <c r="N2639" t="str">
        <f>VLOOKUP(D2639,'Jer-Tip-Emp'!B:F,5,0)</f>
        <v>Personal</v>
      </c>
      <c r="O2639" t="str">
        <f>VLOOKUP(D2639,'Jer-Tip-Emp'!B:G,6,0)</f>
        <v>Combo</v>
      </c>
    </row>
    <row r="2640" spans="1:15" ht="27.5" hidden="1" customHeight="1" x14ac:dyDescent="0.2">
      <c r="A2640">
        <v>2025</v>
      </c>
      <c r="B2640" t="s">
        <v>599</v>
      </c>
      <c r="C2640" t="s">
        <v>609</v>
      </c>
      <c r="D2640" s="19" t="s">
        <v>327</v>
      </c>
      <c r="E2640" s="18" t="s">
        <v>44</v>
      </c>
      <c r="F2640" s="18">
        <v>56</v>
      </c>
      <c r="G2640" s="20">
        <v>273911</v>
      </c>
      <c r="H2640" s="18">
        <v>-489</v>
      </c>
      <c r="I2640" s="20">
        <v>61320</v>
      </c>
      <c r="J2640" s="8">
        <f t="shared" si="123"/>
        <v>212591</v>
      </c>
      <c r="K2640" s="10">
        <f t="shared" si="124"/>
        <v>0.77613166320447158</v>
      </c>
      <c r="L2640" s="17">
        <f t="shared" si="125"/>
        <v>1.7852514137803885E-3</v>
      </c>
      <c r="M2640" t="str">
        <f>VLOOKUP(D2640,'Jer-Tip-Emp'!B:E,4,0)</f>
        <v>Bebidas</v>
      </c>
      <c r="N2640" t="str">
        <f>VLOOKUP(D2640,'Jer-Tip-Emp'!B:F,5,0)</f>
        <v>Bebidas</v>
      </c>
      <c r="O2640" t="str">
        <f>VLOOKUP(D2640,'Jer-Tip-Emp'!B:G,6,0)</f>
        <v>Bebidas</v>
      </c>
    </row>
    <row r="2641" spans="1:15" ht="27.5" hidden="1" customHeight="1" x14ac:dyDescent="0.2">
      <c r="A2641">
        <v>2025</v>
      </c>
      <c r="B2641" t="s">
        <v>599</v>
      </c>
      <c r="C2641" t="s">
        <v>609</v>
      </c>
      <c r="D2641" s="19" t="s">
        <v>500</v>
      </c>
      <c r="E2641" s="18" t="s">
        <v>546</v>
      </c>
      <c r="F2641" s="18">
        <v>54</v>
      </c>
      <c r="G2641" s="18">
        <v>0</v>
      </c>
      <c r="H2641" s="18">
        <v>0</v>
      </c>
      <c r="I2641" s="20">
        <v>46872</v>
      </c>
      <c r="J2641" s="8">
        <f t="shared" si="123"/>
        <v>-46872</v>
      </c>
      <c r="K2641" s="10">
        <f t="shared" si="124"/>
        <v>0</v>
      </c>
      <c r="L2641" s="17">
        <f t="shared" si="125"/>
        <v>0</v>
      </c>
      <c r="M2641" t="str">
        <f>VLOOKUP(D2641,'Jer-Tip-Emp'!B:E,4,0)</f>
        <v>Bebidas</v>
      </c>
      <c r="N2641" t="str">
        <f>VLOOKUP(D2641,'Jer-Tip-Emp'!B:F,5,0)</f>
        <v>Bebidas Cambio de bebida</v>
      </c>
      <c r="O2641" t="str">
        <f>VLOOKUP(D2641,'Jer-Tip-Emp'!B:G,6,0)</f>
        <v>Bebidas</v>
      </c>
    </row>
    <row r="2642" spans="1:15" ht="27.5" customHeight="1" x14ac:dyDescent="0.2">
      <c r="A2642">
        <v>2025</v>
      </c>
      <c r="B2642" t="s">
        <v>599</v>
      </c>
      <c r="C2642" t="s">
        <v>609</v>
      </c>
      <c r="D2642" s="19" t="s">
        <v>322</v>
      </c>
      <c r="E2642" s="18" t="s">
        <v>545</v>
      </c>
      <c r="F2642" s="18">
        <v>49</v>
      </c>
      <c r="G2642" s="20">
        <v>98000</v>
      </c>
      <c r="H2642" s="18">
        <v>0</v>
      </c>
      <c r="I2642" s="20">
        <v>152292</v>
      </c>
      <c r="J2642" s="8">
        <f t="shared" si="123"/>
        <v>-54292</v>
      </c>
      <c r="K2642" s="10">
        <f t="shared" si="124"/>
        <v>-0.55400000000000005</v>
      </c>
      <c r="L2642" s="17">
        <f t="shared" si="125"/>
        <v>0</v>
      </c>
      <c r="M2642" t="str">
        <f>VLOOKUP(D2642,'Jer-Tip-Emp'!B:E,4,0)</f>
        <v>Arma tu plato</v>
      </c>
      <c r="N2642" t="str">
        <f>VLOOKUP(D2642,'Jer-Tip-Emp'!B:F,5,0)</f>
        <v>Personal</v>
      </c>
      <c r="O2642" t="str">
        <f>VLOOKUP(D2642,'Jer-Tip-Emp'!B:G,6,0)</f>
        <v>Caja</v>
      </c>
    </row>
    <row r="2643" spans="1:15" ht="27.5" hidden="1" customHeight="1" x14ac:dyDescent="0.2">
      <c r="A2643">
        <v>2025</v>
      </c>
      <c r="B2643" t="s">
        <v>599</v>
      </c>
      <c r="C2643" t="s">
        <v>609</v>
      </c>
      <c r="D2643" s="19" t="s">
        <v>310</v>
      </c>
      <c r="E2643" s="18" t="s">
        <v>53</v>
      </c>
      <c r="F2643" s="18">
        <v>49</v>
      </c>
      <c r="G2643" s="20">
        <v>266527</v>
      </c>
      <c r="H2643" s="20">
        <v>-2973</v>
      </c>
      <c r="I2643" s="20">
        <v>83055</v>
      </c>
      <c r="J2643" s="8">
        <f t="shared" si="123"/>
        <v>183472</v>
      </c>
      <c r="K2643" s="10">
        <f t="shared" si="124"/>
        <v>0.68838053930746224</v>
      </c>
      <c r="L2643" s="17">
        <f t="shared" si="125"/>
        <v>1.1154592217674007E-2</v>
      </c>
      <c r="M2643" t="str">
        <f>VLOOKUP(D2643,'Jer-Tip-Emp'!B:E,4,0)</f>
        <v>Bebidas</v>
      </c>
      <c r="N2643" t="str">
        <f>VLOOKUP(D2643,'Jer-Tip-Emp'!B:F,5,0)</f>
        <v>Bebidas</v>
      </c>
      <c r="O2643" t="str">
        <f>VLOOKUP(D2643,'Jer-Tip-Emp'!B:G,6,0)</f>
        <v>Bebidas</v>
      </c>
    </row>
    <row r="2644" spans="1:15" ht="27.5" customHeight="1" x14ac:dyDescent="0.2">
      <c r="A2644">
        <v>2025</v>
      </c>
      <c r="B2644" t="s">
        <v>599</v>
      </c>
      <c r="C2644" t="s">
        <v>609</v>
      </c>
      <c r="D2644" s="19" t="s">
        <v>228</v>
      </c>
      <c r="E2644" s="18" t="s">
        <v>96</v>
      </c>
      <c r="F2644" s="18">
        <v>48</v>
      </c>
      <c r="G2644" s="20">
        <v>1386595</v>
      </c>
      <c r="H2644" s="18">
        <v>-605</v>
      </c>
      <c r="I2644" s="20">
        <v>491856</v>
      </c>
      <c r="J2644" s="8">
        <f t="shared" si="123"/>
        <v>894739</v>
      </c>
      <c r="K2644" s="10">
        <f t="shared" si="124"/>
        <v>0.64527782084891405</v>
      </c>
      <c r="L2644" s="17">
        <f t="shared" si="125"/>
        <v>4.3632062714779731E-4</v>
      </c>
      <c r="M2644" t="str">
        <f>VLOOKUP(D2644,'Jer-Tip-Emp'!B:E,4,0)</f>
        <v>Combos personales</v>
      </c>
      <c r="N2644" t="str">
        <f>VLOOKUP(D2644,'Jer-Tip-Emp'!B:F,5,0)</f>
        <v>Personal</v>
      </c>
      <c r="O2644" t="str">
        <f>VLOOKUP(D2644,'Jer-Tip-Emp'!B:G,6,0)</f>
        <v>Combo</v>
      </c>
    </row>
    <row r="2645" spans="1:15" ht="27.5" customHeight="1" x14ac:dyDescent="0.2">
      <c r="A2645">
        <v>2025</v>
      </c>
      <c r="B2645" t="s">
        <v>599</v>
      </c>
      <c r="C2645" t="s">
        <v>609</v>
      </c>
      <c r="D2645" s="19" t="s">
        <v>470</v>
      </c>
      <c r="E2645" s="18" t="s">
        <v>550</v>
      </c>
      <c r="F2645" s="18">
        <v>45</v>
      </c>
      <c r="G2645" s="18">
        <v>0</v>
      </c>
      <c r="H2645" s="18">
        <v>0</v>
      </c>
      <c r="I2645" s="20">
        <v>139365</v>
      </c>
      <c r="J2645" s="8">
        <f t="shared" si="123"/>
        <v>-139365</v>
      </c>
      <c r="K2645" s="10">
        <f t="shared" si="124"/>
        <v>0</v>
      </c>
      <c r="L2645" s="17">
        <f t="shared" si="125"/>
        <v>0</v>
      </c>
      <c r="M2645" t="str">
        <f>VLOOKUP(D2645,'Jer-Tip-Emp'!B:E,4,0)</f>
        <v>Arma tu plato</v>
      </c>
      <c r="N2645" t="str">
        <f>VLOOKUP(D2645,'Jer-Tip-Emp'!B:F,5,0)</f>
        <v>Personal</v>
      </c>
      <c r="O2645" t="str">
        <f>VLOOKUP(D2645,'Jer-Tip-Emp'!B:G,6,0)</f>
        <v>Caja</v>
      </c>
    </row>
    <row r="2646" spans="1:15" ht="27.5" customHeight="1" x14ac:dyDescent="0.2">
      <c r="A2646">
        <v>2025</v>
      </c>
      <c r="B2646" t="s">
        <v>599</v>
      </c>
      <c r="C2646" t="s">
        <v>609</v>
      </c>
      <c r="D2646" s="19" t="s">
        <v>393</v>
      </c>
      <c r="E2646" s="18" t="s">
        <v>549</v>
      </c>
      <c r="F2646" s="18">
        <v>44</v>
      </c>
      <c r="G2646" s="20">
        <v>88000</v>
      </c>
      <c r="H2646" s="18">
        <v>0</v>
      </c>
      <c r="I2646" s="20">
        <v>89540</v>
      </c>
      <c r="J2646" s="8">
        <f t="shared" si="123"/>
        <v>-1540</v>
      </c>
      <c r="K2646" s="10">
        <f t="shared" si="124"/>
        <v>-1.7500000000000002E-2</v>
      </c>
      <c r="L2646" s="17">
        <f t="shared" si="125"/>
        <v>0</v>
      </c>
      <c r="M2646" t="str">
        <f>VLOOKUP(D2646,'Jer-Tip-Emp'!B:E,4,0)</f>
        <v>Arma tu plato</v>
      </c>
      <c r="N2646" t="str">
        <f>VLOOKUP(D2646,'Jer-Tip-Emp'!B:F,5,0)</f>
        <v>Personal</v>
      </c>
      <c r="O2646" t="str">
        <f>VLOOKUP(D2646,'Jer-Tip-Emp'!B:G,6,0)</f>
        <v>Caja</v>
      </c>
    </row>
    <row r="2647" spans="1:15" ht="27.5" customHeight="1" x14ac:dyDescent="0.2">
      <c r="A2647">
        <v>2025</v>
      </c>
      <c r="B2647" t="s">
        <v>599</v>
      </c>
      <c r="C2647" t="s">
        <v>609</v>
      </c>
      <c r="D2647" s="19" t="s">
        <v>333</v>
      </c>
      <c r="E2647" s="18" t="s">
        <v>547</v>
      </c>
      <c r="F2647" s="18">
        <v>42</v>
      </c>
      <c r="G2647" s="18">
        <v>0</v>
      </c>
      <c r="H2647" s="18">
        <v>0</v>
      </c>
      <c r="I2647" s="20">
        <v>139524</v>
      </c>
      <c r="J2647" s="8">
        <f t="shared" si="123"/>
        <v>-139524</v>
      </c>
      <c r="K2647" s="10">
        <f t="shared" si="124"/>
        <v>0</v>
      </c>
      <c r="L2647" s="17">
        <f t="shared" si="125"/>
        <v>0</v>
      </c>
      <c r="M2647" t="str">
        <f>VLOOKUP(D2647,'Jer-Tip-Emp'!B:E,4,0)</f>
        <v>Arma tu plato</v>
      </c>
      <c r="N2647" t="str">
        <f>VLOOKUP(D2647,'Jer-Tip-Emp'!B:F,5,0)</f>
        <v>Personal</v>
      </c>
      <c r="O2647" t="str">
        <f>VLOOKUP(D2647,'Jer-Tip-Emp'!B:G,6,0)</f>
        <v>Caja</v>
      </c>
    </row>
    <row r="2648" spans="1:15" ht="27.5" hidden="1" customHeight="1" x14ac:dyDescent="0.2">
      <c r="A2648">
        <v>2025</v>
      </c>
      <c r="B2648" t="s">
        <v>599</v>
      </c>
      <c r="C2648" t="s">
        <v>609</v>
      </c>
      <c r="D2648" s="19" t="s">
        <v>173</v>
      </c>
      <c r="E2648" s="18" t="s">
        <v>542</v>
      </c>
      <c r="F2648" s="18">
        <v>39</v>
      </c>
      <c r="G2648" s="18">
        <v>0</v>
      </c>
      <c r="H2648" s="18">
        <v>0</v>
      </c>
      <c r="I2648" s="18">
        <v>0</v>
      </c>
      <c r="J2648" s="8">
        <f t="shared" si="123"/>
        <v>0</v>
      </c>
      <c r="K2648" s="10">
        <f t="shared" si="124"/>
        <v>0</v>
      </c>
      <c r="L2648" s="17">
        <f t="shared" si="125"/>
        <v>0</v>
      </c>
      <c r="M2648" t="str">
        <f>VLOOKUP(D2648,'Jer-Tip-Emp'!B:E,4,0)</f>
        <v>Bebidas</v>
      </c>
      <c r="N2648" t="str">
        <f>VLOOKUP(D2648,'Jer-Tip-Emp'!B:F,5,0)</f>
        <v>Bebidas Cambio de bebida</v>
      </c>
      <c r="O2648" t="str">
        <f>VLOOKUP(D2648,'Jer-Tip-Emp'!B:G,6,0)</f>
        <v>Bebidas</v>
      </c>
    </row>
    <row r="2649" spans="1:15" ht="27.5" customHeight="1" x14ac:dyDescent="0.2">
      <c r="A2649">
        <v>2025</v>
      </c>
      <c r="B2649" t="s">
        <v>599</v>
      </c>
      <c r="C2649" t="s">
        <v>609</v>
      </c>
      <c r="D2649" s="19" t="s">
        <v>354</v>
      </c>
      <c r="E2649" s="18" t="s">
        <v>548</v>
      </c>
      <c r="F2649" s="18">
        <v>36</v>
      </c>
      <c r="G2649" s="18">
        <v>0</v>
      </c>
      <c r="H2649" s="18">
        <v>0</v>
      </c>
      <c r="I2649" s="20">
        <v>94824</v>
      </c>
      <c r="J2649" s="8">
        <f t="shared" si="123"/>
        <v>-94824</v>
      </c>
      <c r="K2649" s="10">
        <f t="shared" si="124"/>
        <v>0</v>
      </c>
      <c r="L2649" s="17">
        <f t="shared" si="125"/>
        <v>0</v>
      </c>
      <c r="M2649" t="str">
        <f>VLOOKUP(D2649,'Jer-Tip-Emp'!B:E,4,0)</f>
        <v>Arma tu plato</v>
      </c>
      <c r="N2649" t="str">
        <f>VLOOKUP(D2649,'Jer-Tip-Emp'!B:F,5,0)</f>
        <v>Personal</v>
      </c>
      <c r="O2649" t="str">
        <f>VLOOKUP(D2649,'Jer-Tip-Emp'!B:G,6,0)</f>
        <v>Caja</v>
      </c>
    </row>
    <row r="2650" spans="1:15" ht="27.5" customHeight="1" x14ac:dyDescent="0.2">
      <c r="A2650">
        <v>2025</v>
      </c>
      <c r="B2650" t="s">
        <v>599</v>
      </c>
      <c r="C2650" t="s">
        <v>609</v>
      </c>
      <c r="D2650" s="19" t="s">
        <v>180</v>
      </c>
      <c r="E2650" s="18" t="s">
        <v>128</v>
      </c>
      <c r="F2650" s="18">
        <v>35</v>
      </c>
      <c r="G2650" s="20">
        <v>696500</v>
      </c>
      <c r="H2650" s="18">
        <v>0</v>
      </c>
      <c r="I2650" s="20">
        <v>239330</v>
      </c>
      <c r="J2650" s="8">
        <f t="shared" si="123"/>
        <v>457170</v>
      </c>
      <c r="K2650" s="10">
        <f t="shared" si="124"/>
        <v>0.65638190954773867</v>
      </c>
      <c r="L2650" s="17">
        <f t="shared" si="125"/>
        <v>0</v>
      </c>
      <c r="M2650" t="str">
        <f>VLOOKUP(D2650,'Jer-Tip-Emp'!B:E,4,0)</f>
        <v>Platos mong</v>
      </c>
      <c r="N2650" t="str">
        <f>VLOOKUP(D2650,'Jer-Tip-Emp'!B:F,5,0)</f>
        <v>Personal</v>
      </c>
      <c r="O2650" t="str">
        <f>VLOOKUP(D2650,'Jer-Tip-Emp'!B:G,6,0)</f>
        <v>Caja</v>
      </c>
    </row>
    <row r="2651" spans="1:15" ht="27.5" hidden="1" customHeight="1" x14ac:dyDescent="0.2">
      <c r="A2651">
        <v>2025</v>
      </c>
      <c r="B2651" t="s">
        <v>599</v>
      </c>
      <c r="C2651" t="s">
        <v>609</v>
      </c>
      <c r="D2651" s="19" t="s">
        <v>309</v>
      </c>
      <c r="E2651" s="18" t="s">
        <v>48</v>
      </c>
      <c r="F2651" s="18">
        <v>30</v>
      </c>
      <c r="G2651" s="20">
        <v>105000</v>
      </c>
      <c r="H2651" s="18">
        <v>0</v>
      </c>
      <c r="I2651" s="20">
        <v>34890</v>
      </c>
      <c r="J2651" s="8">
        <f t="shared" si="123"/>
        <v>70110</v>
      </c>
      <c r="K2651" s="10">
        <f t="shared" si="124"/>
        <v>0.6677142857142857</v>
      </c>
      <c r="L2651" s="17">
        <f t="shared" si="125"/>
        <v>0</v>
      </c>
      <c r="M2651" t="str">
        <f>VLOOKUP(D2651,'Jer-Tip-Emp'!B:E,4,0)</f>
        <v>Bebidas</v>
      </c>
      <c r="N2651" t="str">
        <f>VLOOKUP(D2651,'Jer-Tip-Emp'!B:F,5,0)</f>
        <v>Bebidas</v>
      </c>
      <c r="O2651" t="str">
        <f>VLOOKUP(D2651,'Jer-Tip-Emp'!B:G,6,0)</f>
        <v>Bebidas</v>
      </c>
    </row>
    <row r="2652" spans="1:15" ht="27.5" customHeight="1" x14ac:dyDescent="0.2">
      <c r="A2652">
        <v>2025</v>
      </c>
      <c r="B2652" t="s">
        <v>599</v>
      </c>
      <c r="C2652" t="s">
        <v>609</v>
      </c>
      <c r="D2652" s="19" t="s">
        <v>448</v>
      </c>
      <c r="E2652" s="18" t="s">
        <v>552</v>
      </c>
      <c r="F2652" s="18">
        <v>30</v>
      </c>
      <c r="G2652" s="18">
        <v>0</v>
      </c>
      <c r="H2652" s="18">
        <v>0</v>
      </c>
      <c r="I2652" s="20">
        <v>157890</v>
      </c>
      <c r="J2652" s="8">
        <f t="shared" si="123"/>
        <v>-157890</v>
      </c>
      <c r="K2652" s="10">
        <f t="shared" si="124"/>
        <v>0</v>
      </c>
      <c r="L2652" s="17">
        <f t="shared" si="125"/>
        <v>0</v>
      </c>
      <c r="M2652" t="str">
        <f>VLOOKUP(D2652,'Jer-Tip-Emp'!B:E,4,0)</f>
        <v>Arma tu plato</v>
      </c>
      <c r="N2652" t="str">
        <f>VLOOKUP(D2652,'Jer-Tip-Emp'!B:F,5,0)</f>
        <v>Personal</v>
      </c>
      <c r="O2652" t="str">
        <f>VLOOKUP(D2652,'Jer-Tip-Emp'!B:G,6,0)</f>
        <v>Caja</v>
      </c>
    </row>
    <row r="2653" spans="1:15" ht="27.5" customHeight="1" x14ac:dyDescent="0.2">
      <c r="A2653">
        <v>2025</v>
      </c>
      <c r="B2653" t="s">
        <v>599</v>
      </c>
      <c r="C2653" t="s">
        <v>609</v>
      </c>
      <c r="D2653" s="19" t="s">
        <v>376</v>
      </c>
      <c r="E2653" s="18" t="s">
        <v>543</v>
      </c>
      <c r="F2653" s="18">
        <v>29</v>
      </c>
      <c r="G2653" s="18">
        <v>0</v>
      </c>
      <c r="H2653" s="18">
        <v>0</v>
      </c>
      <c r="I2653" s="20">
        <v>37178</v>
      </c>
      <c r="J2653" s="8">
        <f t="shared" si="123"/>
        <v>-37178</v>
      </c>
      <c r="K2653" s="10">
        <f t="shared" si="124"/>
        <v>0</v>
      </c>
      <c r="L2653" s="17">
        <f t="shared" si="125"/>
        <v>0</v>
      </c>
      <c r="M2653" t="str">
        <f>VLOOKUP(D2653,'Jer-Tip-Emp'!B:E,4,0)</f>
        <v>Arma tu plato</v>
      </c>
      <c r="N2653" t="str">
        <f>VLOOKUP(D2653,'Jer-Tip-Emp'!B:F,5,0)</f>
        <v>Personal</v>
      </c>
      <c r="O2653" t="str">
        <f>VLOOKUP(D2653,'Jer-Tip-Emp'!B:G,6,0)</f>
        <v>Caja</v>
      </c>
    </row>
    <row r="2654" spans="1:15" ht="27.5" hidden="1" customHeight="1" x14ac:dyDescent="0.2">
      <c r="A2654">
        <v>2025</v>
      </c>
      <c r="B2654" t="s">
        <v>599</v>
      </c>
      <c r="C2654" t="s">
        <v>609</v>
      </c>
      <c r="D2654" s="19" t="s">
        <v>189</v>
      </c>
      <c r="E2654" s="18" t="s">
        <v>21</v>
      </c>
      <c r="F2654" s="18">
        <v>28</v>
      </c>
      <c r="G2654" s="20">
        <v>192933</v>
      </c>
      <c r="H2654" s="18">
        <v>-267</v>
      </c>
      <c r="I2654" s="20">
        <v>68992</v>
      </c>
      <c r="J2654" s="8">
        <f t="shared" si="123"/>
        <v>123941</v>
      </c>
      <c r="K2654" s="10">
        <f t="shared" si="124"/>
        <v>0.64240435798956119</v>
      </c>
      <c r="L2654" s="17">
        <f t="shared" si="125"/>
        <v>1.3839001104010201E-3</v>
      </c>
      <c r="M2654" t="str">
        <f>VLOOKUP(D2654,'Jer-Tip-Emp'!B:E,4,0)</f>
        <v>Adición</v>
      </c>
      <c r="N2654" t="str">
        <f>VLOOKUP(D2654,'Jer-Tip-Emp'!B:F,5,0)</f>
        <v>Adición</v>
      </c>
      <c r="O2654" t="str">
        <f>VLOOKUP(D2654,'Jer-Tip-Emp'!B:G,6,0)</f>
        <v>Adición</v>
      </c>
    </row>
    <row r="2655" spans="1:15" ht="27.5" customHeight="1" x14ac:dyDescent="0.2">
      <c r="A2655">
        <v>2025</v>
      </c>
      <c r="B2655" t="s">
        <v>599</v>
      </c>
      <c r="C2655" t="s">
        <v>609</v>
      </c>
      <c r="D2655" s="19" t="s">
        <v>295</v>
      </c>
      <c r="E2655" s="18" t="s">
        <v>110</v>
      </c>
      <c r="F2655" s="18">
        <v>28</v>
      </c>
      <c r="G2655" s="20">
        <v>501200</v>
      </c>
      <c r="H2655" s="18">
        <v>0</v>
      </c>
      <c r="I2655" s="20">
        <v>189504</v>
      </c>
      <c r="J2655" s="8">
        <f t="shared" si="123"/>
        <v>311696</v>
      </c>
      <c r="K2655" s="10">
        <f t="shared" si="124"/>
        <v>0.62189944134078212</v>
      </c>
      <c r="L2655" s="17">
        <f t="shared" si="125"/>
        <v>0</v>
      </c>
      <c r="M2655" t="str">
        <f>VLOOKUP(D2655,'Jer-Tip-Emp'!B:E,4,0)</f>
        <v>Platos mong</v>
      </c>
      <c r="N2655" t="str">
        <f>VLOOKUP(D2655,'Jer-Tip-Emp'!B:F,5,0)</f>
        <v>Personal</v>
      </c>
      <c r="O2655" t="str">
        <f>VLOOKUP(D2655,'Jer-Tip-Emp'!B:G,6,0)</f>
        <v>Caja</v>
      </c>
    </row>
    <row r="2656" spans="1:15" ht="27.5" customHeight="1" x14ac:dyDescent="0.2">
      <c r="A2656">
        <v>2025</v>
      </c>
      <c r="B2656" t="s">
        <v>599</v>
      </c>
      <c r="C2656" t="s">
        <v>609</v>
      </c>
      <c r="D2656" s="19" t="s">
        <v>298</v>
      </c>
      <c r="E2656" s="18" t="s">
        <v>153</v>
      </c>
      <c r="F2656" s="18">
        <v>26</v>
      </c>
      <c r="G2656" s="20">
        <v>517400</v>
      </c>
      <c r="H2656" s="18">
        <v>0</v>
      </c>
      <c r="I2656" s="20">
        <v>221546</v>
      </c>
      <c r="J2656" s="8">
        <f t="shared" si="123"/>
        <v>295854</v>
      </c>
      <c r="K2656" s="10">
        <f t="shared" si="124"/>
        <v>0.57180904522613063</v>
      </c>
      <c r="L2656" s="17">
        <f t="shared" si="125"/>
        <v>0</v>
      </c>
      <c r="M2656" t="str">
        <f>VLOOKUP(D2656,'Jer-Tip-Emp'!B:E,4,0)</f>
        <v>Platos mong</v>
      </c>
      <c r="N2656" t="str">
        <f>VLOOKUP(D2656,'Jer-Tip-Emp'!B:F,5,0)</f>
        <v>Personal</v>
      </c>
      <c r="O2656" t="str">
        <f>VLOOKUP(D2656,'Jer-Tip-Emp'!B:G,6,0)</f>
        <v>Caja</v>
      </c>
    </row>
    <row r="2657" spans="1:15" ht="27.5" customHeight="1" x14ac:dyDescent="0.2">
      <c r="A2657">
        <v>2025</v>
      </c>
      <c r="B2657" t="s">
        <v>599</v>
      </c>
      <c r="C2657" t="s">
        <v>609</v>
      </c>
      <c r="D2657" s="19" t="s">
        <v>303</v>
      </c>
      <c r="E2657" s="18" t="s">
        <v>120</v>
      </c>
      <c r="F2657" s="18">
        <v>24</v>
      </c>
      <c r="G2657" s="20">
        <v>549052</v>
      </c>
      <c r="H2657" s="18">
        <v>-548</v>
      </c>
      <c r="I2657" s="20">
        <v>180336</v>
      </c>
      <c r="J2657" s="8">
        <f t="shared" si="123"/>
        <v>368716</v>
      </c>
      <c r="K2657" s="10">
        <f t="shared" si="124"/>
        <v>0.67155023567895211</v>
      </c>
      <c r="L2657" s="17">
        <f t="shared" si="125"/>
        <v>9.9808397018861595E-4</v>
      </c>
      <c r="M2657" t="str">
        <f>VLOOKUP(D2657,'Jer-Tip-Emp'!B:E,4,0)</f>
        <v>Platos mong</v>
      </c>
      <c r="N2657" t="str">
        <f>VLOOKUP(D2657,'Jer-Tip-Emp'!B:F,5,0)</f>
        <v>Personal</v>
      </c>
      <c r="O2657" t="str">
        <f>VLOOKUP(D2657,'Jer-Tip-Emp'!B:G,6,0)</f>
        <v>Caja</v>
      </c>
    </row>
    <row r="2658" spans="1:15" ht="27.5" customHeight="1" x14ac:dyDescent="0.2">
      <c r="A2658">
        <v>2025</v>
      </c>
      <c r="B2658" t="s">
        <v>599</v>
      </c>
      <c r="C2658" t="s">
        <v>609</v>
      </c>
      <c r="D2658" s="19" t="s">
        <v>297</v>
      </c>
      <c r="E2658" s="18" t="s">
        <v>131</v>
      </c>
      <c r="F2658" s="18">
        <v>23</v>
      </c>
      <c r="G2658" s="20">
        <v>410000</v>
      </c>
      <c r="H2658" s="20">
        <v>-1700</v>
      </c>
      <c r="I2658" s="20">
        <v>125603</v>
      </c>
      <c r="J2658" s="8">
        <f t="shared" si="123"/>
        <v>284397</v>
      </c>
      <c r="K2658" s="10">
        <f t="shared" si="124"/>
        <v>0.69365121951219511</v>
      </c>
      <c r="L2658" s="17">
        <f t="shared" si="125"/>
        <v>4.1463414634146344E-3</v>
      </c>
      <c r="M2658" t="str">
        <f>VLOOKUP(D2658,'Jer-Tip-Emp'!B:E,4,0)</f>
        <v>Platos mong</v>
      </c>
      <c r="N2658" t="str">
        <f>VLOOKUP(D2658,'Jer-Tip-Emp'!B:F,5,0)</f>
        <v>Personal</v>
      </c>
      <c r="O2658" t="str">
        <f>VLOOKUP(D2658,'Jer-Tip-Emp'!B:G,6,0)</f>
        <v>Caja</v>
      </c>
    </row>
    <row r="2659" spans="1:15" ht="27.5" customHeight="1" x14ac:dyDescent="0.2">
      <c r="A2659">
        <v>2025</v>
      </c>
      <c r="B2659" t="s">
        <v>599</v>
      </c>
      <c r="C2659" t="s">
        <v>609</v>
      </c>
      <c r="D2659" s="19" t="s">
        <v>266</v>
      </c>
      <c r="E2659" s="18" t="s">
        <v>85</v>
      </c>
      <c r="F2659" s="18">
        <v>21</v>
      </c>
      <c r="G2659" s="20">
        <v>1677900</v>
      </c>
      <c r="H2659" s="18">
        <v>0</v>
      </c>
      <c r="I2659" s="20">
        <v>823641</v>
      </c>
      <c r="J2659" s="8">
        <f t="shared" si="123"/>
        <v>854259</v>
      </c>
      <c r="K2659" s="10">
        <f t="shared" si="124"/>
        <v>0.50912390488110137</v>
      </c>
      <c r="L2659" s="17">
        <f t="shared" si="125"/>
        <v>0</v>
      </c>
      <c r="M2659" t="str">
        <f>VLOOKUP(D2659,'Jer-Tip-Emp'!B:E,4,0)</f>
        <v>Combos para compartir</v>
      </c>
      <c r="N2659" t="str">
        <f>VLOOKUP(D2659,'Jer-Tip-Emp'!B:F,5,0)</f>
        <v>No Personal</v>
      </c>
      <c r="O2659" t="str">
        <f>VLOOKUP(D2659,'Jer-Tip-Emp'!B:G,6,0)</f>
        <v>Combo</v>
      </c>
    </row>
    <row r="2660" spans="1:15" ht="27.5" customHeight="1" x14ac:dyDescent="0.2">
      <c r="A2660">
        <v>2025</v>
      </c>
      <c r="B2660" t="s">
        <v>599</v>
      </c>
      <c r="C2660" t="s">
        <v>609</v>
      </c>
      <c r="D2660" s="19" t="s">
        <v>225</v>
      </c>
      <c r="E2660" s="18" t="s">
        <v>157</v>
      </c>
      <c r="F2660" s="18">
        <v>21</v>
      </c>
      <c r="G2660" s="20">
        <v>375900</v>
      </c>
      <c r="H2660" s="18">
        <v>0</v>
      </c>
      <c r="I2660" s="20">
        <v>149961</v>
      </c>
      <c r="J2660" s="8">
        <f t="shared" si="123"/>
        <v>225939</v>
      </c>
      <c r="K2660" s="10">
        <f t="shared" si="124"/>
        <v>0.60106145251396648</v>
      </c>
      <c r="L2660" s="17">
        <f t="shared" si="125"/>
        <v>0</v>
      </c>
      <c r="M2660" t="str">
        <f>VLOOKUP(D2660,'Jer-Tip-Emp'!B:E,4,0)</f>
        <v>Platos mong</v>
      </c>
      <c r="N2660" t="str">
        <f>VLOOKUP(D2660,'Jer-Tip-Emp'!B:F,5,0)</f>
        <v>Personal</v>
      </c>
      <c r="O2660" t="str">
        <f>VLOOKUP(D2660,'Jer-Tip-Emp'!B:G,6,0)</f>
        <v>Caja</v>
      </c>
    </row>
    <row r="2661" spans="1:15" ht="27.5" customHeight="1" x14ac:dyDescent="0.2">
      <c r="A2661">
        <v>2025</v>
      </c>
      <c r="B2661" t="s">
        <v>599</v>
      </c>
      <c r="C2661" t="s">
        <v>609</v>
      </c>
      <c r="D2661" s="19" t="s">
        <v>185</v>
      </c>
      <c r="E2661" s="18" t="s">
        <v>98</v>
      </c>
      <c r="F2661" s="18">
        <v>20</v>
      </c>
      <c r="G2661" s="20">
        <v>829698</v>
      </c>
      <c r="H2661" s="20">
        <v>-8302</v>
      </c>
      <c r="I2661" s="20">
        <v>401060</v>
      </c>
      <c r="J2661" s="8">
        <f t="shared" si="123"/>
        <v>428638</v>
      </c>
      <c r="K2661" s="10">
        <f t="shared" si="124"/>
        <v>0.51661930003447032</v>
      </c>
      <c r="L2661" s="17">
        <f t="shared" si="125"/>
        <v>1.0006050394239832E-2</v>
      </c>
      <c r="M2661" t="str">
        <f>VLOOKUP(D2661,'Jer-Tip-Emp'!B:E,4,0)</f>
        <v>Platos mong</v>
      </c>
      <c r="N2661" t="str">
        <f>VLOOKUP(D2661,'Jer-Tip-Emp'!B:F,5,0)</f>
        <v>No Personal</v>
      </c>
      <c r="O2661" t="str">
        <f>VLOOKUP(D2661,'Jer-Tip-Emp'!B:G,6,0)</f>
        <v>Platos Especiales</v>
      </c>
    </row>
    <row r="2662" spans="1:15" ht="27.5" hidden="1" customHeight="1" x14ac:dyDescent="0.2">
      <c r="A2662">
        <v>2025</v>
      </c>
      <c r="B2662" t="s">
        <v>599</v>
      </c>
      <c r="C2662" t="s">
        <v>609</v>
      </c>
      <c r="D2662" s="19" t="s">
        <v>408</v>
      </c>
      <c r="E2662" s="18" t="s">
        <v>35</v>
      </c>
      <c r="F2662" s="18">
        <v>20</v>
      </c>
      <c r="G2662" s="20">
        <v>70000</v>
      </c>
      <c r="H2662" s="18">
        <v>0</v>
      </c>
      <c r="I2662" s="20">
        <v>17360</v>
      </c>
      <c r="J2662" s="8">
        <f t="shared" si="123"/>
        <v>52640</v>
      </c>
      <c r="K2662" s="10">
        <f t="shared" si="124"/>
        <v>0.752</v>
      </c>
      <c r="L2662" s="17">
        <f t="shared" si="125"/>
        <v>0</v>
      </c>
      <c r="M2662" t="str">
        <f>VLOOKUP(D2662,'Jer-Tip-Emp'!B:E,4,0)</f>
        <v>Bebidas</v>
      </c>
      <c r="N2662" t="str">
        <f>VLOOKUP(D2662,'Jer-Tip-Emp'!B:F,5,0)</f>
        <v>Bebidas</v>
      </c>
      <c r="O2662" t="str">
        <f>VLOOKUP(D2662,'Jer-Tip-Emp'!B:G,6,0)</f>
        <v>Bebidas</v>
      </c>
    </row>
    <row r="2663" spans="1:15" ht="27.5" hidden="1" customHeight="1" x14ac:dyDescent="0.2">
      <c r="A2663">
        <v>2025</v>
      </c>
      <c r="B2663" t="s">
        <v>599</v>
      </c>
      <c r="C2663" t="s">
        <v>609</v>
      </c>
      <c r="D2663" s="19" t="s">
        <v>253</v>
      </c>
      <c r="E2663" s="18" t="s">
        <v>105</v>
      </c>
      <c r="F2663" s="18">
        <v>20</v>
      </c>
      <c r="G2663" s="20">
        <v>90000</v>
      </c>
      <c r="H2663" s="20">
        <v>-10000</v>
      </c>
      <c r="I2663" s="20">
        <v>31380</v>
      </c>
      <c r="J2663" s="8">
        <f t="shared" si="123"/>
        <v>58620</v>
      </c>
      <c r="K2663" s="10">
        <f t="shared" si="124"/>
        <v>0.65133333333333332</v>
      </c>
      <c r="L2663" s="17">
        <f t="shared" si="125"/>
        <v>0.1111111111111111</v>
      </c>
      <c r="M2663" t="str">
        <f>VLOOKUP(D2663,'Jer-Tip-Emp'!B:E,4,0)</f>
        <v>Entradas</v>
      </c>
      <c r="N2663" t="str">
        <f>VLOOKUP(D2663,'Jer-Tip-Emp'!B:F,5,0)</f>
        <v>Otro</v>
      </c>
      <c r="O2663" t="str">
        <f>VLOOKUP(D2663,'Jer-Tip-Emp'!B:G,6,0)</f>
        <v>Otro</v>
      </c>
    </row>
    <row r="2664" spans="1:15" ht="27.5" customHeight="1" x14ac:dyDescent="0.2">
      <c r="A2664">
        <v>2025</v>
      </c>
      <c r="B2664" t="s">
        <v>599</v>
      </c>
      <c r="C2664" t="s">
        <v>609</v>
      </c>
      <c r="D2664" s="19" t="s">
        <v>205</v>
      </c>
      <c r="E2664" s="18" t="s">
        <v>141</v>
      </c>
      <c r="F2664" s="18">
        <v>19</v>
      </c>
      <c r="G2664" s="20">
        <v>283100</v>
      </c>
      <c r="H2664" s="18">
        <v>0</v>
      </c>
      <c r="I2664" s="20">
        <v>115216</v>
      </c>
      <c r="J2664" s="8">
        <f t="shared" si="123"/>
        <v>167884</v>
      </c>
      <c r="K2664" s="10">
        <f t="shared" si="124"/>
        <v>0.59302013422818789</v>
      </c>
      <c r="L2664" s="17">
        <f t="shared" si="125"/>
        <v>0</v>
      </c>
      <c r="M2664" t="str">
        <f>VLOOKUP(D2664,'Jer-Tip-Emp'!B:E,4,0)</f>
        <v>Platos mong</v>
      </c>
      <c r="N2664" t="str">
        <f>VLOOKUP(D2664,'Jer-Tip-Emp'!B:F,5,0)</f>
        <v>Personal</v>
      </c>
      <c r="O2664" t="str">
        <f>VLOOKUP(D2664,'Jer-Tip-Emp'!B:G,6,0)</f>
        <v>Caja</v>
      </c>
    </row>
    <row r="2665" spans="1:15" ht="27.5" hidden="1" customHeight="1" x14ac:dyDescent="0.2">
      <c r="A2665">
        <v>2025</v>
      </c>
      <c r="B2665" t="s">
        <v>599</v>
      </c>
      <c r="C2665" t="s">
        <v>609</v>
      </c>
      <c r="D2665" s="19" t="s">
        <v>351</v>
      </c>
      <c r="E2665" s="18" t="s">
        <v>55</v>
      </c>
      <c r="F2665" s="18">
        <v>19</v>
      </c>
      <c r="G2665" s="20">
        <v>104500</v>
      </c>
      <c r="H2665" s="18">
        <v>0</v>
      </c>
      <c r="I2665" s="20">
        <v>27512</v>
      </c>
      <c r="J2665" s="8">
        <f t="shared" si="123"/>
        <v>76988</v>
      </c>
      <c r="K2665" s="10">
        <f t="shared" si="124"/>
        <v>0.73672727272727268</v>
      </c>
      <c r="L2665" s="17">
        <f t="shared" si="125"/>
        <v>0</v>
      </c>
      <c r="M2665" t="str">
        <f>VLOOKUP(D2665,'Jer-Tip-Emp'!B:E,4,0)</f>
        <v>Bebidas</v>
      </c>
      <c r="N2665" t="str">
        <f>VLOOKUP(D2665,'Jer-Tip-Emp'!B:F,5,0)</f>
        <v>Bebidas</v>
      </c>
      <c r="O2665" t="str">
        <f>VLOOKUP(D2665,'Jer-Tip-Emp'!B:G,6,0)</f>
        <v>Bebidas</v>
      </c>
    </row>
    <row r="2666" spans="1:15" ht="27.5" customHeight="1" x14ac:dyDescent="0.2">
      <c r="A2666">
        <v>2025</v>
      </c>
      <c r="B2666" t="s">
        <v>599</v>
      </c>
      <c r="C2666" t="s">
        <v>609</v>
      </c>
      <c r="D2666" s="19" t="s">
        <v>246</v>
      </c>
      <c r="E2666" s="18" t="s">
        <v>29</v>
      </c>
      <c r="F2666" s="18">
        <v>19</v>
      </c>
      <c r="G2666" s="20">
        <v>127618</v>
      </c>
      <c r="H2666" s="20">
        <v>-3482</v>
      </c>
      <c r="I2666" s="18">
        <v>0</v>
      </c>
      <c r="J2666" s="8">
        <f t="shared" si="123"/>
        <v>127618</v>
      </c>
      <c r="K2666" s="10">
        <f t="shared" si="124"/>
        <v>1</v>
      </c>
      <c r="L2666" s="17">
        <f t="shared" si="125"/>
        <v>2.7284552335877385E-2</v>
      </c>
      <c r="M2666" t="str">
        <f>VLOOKUP(D2666,'Jer-Tip-Emp'!B:E,4,0)</f>
        <v>Armalo en combo</v>
      </c>
      <c r="N2666" t="str">
        <f>VLOOKUP(D2666,'Jer-Tip-Emp'!B:F,5,0)</f>
        <v>Personal</v>
      </c>
      <c r="O2666" t="str">
        <f>VLOOKUP(D2666,'Jer-Tip-Emp'!B:G,6,0)</f>
        <v>Combo</v>
      </c>
    </row>
    <row r="2667" spans="1:15" ht="27.5" customHeight="1" x14ac:dyDescent="0.2">
      <c r="A2667">
        <v>2025</v>
      </c>
      <c r="B2667" t="s">
        <v>599</v>
      </c>
      <c r="C2667" t="s">
        <v>609</v>
      </c>
      <c r="D2667" s="19" t="s">
        <v>244</v>
      </c>
      <c r="E2667" s="18" t="s">
        <v>113</v>
      </c>
      <c r="F2667" s="18">
        <v>19</v>
      </c>
      <c r="G2667" s="20">
        <v>534795</v>
      </c>
      <c r="H2667" s="20">
        <v>-71305</v>
      </c>
      <c r="I2667" s="20">
        <v>144495</v>
      </c>
      <c r="J2667" s="8">
        <f t="shared" si="123"/>
        <v>390300</v>
      </c>
      <c r="K2667" s="10">
        <f t="shared" si="124"/>
        <v>0.72981235800633892</v>
      </c>
      <c r="L2667" s="17">
        <f t="shared" si="125"/>
        <v>0.13333146345796051</v>
      </c>
      <c r="M2667" t="str">
        <f>VLOOKUP(D2667,'Jer-Tip-Emp'!B:E,4,0)</f>
        <v>Platos especiales</v>
      </c>
      <c r="N2667" t="str">
        <f>VLOOKUP(D2667,'Jer-Tip-Emp'!B:F,5,0)</f>
        <v>Personal</v>
      </c>
      <c r="O2667" t="str">
        <f>VLOOKUP(D2667,'Jer-Tip-Emp'!B:G,6,0)</f>
        <v>Platos especiales</v>
      </c>
    </row>
    <row r="2668" spans="1:15" ht="27.5" hidden="1" customHeight="1" x14ac:dyDescent="0.2">
      <c r="A2668">
        <v>2025</v>
      </c>
      <c r="B2668" t="s">
        <v>599</v>
      </c>
      <c r="C2668" t="s">
        <v>609</v>
      </c>
      <c r="D2668" s="19" t="s">
        <v>337</v>
      </c>
      <c r="E2668" s="18" t="s">
        <v>58</v>
      </c>
      <c r="F2668" s="18">
        <v>18</v>
      </c>
      <c r="G2668" s="20">
        <v>88200</v>
      </c>
      <c r="H2668" s="18">
        <v>0</v>
      </c>
      <c r="I2668" s="20">
        <v>28080</v>
      </c>
      <c r="J2668" s="8">
        <f t="shared" si="123"/>
        <v>60120</v>
      </c>
      <c r="K2668" s="10">
        <f t="shared" si="124"/>
        <v>0.68163265306122445</v>
      </c>
      <c r="L2668" s="17">
        <f t="shared" si="125"/>
        <v>0</v>
      </c>
      <c r="M2668" t="str">
        <f>VLOOKUP(D2668,'Jer-Tip-Emp'!B:E,4,0)</f>
        <v>Bebidas</v>
      </c>
      <c r="N2668" t="str">
        <f>VLOOKUP(D2668,'Jer-Tip-Emp'!B:F,5,0)</f>
        <v>Bebidas</v>
      </c>
      <c r="O2668" t="str">
        <f>VLOOKUP(D2668,'Jer-Tip-Emp'!B:G,6,0)</f>
        <v>Bebidas</v>
      </c>
    </row>
    <row r="2669" spans="1:15" ht="27.5" hidden="1" customHeight="1" x14ac:dyDescent="0.2">
      <c r="A2669">
        <v>2025</v>
      </c>
      <c r="B2669" t="s">
        <v>599</v>
      </c>
      <c r="C2669" t="s">
        <v>609</v>
      </c>
      <c r="D2669" s="19" t="s">
        <v>268</v>
      </c>
      <c r="E2669" s="18" t="s">
        <v>17</v>
      </c>
      <c r="F2669" s="18">
        <v>18</v>
      </c>
      <c r="G2669" s="20">
        <v>90000</v>
      </c>
      <c r="H2669" s="18">
        <v>0</v>
      </c>
      <c r="I2669" s="20">
        <v>23076</v>
      </c>
      <c r="J2669" s="8">
        <f t="shared" si="123"/>
        <v>66924</v>
      </c>
      <c r="K2669" s="10">
        <f t="shared" si="124"/>
        <v>0.74360000000000004</v>
      </c>
      <c r="L2669" s="17">
        <f t="shared" si="125"/>
        <v>0</v>
      </c>
      <c r="M2669" t="str">
        <f>VLOOKUP(D2669,'Jer-Tip-Emp'!B:E,4,0)</f>
        <v>Adición</v>
      </c>
      <c r="N2669" t="str">
        <f>VLOOKUP(D2669,'Jer-Tip-Emp'!B:F,5,0)</f>
        <v>Adición</v>
      </c>
      <c r="O2669" t="str">
        <f>VLOOKUP(D2669,'Jer-Tip-Emp'!B:G,6,0)</f>
        <v>Adición</v>
      </c>
    </row>
    <row r="2670" spans="1:15" ht="27.5" customHeight="1" x14ac:dyDescent="0.2">
      <c r="A2670">
        <v>2025</v>
      </c>
      <c r="B2670" t="s">
        <v>599</v>
      </c>
      <c r="C2670" t="s">
        <v>609</v>
      </c>
      <c r="D2670" s="19" t="s">
        <v>223</v>
      </c>
      <c r="E2670" s="18" t="s">
        <v>116</v>
      </c>
      <c r="F2670" s="18">
        <v>17</v>
      </c>
      <c r="G2670" s="20">
        <v>468001</v>
      </c>
      <c r="H2670" s="20">
        <v>-40299</v>
      </c>
      <c r="I2670" s="20">
        <v>231846</v>
      </c>
      <c r="J2670" s="8">
        <f t="shared" si="123"/>
        <v>236155</v>
      </c>
      <c r="K2670" s="10">
        <f t="shared" si="124"/>
        <v>0.50460362264183201</v>
      </c>
      <c r="L2670" s="17">
        <f t="shared" si="125"/>
        <v>8.6108790365832549E-2</v>
      </c>
      <c r="M2670" t="str">
        <f>VLOOKUP(D2670,'Jer-Tip-Emp'!B:E,4,0)</f>
        <v>Platos especiales</v>
      </c>
      <c r="N2670" t="str">
        <f>VLOOKUP(D2670,'Jer-Tip-Emp'!B:F,5,0)</f>
        <v>Personal</v>
      </c>
      <c r="O2670" t="str">
        <f>VLOOKUP(D2670,'Jer-Tip-Emp'!B:G,6,0)</f>
        <v>Platos especiales</v>
      </c>
    </row>
    <row r="2671" spans="1:15" ht="27.5" hidden="1" customHeight="1" x14ac:dyDescent="0.2">
      <c r="A2671">
        <v>2025</v>
      </c>
      <c r="B2671" t="s">
        <v>599</v>
      </c>
      <c r="C2671" t="s">
        <v>609</v>
      </c>
      <c r="D2671" s="19" t="s">
        <v>326</v>
      </c>
      <c r="E2671" s="18" t="s">
        <v>69</v>
      </c>
      <c r="F2671" s="18">
        <v>17</v>
      </c>
      <c r="G2671" s="20">
        <v>81309</v>
      </c>
      <c r="H2671" s="20">
        <v>-1991</v>
      </c>
      <c r="I2671" s="20">
        <v>22610</v>
      </c>
      <c r="J2671" s="8">
        <f t="shared" si="123"/>
        <v>58699</v>
      </c>
      <c r="K2671" s="10">
        <f t="shared" si="124"/>
        <v>0.72192500215228328</v>
      </c>
      <c r="L2671" s="17">
        <f t="shared" si="125"/>
        <v>2.4486834175798496E-2</v>
      </c>
      <c r="M2671" t="str">
        <f>VLOOKUP(D2671,'Jer-Tip-Emp'!B:E,4,0)</f>
        <v>Bebidas</v>
      </c>
      <c r="N2671" t="str">
        <f>VLOOKUP(D2671,'Jer-Tip-Emp'!B:F,5,0)</f>
        <v>Bebidas</v>
      </c>
      <c r="O2671" t="str">
        <f>VLOOKUP(D2671,'Jer-Tip-Emp'!B:G,6,0)</f>
        <v>Bebidas</v>
      </c>
    </row>
    <row r="2672" spans="1:15" ht="27.5" hidden="1" customHeight="1" x14ac:dyDescent="0.2">
      <c r="A2672">
        <v>2025</v>
      </c>
      <c r="B2672" t="s">
        <v>599</v>
      </c>
      <c r="C2672" t="s">
        <v>609</v>
      </c>
      <c r="D2672" s="19" t="s">
        <v>382</v>
      </c>
      <c r="E2672" s="18" t="s">
        <v>42</v>
      </c>
      <c r="F2672" s="18">
        <v>16</v>
      </c>
      <c r="G2672" s="20">
        <v>78400</v>
      </c>
      <c r="H2672" s="18">
        <v>0</v>
      </c>
      <c r="I2672" s="20">
        <v>21968</v>
      </c>
      <c r="J2672" s="8">
        <f t="shared" si="123"/>
        <v>56432</v>
      </c>
      <c r="K2672" s="10">
        <f t="shared" si="124"/>
        <v>0.71979591836734691</v>
      </c>
      <c r="L2672" s="17">
        <f t="shared" si="125"/>
        <v>0</v>
      </c>
      <c r="M2672" t="str">
        <f>VLOOKUP(D2672,'Jer-Tip-Emp'!B:E,4,0)</f>
        <v>Bebidas</v>
      </c>
      <c r="N2672" t="str">
        <f>VLOOKUP(D2672,'Jer-Tip-Emp'!B:F,5,0)</f>
        <v>Bebidas</v>
      </c>
      <c r="O2672" t="str">
        <f>VLOOKUP(D2672,'Jer-Tip-Emp'!B:G,6,0)</f>
        <v>Bebidas</v>
      </c>
    </row>
    <row r="2673" spans="1:15" ht="27.5" hidden="1" customHeight="1" x14ac:dyDescent="0.2">
      <c r="A2673">
        <v>2025</v>
      </c>
      <c r="B2673" t="s">
        <v>599</v>
      </c>
      <c r="C2673" t="s">
        <v>609</v>
      </c>
      <c r="D2673" s="19" t="s">
        <v>336</v>
      </c>
      <c r="E2673" s="18" t="s">
        <v>60</v>
      </c>
      <c r="F2673" s="18">
        <v>14</v>
      </c>
      <c r="G2673" s="20">
        <v>68465</v>
      </c>
      <c r="H2673" s="18">
        <v>-135</v>
      </c>
      <c r="I2673" s="20">
        <v>21840</v>
      </c>
      <c r="J2673" s="8">
        <f t="shared" si="123"/>
        <v>46625</v>
      </c>
      <c r="K2673" s="10">
        <f t="shared" si="124"/>
        <v>0.68100489301102751</v>
      </c>
      <c r="L2673" s="17">
        <f t="shared" si="125"/>
        <v>1.9718104140801869E-3</v>
      </c>
      <c r="M2673" t="str">
        <f>VLOOKUP(D2673,'Jer-Tip-Emp'!B:E,4,0)</f>
        <v>Bebidas</v>
      </c>
      <c r="N2673" t="str">
        <f>VLOOKUP(D2673,'Jer-Tip-Emp'!B:F,5,0)</f>
        <v>Bebidas</v>
      </c>
      <c r="O2673" t="str">
        <f>VLOOKUP(D2673,'Jer-Tip-Emp'!B:G,6,0)</f>
        <v>Bebidas</v>
      </c>
    </row>
    <row r="2674" spans="1:15" ht="27.5" hidden="1" customHeight="1" x14ac:dyDescent="0.2">
      <c r="A2674">
        <v>2025</v>
      </c>
      <c r="B2674" t="s">
        <v>599</v>
      </c>
      <c r="C2674" t="s">
        <v>609</v>
      </c>
      <c r="D2674" s="19" t="s">
        <v>282</v>
      </c>
      <c r="E2674" s="18" t="s">
        <v>19</v>
      </c>
      <c r="F2674" s="18">
        <v>14</v>
      </c>
      <c r="G2674" s="20">
        <v>82600</v>
      </c>
      <c r="H2674" s="18">
        <v>0</v>
      </c>
      <c r="I2674" s="20">
        <v>57372</v>
      </c>
      <c r="J2674" s="8">
        <f t="shared" si="123"/>
        <v>25228</v>
      </c>
      <c r="K2674" s="10">
        <f t="shared" si="124"/>
        <v>0.30542372881355934</v>
      </c>
      <c r="L2674" s="17">
        <f t="shared" si="125"/>
        <v>0</v>
      </c>
      <c r="M2674" t="str">
        <f>VLOOKUP(D2674,'Jer-Tip-Emp'!B:E,4,0)</f>
        <v>Adición</v>
      </c>
      <c r="N2674" t="str">
        <f>VLOOKUP(D2674,'Jer-Tip-Emp'!B:F,5,0)</f>
        <v>Adición</v>
      </c>
      <c r="O2674" t="str">
        <f>VLOOKUP(D2674,'Jer-Tip-Emp'!B:G,6,0)</f>
        <v>Adición</v>
      </c>
    </row>
    <row r="2675" spans="1:15" ht="27.5" customHeight="1" x14ac:dyDescent="0.2">
      <c r="A2675">
        <v>2025</v>
      </c>
      <c r="B2675" t="s">
        <v>599</v>
      </c>
      <c r="C2675" t="s">
        <v>609</v>
      </c>
      <c r="D2675" s="19" t="s">
        <v>474</v>
      </c>
      <c r="E2675" s="18" t="s">
        <v>553</v>
      </c>
      <c r="F2675" s="18">
        <v>14</v>
      </c>
      <c r="G2675" s="18">
        <v>0</v>
      </c>
      <c r="H2675" s="18">
        <v>0</v>
      </c>
      <c r="I2675" s="20">
        <v>39886</v>
      </c>
      <c r="J2675" s="8">
        <f t="shared" si="123"/>
        <v>-39886</v>
      </c>
      <c r="K2675" s="10">
        <f t="shared" si="124"/>
        <v>0</v>
      </c>
      <c r="L2675" s="17">
        <f t="shared" si="125"/>
        <v>0</v>
      </c>
      <c r="M2675" t="str">
        <f>VLOOKUP(D2675,'Jer-Tip-Emp'!B:E,4,0)</f>
        <v>Arma tu plato</v>
      </c>
      <c r="N2675" t="str">
        <f>VLOOKUP(D2675,'Jer-Tip-Emp'!B:F,5,0)</f>
        <v>Personal</v>
      </c>
      <c r="O2675" t="str">
        <f>VLOOKUP(D2675,'Jer-Tip-Emp'!B:G,6,0)</f>
        <v>Caja</v>
      </c>
    </row>
    <row r="2676" spans="1:15" ht="27.5" customHeight="1" x14ac:dyDescent="0.2">
      <c r="A2676">
        <v>2025</v>
      </c>
      <c r="B2676" t="s">
        <v>599</v>
      </c>
      <c r="C2676" t="s">
        <v>609</v>
      </c>
      <c r="D2676" s="19" t="s">
        <v>285</v>
      </c>
      <c r="E2676" s="18" t="s">
        <v>146</v>
      </c>
      <c r="F2676" s="18">
        <v>13</v>
      </c>
      <c r="G2676" s="20">
        <v>256765</v>
      </c>
      <c r="H2676" s="20">
        <v>-1935</v>
      </c>
      <c r="I2676" s="20">
        <v>110032</v>
      </c>
      <c r="J2676" s="8">
        <f t="shared" si="123"/>
        <v>146733</v>
      </c>
      <c r="K2676" s="10">
        <f t="shared" si="124"/>
        <v>0.57146807391973209</v>
      </c>
      <c r="L2676" s="17">
        <f t="shared" si="125"/>
        <v>7.5360738418398148E-3</v>
      </c>
      <c r="M2676" t="str">
        <f>VLOOKUP(D2676,'Jer-Tip-Emp'!B:E,4,0)</f>
        <v>Platos mong</v>
      </c>
      <c r="N2676" t="str">
        <f>VLOOKUP(D2676,'Jer-Tip-Emp'!B:F,5,0)</f>
        <v>Personal</v>
      </c>
      <c r="O2676" t="str">
        <f>VLOOKUP(D2676,'Jer-Tip-Emp'!B:G,6,0)</f>
        <v>Caja</v>
      </c>
    </row>
    <row r="2677" spans="1:15" ht="27.5" hidden="1" customHeight="1" x14ac:dyDescent="0.2">
      <c r="A2677">
        <v>2025</v>
      </c>
      <c r="B2677" t="s">
        <v>599</v>
      </c>
      <c r="C2677" t="s">
        <v>609</v>
      </c>
      <c r="D2677" s="19" t="s">
        <v>403</v>
      </c>
      <c r="E2677" s="18" t="s">
        <v>45</v>
      </c>
      <c r="F2677" s="18">
        <v>13</v>
      </c>
      <c r="G2677" s="20">
        <v>128700</v>
      </c>
      <c r="H2677" s="18">
        <v>0</v>
      </c>
      <c r="I2677" s="20">
        <v>58513</v>
      </c>
      <c r="J2677" s="8">
        <f t="shared" si="123"/>
        <v>70187</v>
      </c>
      <c r="K2677" s="10">
        <f t="shared" si="124"/>
        <v>0.54535353535353537</v>
      </c>
      <c r="L2677" s="17">
        <f t="shared" si="125"/>
        <v>0</v>
      </c>
      <c r="M2677" t="str">
        <f>VLOOKUP(D2677,'Jer-Tip-Emp'!B:E,4,0)</f>
        <v>Bebidas</v>
      </c>
      <c r="N2677" t="str">
        <f>VLOOKUP(D2677,'Jer-Tip-Emp'!B:F,5,0)</f>
        <v>Bebidas</v>
      </c>
      <c r="O2677" t="str">
        <f>VLOOKUP(D2677,'Jer-Tip-Emp'!B:G,6,0)</f>
        <v>Bebidas</v>
      </c>
    </row>
    <row r="2678" spans="1:15" ht="27.5" hidden="1" customHeight="1" x14ac:dyDescent="0.2">
      <c r="A2678">
        <v>2025</v>
      </c>
      <c r="B2678" t="s">
        <v>599</v>
      </c>
      <c r="C2678" t="s">
        <v>609</v>
      </c>
      <c r="D2678" s="19" t="s">
        <v>364</v>
      </c>
      <c r="E2678" s="18" t="s">
        <v>51</v>
      </c>
      <c r="F2678" s="18">
        <v>13</v>
      </c>
      <c r="G2678" s="20">
        <v>45500</v>
      </c>
      <c r="H2678" s="18">
        <v>0</v>
      </c>
      <c r="I2678" s="20">
        <v>16783</v>
      </c>
      <c r="J2678" s="8">
        <f t="shared" si="123"/>
        <v>28717</v>
      </c>
      <c r="K2678" s="10">
        <f t="shared" si="124"/>
        <v>0.63114285714285712</v>
      </c>
      <c r="L2678" s="17">
        <f t="shared" si="125"/>
        <v>0</v>
      </c>
      <c r="M2678" t="str">
        <f>VLOOKUP(D2678,'Jer-Tip-Emp'!B:E,4,0)</f>
        <v>Bebidas</v>
      </c>
      <c r="N2678" t="str">
        <f>VLOOKUP(D2678,'Jer-Tip-Emp'!B:F,5,0)</f>
        <v>Bebidas</v>
      </c>
      <c r="O2678" t="str">
        <f>VLOOKUP(D2678,'Jer-Tip-Emp'!B:G,6,0)</f>
        <v>Bebidas</v>
      </c>
    </row>
    <row r="2679" spans="1:15" ht="27.5" hidden="1" customHeight="1" x14ac:dyDescent="0.2">
      <c r="A2679">
        <v>2025</v>
      </c>
      <c r="B2679" t="s">
        <v>599</v>
      </c>
      <c r="C2679" t="s">
        <v>609</v>
      </c>
      <c r="D2679" s="19" t="s">
        <v>330</v>
      </c>
      <c r="E2679" s="18" t="s">
        <v>38</v>
      </c>
      <c r="F2679" s="18">
        <v>11</v>
      </c>
      <c r="G2679" s="20">
        <v>49000</v>
      </c>
      <c r="H2679" s="20">
        <v>-4900</v>
      </c>
      <c r="I2679" s="20">
        <v>14168</v>
      </c>
      <c r="J2679" s="8">
        <f t="shared" si="123"/>
        <v>34832</v>
      </c>
      <c r="K2679" s="10">
        <f t="shared" si="124"/>
        <v>0.71085714285714285</v>
      </c>
      <c r="L2679" s="17">
        <f t="shared" si="125"/>
        <v>0.1</v>
      </c>
      <c r="M2679" t="str">
        <f>VLOOKUP(D2679,'Jer-Tip-Emp'!B:E,4,0)</f>
        <v>Bebidas</v>
      </c>
      <c r="N2679" t="str">
        <f>VLOOKUP(D2679,'Jer-Tip-Emp'!B:F,5,0)</f>
        <v>Bebidas</v>
      </c>
      <c r="O2679" t="str">
        <f>VLOOKUP(D2679,'Jer-Tip-Emp'!B:G,6,0)</f>
        <v>Bebidas</v>
      </c>
    </row>
    <row r="2680" spans="1:15" ht="27.5" customHeight="1" x14ac:dyDescent="0.2">
      <c r="A2680">
        <v>2025</v>
      </c>
      <c r="B2680" t="s">
        <v>599</v>
      </c>
      <c r="C2680" t="s">
        <v>609</v>
      </c>
      <c r="D2680" s="19" t="s">
        <v>199</v>
      </c>
      <c r="E2680" s="18" t="s">
        <v>115</v>
      </c>
      <c r="F2680" s="18">
        <v>11</v>
      </c>
      <c r="G2680" s="20">
        <v>119900</v>
      </c>
      <c r="H2680" s="18">
        <v>0</v>
      </c>
      <c r="I2680" s="18">
        <v>0</v>
      </c>
      <c r="J2680" s="8">
        <f t="shared" si="123"/>
        <v>119900</v>
      </c>
      <c r="K2680" s="10">
        <f t="shared" si="124"/>
        <v>1</v>
      </c>
      <c r="L2680" s="17">
        <f t="shared" si="125"/>
        <v>0</v>
      </c>
      <c r="M2680" t="str">
        <f>VLOOKUP(D2680,'Jer-Tip-Emp'!B:E,4,0)</f>
        <v>Platos especiales</v>
      </c>
      <c r="N2680" t="str">
        <f>VLOOKUP(D2680,'Jer-Tip-Emp'!B:F,5,0)</f>
        <v>Personal</v>
      </c>
      <c r="O2680" t="str">
        <f>VLOOKUP(D2680,'Jer-Tip-Emp'!B:G,6,0)</f>
        <v>Platos especiales</v>
      </c>
    </row>
    <row r="2681" spans="1:15" ht="27.5" hidden="1" customHeight="1" x14ac:dyDescent="0.2">
      <c r="A2681">
        <v>2025</v>
      </c>
      <c r="B2681" t="s">
        <v>599</v>
      </c>
      <c r="C2681" t="s">
        <v>609</v>
      </c>
      <c r="D2681" s="19" t="s">
        <v>193</v>
      </c>
      <c r="E2681" s="18" t="s">
        <v>18</v>
      </c>
      <c r="F2681" s="18">
        <v>11</v>
      </c>
      <c r="G2681" s="20">
        <v>97580</v>
      </c>
      <c r="H2681" s="18">
        <v>-320</v>
      </c>
      <c r="I2681" s="20">
        <v>34188</v>
      </c>
      <c r="J2681" s="8">
        <f t="shared" si="123"/>
        <v>63392</v>
      </c>
      <c r="K2681" s="10">
        <f t="shared" si="124"/>
        <v>0.64964131994261121</v>
      </c>
      <c r="L2681" s="17">
        <f t="shared" si="125"/>
        <v>3.279360524697684E-3</v>
      </c>
      <c r="M2681" t="str">
        <f>VLOOKUP(D2681,'Jer-Tip-Emp'!B:E,4,0)</f>
        <v>Adición</v>
      </c>
      <c r="N2681" t="str">
        <f>VLOOKUP(D2681,'Jer-Tip-Emp'!B:F,5,0)</f>
        <v>Adición</v>
      </c>
      <c r="O2681" t="str">
        <f>VLOOKUP(D2681,'Jer-Tip-Emp'!B:G,6,0)</f>
        <v>Adición</v>
      </c>
    </row>
    <row r="2682" spans="1:15" ht="27.5" hidden="1" customHeight="1" x14ac:dyDescent="0.2">
      <c r="A2682">
        <v>2025</v>
      </c>
      <c r="B2682" t="s">
        <v>599</v>
      </c>
      <c r="C2682" t="s">
        <v>609</v>
      </c>
      <c r="D2682" s="19" t="s">
        <v>296</v>
      </c>
      <c r="E2682" s="18" t="s">
        <v>22</v>
      </c>
      <c r="F2682" s="18">
        <v>11</v>
      </c>
      <c r="G2682" s="20">
        <v>74800</v>
      </c>
      <c r="H2682" s="18">
        <v>0</v>
      </c>
      <c r="I2682" s="20">
        <v>7579</v>
      </c>
      <c r="J2682" s="8">
        <f t="shared" si="123"/>
        <v>67221</v>
      </c>
      <c r="K2682" s="10">
        <f t="shared" si="124"/>
        <v>0.8986764705882353</v>
      </c>
      <c r="L2682" s="17">
        <f t="shared" si="125"/>
        <v>0</v>
      </c>
      <c r="M2682" t="str">
        <f>VLOOKUP(D2682,'Jer-Tip-Emp'!B:E,4,0)</f>
        <v>Adición</v>
      </c>
      <c r="N2682" t="str">
        <f>VLOOKUP(D2682,'Jer-Tip-Emp'!B:F,5,0)</f>
        <v>Adición</v>
      </c>
      <c r="O2682" t="str">
        <f>VLOOKUP(D2682,'Jer-Tip-Emp'!B:G,6,0)</f>
        <v>Adición</v>
      </c>
    </row>
    <row r="2683" spans="1:15" ht="27.5" hidden="1" customHeight="1" x14ac:dyDescent="0.2">
      <c r="A2683">
        <v>2025</v>
      </c>
      <c r="B2683" t="s">
        <v>599</v>
      </c>
      <c r="C2683" t="s">
        <v>609</v>
      </c>
      <c r="D2683" s="19" t="s">
        <v>183</v>
      </c>
      <c r="E2683" s="18" t="s">
        <v>104</v>
      </c>
      <c r="F2683" s="18">
        <v>11</v>
      </c>
      <c r="G2683" s="20">
        <v>185900</v>
      </c>
      <c r="H2683" s="18">
        <v>0</v>
      </c>
      <c r="I2683" s="20">
        <v>110308</v>
      </c>
      <c r="J2683" s="8">
        <f t="shared" si="123"/>
        <v>75592</v>
      </c>
      <c r="K2683" s="10">
        <f t="shared" si="124"/>
        <v>0.40662721893491122</v>
      </c>
      <c r="L2683" s="17">
        <f t="shared" si="125"/>
        <v>0</v>
      </c>
      <c r="M2683" t="str">
        <f>VLOOKUP(D2683,'Jer-Tip-Emp'!B:E,4,0)</f>
        <v>Entradas</v>
      </c>
      <c r="N2683" t="str">
        <f>VLOOKUP(D2683,'Jer-Tip-Emp'!B:F,5,0)</f>
        <v>Otro</v>
      </c>
      <c r="O2683" t="str">
        <f>VLOOKUP(D2683,'Jer-Tip-Emp'!B:G,6,0)</f>
        <v>Otro</v>
      </c>
    </row>
    <row r="2684" spans="1:15" ht="27.5" customHeight="1" x14ac:dyDescent="0.2">
      <c r="A2684">
        <v>2025</v>
      </c>
      <c r="B2684" t="s">
        <v>599</v>
      </c>
      <c r="C2684" t="s">
        <v>609</v>
      </c>
      <c r="D2684" s="19" t="s">
        <v>219</v>
      </c>
      <c r="E2684" s="18" t="s">
        <v>111</v>
      </c>
      <c r="F2684" s="18">
        <v>11</v>
      </c>
      <c r="G2684" s="20">
        <v>299947</v>
      </c>
      <c r="H2684" s="20">
        <v>-28953</v>
      </c>
      <c r="I2684" s="20">
        <v>149237</v>
      </c>
      <c r="J2684" s="8">
        <f t="shared" si="123"/>
        <v>150710</v>
      </c>
      <c r="K2684" s="10">
        <f t="shared" si="124"/>
        <v>0.50245543379330349</v>
      </c>
      <c r="L2684" s="17">
        <f t="shared" si="125"/>
        <v>9.6527053112716574E-2</v>
      </c>
      <c r="M2684" t="str">
        <f>VLOOKUP(D2684,'Jer-Tip-Emp'!B:E,4,0)</f>
        <v>Platos especiales</v>
      </c>
      <c r="N2684" t="str">
        <f>VLOOKUP(D2684,'Jer-Tip-Emp'!B:F,5,0)</f>
        <v>Personal</v>
      </c>
      <c r="O2684" t="str">
        <f>VLOOKUP(D2684,'Jer-Tip-Emp'!B:G,6,0)</f>
        <v>Platos especiales</v>
      </c>
    </row>
    <row r="2685" spans="1:15" ht="27.5" customHeight="1" x14ac:dyDescent="0.2">
      <c r="A2685">
        <v>2025</v>
      </c>
      <c r="B2685" t="s">
        <v>599</v>
      </c>
      <c r="C2685" t="s">
        <v>609</v>
      </c>
      <c r="D2685" s="19" t="s">
        <v>224</v>
      </c>
      <c r="E2685" s="18" t="s">
        <v>114</v>
      </c>
      <c r="F2685" s="18">
        <v>10</v>
      </c>
      <c r="G2685" s="20">
        <v>255372</v>
      </c>
      <c r="H2685" s="20">
        <v>-23628</v>
      </c>
      <c r="I2685" s="20">
        <v>127180</v>
      </c>
      <c r="J2685" s="8">
        <f t="shared" si="123"/>
        <v>128192</v>
      </c>
      <c r="K2685" s="10">
        <f t="shared" si="124"/>
        <v>0.50198142317873529</v>
      </c>
      <c r="L2685" s="17">
        <f t="shared" si="125"/>
        <v>9.2523847563554348E-2</v>
      </c>
      <c r="M2685" t="str">
        <f>VLOOKUP(D2685,'Jer-Tip-Emp'!B:E,4,0)</f>
        <v>Platos especiales</v>
      </c>
      <c r="N2685" t="str">
        <f>VLOOKUP(D2685,'Jer-Tip-Emp'!B:F,5,0)</f>
        <v>Personal</v>
      </c>
      <c r="O2685" t="str">
        <f>VLOOKUP(D2685,'Jer-Tip-Emp'!B:G,6,0)</f>
        <v>Platos especiales</v>
      </c>
    </row>
    <row r="2686" spans="1:15" ht="27.5" customHeight="1" x14ac:dyDescent="0.2">
      <c r="A2686">
        <v>2025</v>
      </c>
      <c r="B2686" t="s">
        <v>599</v>
      </c>
      <c r="C2686" t="s">
        <v>609</v>
      </c>
      <c r="D2686" s="19" t="s">
        <v>261</v>
      </c>
      <c r="E2686" s="18" t="s">
        <v>135</v>
      </c>
      <c r="F2686" s="18">
        <v>10</v>
      </c>
      <c r="G2686" s="20">
        <v>159000</v>
      </c>
      <c r="H2686" s="18">
        <v>0</v>
      </c>
      <c r="I2686" s="20">
        <v>54660</v>
      </c>
      <c r="J2686" s="8">
        <f t="shared" si="123"/>
        <v>104340</v>
      </c>
      <c r="K2686" s="10">
        <f t="shared" si="124"/>
        <v>0.65622641509433965</v>
      </c>
      <c r="L2686" s="17">
        <f t="shared" si="125"/>
        <v>0</v>
      </c>
      <c r="M2686" t="str">
        <f>VLOOKUP(D2686,'Jer-Tip-Emp'!B:E,4,0)</f>
        <v>Platos mong</v>
      </c>
      <c r="N2686" t="str">
        <f>VLOOKUP(D2686,'Jer-Tip-Emp'!B:F,5,0)</f>
        <v>Personal</v>
      </c>
      <c r="O2686" t="str">
        <f>VLOOKUP(D2686,'Jer-Tip-Emp'!B:G,6,0)</f>
        <v>Caja</v>
      </c>
    </row>
    <row r="2687" spans="1:15" ht="27.5" hidden="1" customHeight="1" x14ac:dyDescent="0.2">
      <c r="A2687">
        <v>2025</v>
      </c>
      <c r="B2687" t="s">
        <v>599</v>
      </c>
      <c r="C2687" t="s">
        <v>609</v>
      </c>
      <c r="D2687" s="19" t="s">
        <v>321</v>
      </c>
      <c r="E2687" s="18" t="s">
        <v>72</v>
      </c>
      <c r="F2687" s="18">
        <v>10</v>
      </c>
      <c r="G2687" s="20">
        <v>48909</v>
      </c>
      <c r="H2687" s="18">
        <v>-91</v>
      </c>
      <c r="I2687" s="20">
        <v>13300</v>
      </c>
      <c r="J2687" s="8">
        <f t="shared" si="123"/>
        <v>35609</v>
      </c>
      <c r="K2687" s="10">
        <f t="shared" si="124"/>
        <v>0.72806640904537001</v>
      </c>
      <c r="L2687" s="17">
        <f t="shared" si="125"/>
        <v>1.8605982539001001E-3</v>
      </c>
      <c r="M2687" t="str">
        <f>VLOOKUP(D2687,'Jer-Tip-Emp'!B:E,4,0)</f>
        <v>Bebidas</v>
      </c>
      <c r="N2687" t="str">
        <f>VLOOKUP(D2687,'Jer-Tip-Emp'!B:F,5,0)</f>
        <v>Bebidas</v>
      </c>
      <c r="O2687" t="str">
        <f>VLOOKUP(D2687,'Jer-Tip-Emp'!B:G,6,0)</f>
        <v>Bebidas</v>
      </c>
    </row>
    <row r="2688" spans="1:15" ht="27.5" customHeight="1" x14ac:dyDescent="0.2">
      <c r="A2688">
        <v>2025</v>
      </c>
      <c r="B2688" t="s">
        <v>599</v>
      </c>
      <c r="C2688" t="s">
        <v>609</v>
      </c>
      <c r="D2688" s="19" t="s">
        <v>197</v>
      </c>
      <c r="E2688" s="18" t="s">
        <v>31</v>
      </c>
      <c r="F2688" s="18">
        <v>9</v>
      </c>
      <c r="G2688" s="20">
        <v>62100</v>
      </c>
      <c r="H2688" s="18">
        <v>0</v>
      </c>
      <c r="I2688" s="20">
        <v>28908</v>
      </c>
      <c r="J2688" s="8">
        <f t="shared" si="123"/>
        <v>33192</v>
      </c>
      <c r="K2688" s="10">
        <f t="shared" si="124"/>
        <v>0.53449275362318838</v>
      </c>
      <c r="L2688" s="17">
        <f t="shared" si="125"/>
        <v>0</v>
      </c>
      <c r="M2688" t="str">
        <f>VLOOKUP(D2688,'Jer-Tip-Emp'!B:E,4,0)</f>
        <v>Armalo en combo</v>
      </c>
      <c r="N2688" t="str">
        <f>VLOOKUP(D2688,'Jer-Tip-Emp'!B:F,5,0)</f>
        <v>Personal</v>
      </c>
      <c r="O2688" t="str">
        <f>VLOOKUP(D2688,'Jer-Tip-Emp'!B:G,6,0)</f>
        <v>Combo</v>
      </c>
    </row>
    <row r="2689" spans="1:15" ht="27.5" hidden="1" customHeight="1" x14ac:dyDescent="0.2">
      <c r="A2689">
        <v>2025</v>
      </c>
      <c r="B2689" t="s">
        <v>599</v>
      </c>
      <c r="C2689" t="s">
        <v>609</v>
      </c>
      <c r="D2689" s="19" t="s">
        <v>262</v>
      </c>
      <c r="E2689" s="18" t="s">
        <v>102</v>
      </c>
      <c r="F2689" s="18">
        <v>9</v>
      </c>
      <c r="G2689" s="20">
        <v>197100</v>
      </c>
      <c r="H2689" s="18">
        <v>0</v>
      </c>
      <c r="I2689" s="20">
        <v>55935</v>
      </c>
      <c r="J2689" s="8">
        <f t="shared" ref="J2689:J2752" si="126">G2689-I2689</f>
        <v>141165</v>
      </c>
      <c r="K2689" s="10">
        <f t="shared" ref="K2689:K2752" si="127">IFERROR(J2689/G2689,0)</f>
        <v>0.71621004566210045</v>
      </c>
      <c r="L2689" s="17">
        <f t="shared" ref="L2689:L2752" si="128">IFERROR((H2689/G2689)*-1,0)</f>
        <v>0</v>
      </c>
      <c r="M2689" t="str">
        <f>VLOOKUP(D2689,'Jer-Tip-Emp'!B:E,4,0)</f>
        <v>Entradas</v>
      </c>
      <c r="N2689" t="str">
        <f>VLOOKUP(D2689,'Jer-Tip-Emp'!B:F,5,0)</f>
        <v>Otro</v>
      </c>
      <c r="O2689" t="str">
        <f>VLOOKUP(D2689,'Jer-Tip-Emp'!B:G,6,0)</f>
        <v>Otro</v>
      </c>
    </row>
    <row r="2690" spans="1:15" ht="27.5" hidden="1" customHeight="1" x14ac:dyDescent="0.2">
      <c r="A2690">
        <v>2025</v>
      </c>
      <c r="B2690" t="s">
        <v>599</v>
      </c>
      <c r="C2690" t="s">
        <v>609</v>
      </c>
      <c r="D2690" s="19" t="s">
        <v>397</v>
      </c>
      <c r="E2690" s="18" t="s">
        <v>61</v>
      </c>
      <c r="F2690" s="18">
        <v>8</v>
      </c>
      <c r="G2690" s="20">
        <v>39200</v>
      </c>
      <c r="H2690" s="18">
        <v>0</v>
      </c>
      <c r="I2690" s="20">
        <v>15168</v>
      </c>
      <c r="J2690" s="8">
        <f t="shared" si="126"/>
        <v>24032</v>
      </c>
      <c r="K2690" s="10">
        <f t="shared" si="127"/>
        <v>0.61306122448979594</v>
      </c>
      <c r="L2690" s="17">
        <f t="shared" si="128"/>
        <v>0</v>
      </c>
      <c r="M2690" t="str">
        <f>VLOOKUP(D2690,'Jer-Tip-Emp'!B:E,4,0)</f>
        <v>Bebidas</v>
      </c>
      <c r="N2690" t="str">
        <f>VLOOKUP(D2690,'Jer-Tip-Emp'!B:F,5,0)</f>
        <v>Bebidas</v>
      </c>
      <c r="O2690" t="str">
        <f>VLOOKUP(D2690,'Jer-Tip-Emp'!B:G,6,0)</f>
        <v>Bebidas</v>
      </c>
    </row>
    <row r="2691" spans="1:15" ht="27.5" hidden="1" customHeight="1" x14ac:dyDescent="0.2">
      <c r="A2691">
        <v>2025</v>
      </c>
      <c r="B2691" t="s">
        <v>599</v>
      </c>
      <c r="C2691" t="s">
        <v>609</v>
      </c>
      <c r="D2691" s="19" t="s">
        <v>335</v>
      </c>
      <c r="E2691" s="18" t="s">
        <v>40</v>
      </c>
      <c r="F2691" s="18">
        <v>8</v>
      </c>
      <c r="G2691" s="20">
        <v>39200</v>
      </c>
      <c r="H2691" s="18">
        <v>0</v>
      </c>
      <c r="I2691" s="20">
        <v>10984</v>
      </c>
      <c r="J2691" s="8">
        <f t="shared" si="126"/>
        <v>28216</v>
      </c>
      <c r="K2691" s="10">
        <f t="shared" si="127"/>
        <v>0.71979591836734691</v>
      </c>
      <c r="L2691" s="17">
        <f t="shared" si="128"/>
        <v>0</v>
      </c>
      <c r="M2691" t="str">
        <f>VLOOKUP(D2691,'Jer-Tip-Emp'!B:E,4,0)</f>
        <v>Bebidas</v>
      </c>
      <c r="N2691" t="str">
        <f>VLOOKUP(D2691,'Jer-Tip-Emp'!B:F,5,0)</f>
        <v>Bebidas</v>
      </c>
      <c r="O2691" t="str">
        <f>VLOOKUP(D2691,'Jer-Tip-Emp'!B:G,6,0)</f>
        <v>Bebidas</v>
      </c>
    </row>
    <row r="2692" spans="1:15" ht="27.5" customHeight="1" x14ac:dyDescent="0.2">
      <c r="A2692">
        <v>2025</v>
      </c>
      <c r="B2692" t="s">
        <v>599</v>
      </c>
      <c r="C2692" t="s">
        <v>609</v>
      </c>
      <c r="D2692" s="19" t="s">
        <v>242</v>
      </c>
      <c r="E2692" s="18" t="s">
        <v>90</v>
      </c>
      <c r="F2692" s="18">
        <v>8</v>
      </c>
      <c r="G2692" s="20">
        <v>455200</v>
      </c>
      <c r="H2692" s="18">
        <v>0</v>
      </c>
      <c r="I2692" s="20">
        <v>228544</v>
      </c>
      <c r="J2692" s="8">
        <f t="shared" si="126"/>
        <v>226656</v>
      </c>
      <c r="K2692" s="10">
        <f t="shared" si="127"/>
        <v>0.4979261862917399</v>
      </c>
      <c r="L2692" s="17">
        <f t="shared" si="128"/>
        <v>0</v>
      </c>
      <c r="M2692" t="str">
        <f>VLOOKUP(D2692,'Jer-Tip-Emp'!B:E,4,0)</f>
        <v>Combos para compartir</v>
      </c>
      <c r="N2692" t="str">
        <f>VLOOKUP(D2692,'Jer-Tip-Emp'!B:F,5,0)</f>
        <v>No Personal</v>
      </c>
      <c r="O2692" t="str">
        <f>VLOOKUP(D2692,'Jer-Tip-Emp'!B:G,6,0)</f>
        <v>Combo</v>
      </c>
    </row>
    <row r="2693" spans="1:15" ht="27.5" customHeight="1" x14ac:dyDescent="0.2">
      <c r="A2693">
        <v>2025</v>
      </c>
      <c r="B2693" t="s">
        <v>599</v>
      </c>
      <c r="C2693" t="s">
        <v>609</v>
      </c>
      <c r="D2693" s="19" t="s">
        <v>214</v>
      </c>
      <c r="E2693" s="18" t="s">
        <v>81</v>
      </c>
      <c r="F2693" s="18">
        <v>8</v>
      </c>
      <c r="G2693" s="20">
        <v>559200</v>
      </c>
      <c r="H2693" s="18">
        <v>0</v>
      </c>
      <c r="I2693" s="20">
        <v>189104</v>
      </c>
      <c r="J2693" s="8">
        <f t="shared" si="126"/>
        <v>370096</v>
      </c>
      <c r="K2693" s="10">
        <f t="shared" si="127"/>
        <v>0.66183118741058655</v>
      </c>
      <c r="L2693" s="17">
        <f t="shared" si="128"/>
        <v>0</v>
      </c>
      <c r="M2693" t="str">
        <f>VLOOKUP(D2693,'Jer-Tip-Emp'!B:E,4,0)</f>
        <v>Combos para compartir</v>
      </c>
      <c r="N2693" t="str">
        <f>VLOOKUP(D2693,'Jer-Tip-Emp'!B:F,5,0)</f>
        <v>No Personal</v>
      </c>
      <c r="O2693" t="str">
        <f>VLOOKUP(D2693,'Jer-Tip-Emp'!B:G,6,0)</f>
        <v>Combo</v>
      </c>
    </row>
    <row r="2694" spans="1:15" ht="27.5" hidden="1" customHeight="1" x14ac:dyDescent="0.2">
      <c r="A2694">
        <v>2025</v>
      </c>
      <c r="B2694" t="s">
        <v>599</v>
      </c>
      <c r="C2694" t="s">
        <v>609</v>
      </c>
      <c r="D2694" s="19" t="s">
        <v>410</v>
      </c>
      <c r="E2694" s="18" t="s">
        <v>559</v>
      </c>
      <c r="F2694" s="18">
        <v>7</v>
      </c>
      <c r="G2694" s="20">
        <v>14000</v>
      </c>
      <c r="H2694" s="18">
        <v>0</v>
      </c>
      <c r="I2694" s="20">
        <v>15645</v>
      </c>
      <c r="J2694" s="8">
        <f t="shared" si="126"/>
        <v>-1645</v>
      </c>
      <c r="K2694" s="10">
        <f t="shared" si="127"/>
        <v>-0.11749999999999999</v>
      </c>
      <c r="L2694" s="17">
        <f t="shared" si="128"/>
        <v>0</v>
      </c>
      <c r="M2694" t="str">
        <f>VLOOKUP(D2694,'Jer-Tip-Emp'!B:E,4,0)</f>
        <v>Bebidas</v>
      </c>
      <c r="N2694" t="str">
        <f>VLOOKUP(D2694,'Jer-Tip-Emp'!B:F,5,0)</f>
        <v>Bebidas Cambio de bebida</v>
      </c>
      <c r="O2694" t="str">
        <f>VLOOKUP(D2694,'Jer-Tip-Emp'!B:G,6,0)</f>
        <v>Bebidas</v>
      </c>
    </row>
    <row r="2695" spans="1:15" ht="27.5" customHeight="1" x14ac:dyDescent="0.2">
      <c r="A2695">
        <v>2025</v>
      </c>
      <c r="B2695" t="s">
        <v>599</v>
      </c>
      <c r="C2695" t="s">
        <v>609</v>
      </c>
      <c r="D2695" s="19" t="s">
        <v>290</v>
      </c>
      <c r="E2695" s="18" t="s">
        <v>86</v>
      </c>
      <c r="F2695" s="18">
        <v>7</v>
      </c>
      <c r="G2695" s="20">
        <v>629300</v>
      </c>
      <c r="H2695" s="18">
        <v>0</v>
      </c>
      <c r="I2695" s="20">
        <v>327460</v>
      </c>
      <c r="J2695" s="8">
        <f t="shared" si="126"/>
        <v>301840</v>
      </c>
      <c r="K2695" s="10">
        <f t="shared" si="127"/>
        <v>0.47964404894327028</v>
      </c>
      <c r="L2695" s="17">
        <f t="shared" si="128"/>
        <v>0</v>
      </c>
      <c r="M2695" t="str">
        <f>VLOOKUP(D2695,'Jer-Tip-Emp'!B:E,4,0)</f>
        <v>Combos para compartir</v>
      </c>
      <c r="N2695" t="str">
        <f>VLOOKUP(D2695,'Jer-Tip-Emp'!B:F,5,0)</f>
        <v>No Personal</v>
      </c>
      <c r="O2695" t="str">
        <f>VLOOKUP(D2695,'Jer-Tip-Emp'!B:G,6,0)</f>
        <v>Combo</v>
      </c>
    </row>
    <row r="2696" spans="1:15" ht="27.5" customHeight="1" x14ac:dyDescent="0.2">
      <c r="A2696">
        <v>2025</v>
      </c>
      <c r="B2696" t="s">
        <v>599</v>
      </c>
      <c r="C2696" t="s">
        <v>609</v>
      </c>
      <c r="D2696" s="19" t="s">
        <v>202</v>
      </c>
      <c r="E2696" s="18" t="s">
        <v>138</v>
      </c>
      <c r="F2696" s="18">
        <v>7</v>
      </c>
      <c r="G2696" s="20">
        <v>251300</v>
      </c>
      <c r="H2696" s="18">
        <v>0</v>
      </c>
      <c r="I2696" s="20">
        <v>99617</v>
      </c>
      <c r="J2696" s="8">
        <f t="shared" si="126"/>
        <v>151683</v>
      </c>
      <c r="K2696" s="10">
        <f t="shared" si="127"/>
        <v>0.60359331476323119</v>
      </c>
      <c r="L2696" s="17">
        <f t="shared" si="128"/>
        <v>0</v>
      </c>
      <c r="M2696" t="str">
        <f>VLOOKUP(D2696,'Jer-Tip-Emp'!B:E,4,0)</f>
        <v>Platos mong</v>
      </c>
      <c r="N2696" t="str">
        <f>VLOOKUP(D2696,'Jer-Tip-Emp'!B:F,5,0)</f>
        <v>No Personal</v>
      </c>
      <c r="O2696" t="str">
        <f>VLOOKUP(D2696,'Jer-Tip-Emp'!B:G,6,0)</f>
        <v>Caja</v>
      </c>
    </row>
    <row r="2697" spans="1:15" ht="27.5" hidden="1" customHeight="1" x14ac:dyDescent="0.2">
      <c r="A2697">
        <v>2025</v>
      </c>
      <c r="B2697" t="s">
        <v>599</v>
      </c>
      <c r="C2697" t="s">
        <v>609</v>
      </c>
      <c r="D2697" s="19" t="s">
        <v>350</v>
      </c>
      <c r="E2697" s="18" t="s">
        <v>66</v>
      </c>
      <c r="F2697" s="18">
        <v>7</v>
      </c>
      <c r="G2697" s="20">
        <v>34300</v>
      </c>
      <c r="H2697" s="18">
        <v>0</v>
      </c>
      <c r="I2697" s="20">
        <v>10920</v>
      </c>
      <c r="J2697" s="8">
        <f t="shared" si="126"/>
        <v>23380</v>
      </c>
      <c r="K2697" s="10">
        <f t="shared" si="127"/>
        <v>0.68163265306122445</v>
      </c>
      <c r="L2697" s="17">
        <f t="shared" si="128"/>
        <v>0</v>
      </c>
      <c r="M2697" t="str">
        <f>VLOOKUP(D2697,'Jer-Tip-Emp'!B:E,4,0)</f>
        <v>Bebidas</v>
      </c>
      <c r="N2697" t="str">
        <f>VLOOKUP(D2697,'Jer-Tip-Emp'!B:F,5,0)</f>
        <v>Bebidas</v>
      </c>
      <c r="O2697" t="str">
        <f>VLOOKUP(D2697,'Jer-Tip-Emp'!B:G,6,0)</f>
        <v>Bebidas</v>
      </c>
    </row>
    <row r="2698" spans="1:15" ht="27.5" hidden="1" customHeight="1" x14ac:dyDescent="0.2">
      <c r="A2698">
        <v>2025</v>
      </c>
      <c r="B2698" t="s">
        <v>599</v>
      </c>
      <c r="C2698" t="s">
        <v>609</v>
      </c>
      <c r="D2698" s="19" t="s">
        <v>275</v>
      </c>
      <c r="E2698" s="18" t="s">
        <v>16</v>
      </c>
      <c r="F2698" s="18">
        <v>6</v>
      </c>
      <c r="G2698" s="20">
        <v>41400</v>
      </c>
      <c r="H2698" s="18">
        <v>0</v>
      </c>
      <c r="I2698" s="20">
        <v>13470</v>
      </c>
      <c r="J2698" s="8">
        <f t="shared" si="126"/>
        <v>27930</v>
      </c>
      <c r="K2698" s="10">
        <f t="shared" si="127"/>
        <v>0.67463768115942024</v>
      </c>
      <c r="L2698" s="17">
        <f t="shared" si="128"/>
        <v>0</v>
      </c>
      <c r="M2698" t="str">
        <f>VLOOKUP(D2698,'Jer-Tip-Emp'!B:E,4,0)</f>
        <v>Adición</v>
      </c>
      <c r="N2698" t="str">
        <f>VLOOKUP(D2698,'Jer-Tip-Emp'!B:F,5,0)</f>
        <v>Adición</v>
      </c>
      <c r="O2698" t="str">
        <f>VLOOKUP(D2698,'Jer-Tip-Emp'!B:G,6,0)</f>
        <v>Adición</v>
      </c>
    </row>
    <row r="2699" spans="1:15" ht="27.5" customHeight="1" x14ac:dyDescent="0.2">
      <c r="A2699">
        <v>2025</v>
      </c>
      <c r="B2699" t="s">
        <v>599</v>
      </c>
      <c r="C2699" t="s">
        <v>609</v>
      </c>
      <c r="D2699" s="19" t="s">
        <v>198</v>
      </c>
      <c r="E2699" s="18" t="s">
        <v>124</v>
      </c>
      <c r="F2699" s="18">
        <v>6</v>
      </c>
      <c r="G2699" s="20">
        <v>149400</v>
      </c>
      <c r="H2699" s="18">
        <v>0</v>
      </c>
      <c r="I2699" s="20">
        <v>52542</v>
      </c>
      <c r="J2699" s="8">
        <f t="shared" si="126"/>
        <v>96858</v>
      </c>
      <c r="K2699" s="10">
        <f t="shared" si="127"/>
        <v>0.64831325301204823</v>
      </c>
      <c r="L2699" s="17">
        <f t="shared" si="128"/>
        <v>0</v>
      </c>
      <c r="M2699" t="str">
        <f>VLOOKUP(D2699,'Jer-Tip-Emp'!B:E,4,0)</f>
        <v>Platos mong</v>
      </c>
      <c r="N2699" t="str">
        <f>VLOOKUP(D2699,'Jer-Tip-Emp'!B:F,5,0)</f>
        <v>Personal</v>
      </c>
      <c r="O2699" t="str">
        <f>VLOOKUP(D2699,'Jer-Tip-Emp'!B:G,6,0)</f>
        <v>Caja</v>
      </c>
    </row>
    <row r="2700" spans="1:15" ht="27.5" customHeight="1" x14ac:dyDescent="0.2">
      <c r="A2700">
        <v>2025</v>
      </c>
      <c r="B2700" t="s">
        <v>599</v>
      </c>
      <c r="C2700" t="s">
        <v>609</v>
      </c>
      <c r="D2700" s="19" t="s">
        <v>232</v>
      </c>
      <c r="E2700" s="18" t="s">
        <v>94</v>
      </c>
      <c r="F2700" s="18">
        <v>6</v>
      </c>
      <c r="G2700" s="20">
        <v>131400</v>
      </c>
      <c r="H2700" s="18">
        <v>0</v>
      </c>
      <c r="I2700" s="20">
        <v>56424</v>
      </c>
      <c r="J2700" s="8">
        <f t="shared" si="126"/>
        <v>74976</v>
      </c>
      <c r="K2700" s="10">
        <f t="shared" si="127"/>
        <v>0.57059360730593611</v>
      </c>
      <c r="L2700" s="17">
        <f t="shared" si="128"/>
        <v>0</v>
      </c>
      <c r="M2700" t="str">
        <f>VLOOKUP(D2700,'Jer-Tip-Emp'!B:E,4,0)</f>
        <v>Platos mong</v>
      </c>
      <c r="N2700" t="str">
        <f>VLOOKUP(D2700,'Jer-Tip-Emp'!B:F,5,0)</f>
        <v>Personal</v>
      </c>
      <c r="O2700" t="str">
        <f>VLOOKUP(D2700,'Jer-Tip-Emp'!B:G,6,0)</f>
        <v>Caja</v>
      </c>
    </row>
    <row r="2701" spans="1:15" ht="27.5" customHeight="1" x14ac:dyDescent="0.2">
      <c r="A2701">
        <v>2025</v>
      </c>
      <c r="B2701" t="s">
        <v>599</v>
      </c>
      <c r="C2701" t="s">
        <v>609</v>
      </c>
      <c r="D2701" s="19" t="s">
        <v>200</v>
      </c>
      <c r="E2701" s="18" t="s">
        <v>149</v>
      </c>
      <c r="F2701" s="18">
        <v>6</v>
      </c>
      <c r="G2701" s="20">
        <v>149400</v>
      </c>
      <c r="H2701" s="18">
        <v>0</v>
      </c>
      <c r="I2701" s="20">
        <v>62886</v>
      </c>
      <c r="J2701" s="8">
        <f t="shared" si="126"/>
        <v>86514</v>
      </c>
      <c r="K2701" s="10">
        <f t="shared" si="127"/>
        <v>0.57907630522088349</v>
      </c>
      <c r="L2701" s="17">
        <f t="shared" si="128"/>
        <v>0</v>
      </c>
      <c r="M2701" t="str">
        <f>VLOOKUP(D2701,'Jer-Tip-Emp'!B:E,4,0)</f>
        <v>Platos mong</v>
      </c>
      <c r="N2701" t="str">
        <f>VLOOKUP(D2701,'Jer-Tip-Emp'!B:F,5,0)</f>
        <v>Personal</v>
      </c>
      <c r="O2701" t="str">
        <f>VLOOKUP(D2701,'Jer-Tip-Emp'!B:G,6,0)</f>
        <v>Caja</v>
      </c>
    </row>
    <row r="2702" spans="1:15" ht="27.5" customHeight="1" x14ac:dyDescent="0.2">
      <c r="A2702">
        <v>2025</v>
      </c>
      <c r="B2702" t="s">
        <v>599</v>
      </c>
      <c r="C2702" t="s">
        <v>609</v>
      </c>
      <c r="D2702" s="19" t="s">
        <v>206</v>
      </c>
      <c r="E2702" s="18" t="s">
        <v>117</v>
      </c>
      <c r="F2702" s="18">
        <v>6</v>
      </c>
      <c r="G2702" s="20">
        <v>101400</v>
      </c>
      <c r="H2702" s="18">
        <v>0</v>
      </c>
      <c r="I2702" s="20">
        <v>42750</v>
      </c>
      <c r="J2702" s="8">
        <f t="shared" si="126"/>
        <v>58650</v>
      </c>
      <c r="K2702" s="10">
        <f t="shared" si="127"/>
        <v>0.57840236686390534</v>
      </c>
      <c r="L2702" s="17">
        <f t="shared" si="128"/>
        <v>0</v>
      </c>
      <c r="M2702" t="str">
        <f>VLOOKUP(D2702,'Jer-Tip-Emp'!B:E,4,0)</f>
        <v>Platos especiales</v>
      </c>
      <c r="N2702" t="str">
        <f>VLOOKUP(D2702,'Jer-Tip-Emp'!B:F,5,0)</f>
        <v>Personal</v>
      </c>
      <c r="O2702" t="str">
        <f>VLOOKUP(D2702,'Jer-Tip-Emp'!B:G,6,0)</f>
        <v>Platos especiales</v>
      </c>
    </row>
    <row r="2703" spans="1:15" ht="27.5" customHeight="1" x14ac:dyDescent="0.2">
      <c r="A2703">
        <v>2025</v>
      </c>
      <c r="B2703" t="s">
        <v>599</v>
      </c>
      <c r="C2703" t="s">
        <v>609</v>
      </c>
      <c r="D2703" s="19" t="s">
        <v>235</v>
      </c>
      <c r="E2703" s="18" t="s">
        <v>143</v>
      </c>
      <c r="F2703" s="18">
        <v>5</v>
      </c>
      <c r="G2703" s="20">
        <v>229500</v>
      </c>
      <c r="H2703" s="18">
        <v>0</v>
      </c>
      <c r="I2703" s="20">
        <v>94090</v>
      </c>
      <c r="J2703" s="8">
        <f t="shared" si="126"/>
        <v>135410</v>
      </c>
      <c r="K2703" s="10">
        <f t="shared" si="127"/>
        <v>0.59002178649237469</v>
      </c>
      <c r="L2703" s="17">
        <f t="shared" si="128"/>
        <v>0</v>
      </c>
      <c r="M2703" t="str">
        <f>VLOOKUP(D2703,'Jer-Tip-Emp'!B:E,4,0)</f>
        <v>Platos mong</v>
      </c>
      <c r="N2703" t="str">
        <f>VLOOKUP(D2703,'Jer-Tip-Emp'!B:F,5,0)</f>
        <v>No Personal</v>
      </c>
      <c r="O2703" t="str">
        <f>VLOOKUP(D2703,'Jer-Tip-Emp'!B:G,6,0)</f>
        <v>Caja</v>
      </c>
    </row>
    <row r="2704" spans="1:15" ht="27.5" customHeight="1" x14ac:dyDescent="0.2">
      <c r="A2704">
        <v>2025</v>
      </c>
      <c r="B2704" t="s">
        <v>599</v>
      </c>
      <c r="C2704" t="s">
        <v>609</v>
      </c>
      <c r="D2704" s="19" t="s">
        <v>208</v>
      </c>
      <c r="E2704" s="18" t="s">
        <v>30</v>
      </c>
      <c r="F2704" s="18">
        <v>5</v>
      </c>
      <c r="G2704" s="20">
        <v>34500</v>
      </c>
      <c r="H2704" s="18">
        <v>0</v>
      </c>
      <c r="I2704" s="20">
        <v>14585</v>
      </c>
      <c r="J2704" s="8">
        <f t="shared" si="126"/>
        <v>19915</v>
      </c>
      <c r="K2704" s="10">
        <f t="shared" si="127"/>
        <v>0.57724637681159419</v>
      </c>
      <c r="L2704" s="17">
        <f t="shared" si="128"/>
        <v>0</v>
      </c>
      <c r="M2704" t="str">
        <f>VLOOKUP(D2704,'Jer-Tip-Emp'!B:E,4,0)</f>
        <v>Armalo en combo</v>
      </c>
      <c r="N2704" t="str">
        <f>VLOOKUP(D2704,'Jer-Tip-Emp'!B:F,5,0)</f>
        <v>Personal</v>
      </c>
      <c r="O2704" t="str">
        <f>VLOOKUP(D2704,'Jer-Tip-Emp'!B:G,6,0)</f>
        <v>Combo</v>
      </c>
    </row>
    <row r="2705" spans="1:15" ht="27.5" customHeight="1" x14ac:dyDescent="0.2">
      <c r="A2705">
        <v>2025</v>
      </c>
      <c r="B2705" t="s">
        <v>599</v>
      </c>
      <c r="C2705" t="s">
        <v>609</v>
      </c>
      <c r="D2705" s="19" t="s">
        <v>221</v>
      </c>
      <c r="E2705" s="18" t="s">
        <v>27</v>
      </c>
      <c r="F2705" s="18">
        <v>5</v>
      </c>
      <c r="G2705" s="20">
        <v>34500</v>
      </c>
      <c r="H2705" s="18">
        <v>0</v>
      </c>
      <c r="I2705" s="18">
        <v>0</v>
      </c>
      <c r="J2705" s="8">
        <f t="shared" si="126"/>
        <v>34500</v>
      </c>
      <c r="K2705" s="10">
        <f t="shared" si="127"/>
        <v>1</v>
      </c>
      <c r="L2705" s="17">
        <f t="shared" si="128"/>
        <v>0</v>
      </c>
      <c r="M2705" t="str">
        <f>VLOOKUP(D2705,'Jer-Tip-Emp'!B:E,4,0)</f>
        <v>Armalo en combo</v>
      </c>
      <c r="N2705" t="str">
        <f>VLOOKUP(D2705,'Jer-Tip-Emp'!B:F,5,0)</f>
        <v>Personal</v>
      </c>
      <c r="O2705" t="str">
        <f>VLOOKUP(D2705,'Jer-Tip-Emp'!B:G,6,0)</f>
        <v>Combo</v>
      </c>
    </row>
    <row r="2706" spans="1:15" ht="27.5" hidden="1" customHeight="1" x14ac:dyDescent="0.2">
      <c r="A2706">
        <v>2025</v>
      </c>
      <c r="B2706" t="s">
        <v>599</v>
      </c>
      <c r="C2706" t="s">
        <v>609</v>
      </c>
      <c r="D2706" s="19" t="s">
        <v>402</v>
      </c>
      <c r="E2706" s="18" t="s">
        <v>63</v>
      </c>
      <c r="F2706" s="18">
        <v>5</v>
      </c>
      <c r="G2706" s="20">
        <v>24500</v>
      </c>
      <c r="H2706" s="18">
        <v>0</v>
      </c>
      <c r="I2706" s="20">
        <v>7800</v>
      </c>
      <c r="J2706" s="8">
        <f t="shared" si="126"/>
        <v>16700</v>
      </c>
      <c r="K2706" s="10">
        <f t="shared" si="127"/>
        <v>0.68163265306122445</v>
      </c>
      <c r="L2706" s="17">
        <f t="shared" si="128"/>
        <v>0</v>
      </c>
      <c r="M2706" t="str">
        <f>VLOOKUP(D2706,'Jer-Tip-Emp'!B:E,4,0)</f>
        <v>Bebidas</v>
      </c>
      <c r="N2706" t="str">
        <f>VLOOKUP(D2706,'Jer-Tip-Emp'!B:F,5,0)</f>
        <v>Bebidas</v>
      </c>
      <c r="O2706" t="str">
        <f>VLOOKUP(D2706,'Jer-Tip-Emp'!B:G,6,0)</f>
        <v>Bebidas</v>
      </c>
    </row>
    <row r="2707" spans="1:15" ht="27.5" customHeight="1" x14ac:dyDescent="0.2">
      <c r="A2707">
        <v>2025</v>
      </c>
      <c r="B2707" t="s">
        <v>599</v>
      </c>
      <c r="C2707" t="s">
        <v>609</v>
      </c>
      <c r="D2707" s="19" t="s">
        <v>299</v>
      </c>
      <c r="E2707" s="18" t="s">
        <v>126</v>
      </c>
      <c r="F2707" s="18">
        <v>4</v>
      </c>
      <c r="G2707" s="20">
        <v>179019</v>
      </c>
      <c r="H2707" s="20">
        <v>-4581</v>
      </c>
      <c r="I2707" s="20">
        <v>45328</v>
      </c>
      <c r="J2707" s="8">
        <f t="shared" si="126"/>
        <v>133691</v>
      </c>
      <c r="K2707" s="10">
        <f t="shared" si="127"/>
        <v>0.74679782592909127</v>
      </c>
      <c r="L2707" s="17">
        <f t="shared" si="128"/>
        <v>2.5589462571012016E-2</v>
      </c>
      <c r="M2707" t="str">
        <f>VLOOKUP(D2707,'Jer-Tip-Emp'!B:E,4,0)</f>
        <v>Platos mong</v>
      </c>
      <c r="N2707" t="str">
        <f>VLOOKUP(D2707,'Jer-Tip-Emp'!B:F,5,0)</f>
        <v>No Personal</v>
      </c>
      <c r="O2707" t="str">
        <f>VLOOKUP(D2707,'Jer-Tip-Emp'!B:G,6,0)</f>
        <v>Caja</v>
      </c>
    </row>
    <row r="2708" spans="1:15" ht="27.5" customHeight="1" x14ac:dyDescent="0.2">
      <c r="A2708">
        <v>2025</v>
      </c>
      <c r="B2708" t="s">
        <v>599</v>
      </c>
      <c r="C2708" t="s">
        <v>609</v>
      </c>
      <c r="D2708" s="19" t="s">
        <v>279</v>
      </c>
      <c r="E2708" s="18" t="s">
        <v>130</v>
      </c>
      <c r="F2708" s="18">
        <v>4</v>
      </c>
      <c r="G2708" s="20">
        <v>159600</v>
      </c>
      <c r="H2708" s="18">
        <v>0</v>
      </c>
      <c r="I2708" s="20">
        <v>44868</v>
      </c>
      <c r="J2708" s="8">
        <f t="shared" si="126"/>
        <v>114732</v>
      </c>
      <c r="K2708" s="10">
        <f t="shared" si="127"/>
        <v>0.71887218045112777</v>
      </c>
      <c r="L2708" s="17">
        <f t="shared" si="128"/>
        <v>0</v>
      </c>
      <c r="M2708" t="str">
        <f>VLOOKUP(D2708,'Jer-Tip-Emp'!B:E,4,0)</f>
        <v>Platos mong</v>
      </c>
      <c r="N2708" t="str">
        <f>VLOOKUP(D2708,'Jer-Tip-Emp'!B:F,5,0)</f>
        <v>No Personal</v>
      </c>
      <c r="O2708" t="str">
        <f>VLOOKUP(D2708,'Jer-Tip-Emp'!B:G,6,0)</f>
        <v>Caja</v>
      </c>
    </row>
    <row r="2709" spans="1:15" ht="27.5" hidden="1" customHeight="1" x14ac:dyDescent="0.2">
      <c r="A2709">
        <v>2025</v>
      </c>
      <c r="B2709" t="s">
        <v>599</v>
      </c>
      <c r="C2709" t="s">
        <v>609</v>
      </c>
      <c r="D2709" s="19" t="s">
        <v>314</v>
      </c>
      <c r="E2709" s="18" t="s">
        <v>67</v>
      </c>
      <c r="F2709" s="18">
        <v>3</v>
      </c>
      <c r="G2709" s="20">
        <v>14700</v>
      </c>
      <c r="H2709" s="18">
        <v>0</v>
      </c>
      <c r="I2709" s="20">
        <v>3990</v>
      </c>
      <c r="J2709" s="8">
        <f t="shared" si="126"/>
        <v>10710</v>
      </c>
      <c r="K2709" s="10">
        <f t="shared" si="127"/>
        <v>0.72857142857142854</v>
      </c>
      <c r="L2709" s="17">
        <f t="shared" si="128"/>
        <v>0</v>
      </c>
      <c r="M2709" t="str">
        <f>VLOOKUP(D2709,'Jer-Tip-Emp'!B:E,4,0)</f>
        <v>Bebidas</v>
      </c>
      <c r="N2709" t="str">
        <f>VLOOKUP(D2709,'Jer-Tip-Emp'!B:F,5,0)</f>
        <v>Bebidas</v>
      </c>
      <c r="O2709" t="str">
        <f>VLOOKUP(D2709,'Jer-Tip-Emp'!B:G,6,0)</f>
        <v>Bebidas</v>
      </c>
    </row>
    <row r="2710" spans="1:15" ht="27.5" hidden="1" customHeight="1" x14ac:dyDescent="0.2">
      <c r="A2710">
        <v>2025</v>
      </c>
      <c r="B2710" t="s">
        <v>599</v>
      </c>
      <c r="C2710" t="s">
        <v>609</v>
      </c>
      <c r="D2710" s="19" t="s">
        <v>369</v>
      </c>
      <c r="E2710" s="18" t="s">
        <v>68</v>
      </c>
      <c r="F2710" s="18">
        <v>3</v>
      </c>
      <c r="G2710" s="20">
        <v>14700</v>
      </c>
      <c r="H2710" s="18">
        <v>0</v>
      </c>
      <c r="I2710" s="20">
        <v>3990</v>
      </c>
      <c r="J2710" s="8">
        <f t="shared" si="126"/>
        <v>10710</v>
      </c>
      <c r="K2710" s="10">
        <f t="shared" si="127"/>
        <v>0.72857142857142854</v>
      </c>
      <c r="L2710" s="17">
        <f t="shared" si="128"/>
        <v>0</v>
      </c>
      <c r="M2710" t="str">
        <f>VLOOKUP(D2710,'Jer-Tip-Emp'!B:E,4,0)</f>
        <v>Bebidas</v>
      </c>
      <c r="N2710" t="str">
        <f>VLOOKUP(D2710,'Jer-Tip-Emp'!B:F,5,0)</f>
        <v>Bebidas</v>
      </c>
      <c r="O2710" t="str">
        <f>VLOOKUP(D2710,'Jer-Tip-Emp'!B:G,6,0)</f>
        <v>Bebidas</v>
      </c>
    </row>
    <row r="2711" spans="1:15" ht="27.5" hidden="1" customHeight="1" x14ac:dyDescent="0.2">
      <c r="A2711">
        <v>2025</v>
      </c>
      <c r="B2711" t="s">
        <v>599</v>
      </c>
      <c r="C2711" t="s">
        <v>609</v>
      </c>
      <c r="D2711" s="19" t="s">
        <v>444</v>
      </c>
      <c r="E2711" s="18" t="s">
        <v>562</v>
      </c>
      <c r="F2711" s="18">
        <v>3</v>
      </c>
      <c r="G2711" s="20">
        <v>4200</v>
      </c>
      <c r="H2711" s="18">
        <v>0</v>
      </c>
      <c r="I2711" s="20">
        <v>4830</v>
      </c>
      <c r="J2711" s="8">
        <f t="shared" si="126"/>
        <v>-630</v>
      </c>
      <c r="K2711" s="10">
        <f t="shared" si="127"/>
        <v>-0.15</v>
      </c>
      <c r="L2711" s="17">
        <f t="shared" si="128"/>
        <v>0</v>
      </c>
      <c r="M2711" t="str">
        <f>VLOOKUP(D2711,'Jer-Tip-Emp'!B:E,4,0)</f>
        <v>Bebidas</v>
      </c>
      <c r="N2711" t="str">
        <f>VLOOKUP(D2711,'Jer-Tip-Emp'!B:F,5,0)</f>
        <v>Bebidas Cambio de bebida</v>
      </c>
      <c r="O2711" t="str">
        <f>VLOOKUP(D2711,'Jer-Tip-Emp'!B:G,6,0)</f>
        <v>Bebidas</v>
      </c>
    </row>
    <row r="2712" spans="1:15" ht="27.5" customHeight="1" x14ac:dyDescent="0.2">
      <c r="A2712">
        <v>2025</v>
      </c>
      <c r="B2712" t="s">
        <v>599</v>
      </c>
      <c r="C2712" t="s">
        <v>609</v>
      </c>
      <c r="D2712" s="19" t="s">
        <v>293</v>
      </c>
      <c r="E2712" s="18" t="s">
        <v>127</v>
      </c>
      <c r="F2712" s="18">
        <v>3</v>
      </c>
      <c r="G2712" s="20">
        <v>188700</v>
      </c>
      <c r="H2712" s="18">
        <v>0</v>
      </c>
      <c r="I2712" s="20">
        <v>84171</v>
      </c>
      <c r="J2712" s="8">
        <f t="shared" si="126"/>
        <v>104529</v>
      </c>
      <c r="K2712" s="10">
        <f t="shared" si="127"/>
        <v>0.55394276629570749</v>
      </c>
      <c r="L2712" s="17">
        <f t="shared" si="128"/>
        <v>0</v>
      </c>
      <c r="M2712" t="str">
        <f>VLOOKUP(D2712,'Jer-Tip-Emp'!B:E,4,0)</f>
        <v>Platos mong</v>
      </c>
      <c r="N2712" t="str">
        <f>VLOOKUP(D2712,'Jer-Tip-Emp'!B:F,5,0)</f>
        <v>No Personal</v>
      </c>
      <c r="O2712" t="str">
        <f>VLOOKUP(D2712,'Jer-Tip-Emp'!B:G,6,0)</f>
        <v>Caja</v>
      </c>
    </row>
    <row r="2713" spans="1:15" ht="27.5" hidden="1" customHeight="1" x14ac:dyDescent="0.2">
      <c r="A2713">
        <v>2025</v>
      </c>
      <c r="B2713" t="s">
        <v>599</v>
      </c>
      <c r="C2713" t="s">
        <v>609</v>
      </c>
      <c r="D2713" s="19" t="s">
        <v>445</v>
      </c>
      <c r="E2713" s="18" t="s">
        <v>570</v>
      </c>
      <c r="F2713" s="18">
        <v>3</v>
      </c>
      <c r="G2713" s="20">
        <v>4200</v>
      </c>
      <c r="H2713" s="18">
        <v>0</v>
      </c>
      <c r="I2713" s="20">
        <v>5133</v>
      </c>
      <c r="J2713" s="8">
        <f t="shared" si="126"/>
        <v>-933</v>
      </c>
      <c r="K2713" s="10">
        <f t="shared" si="127"/>
        <v>-0.22214285714285714</v>
      </c>
      <c r="L2713" s="17">
        <f t="shared" si="128"/>
        <v>0</v>
      </c>
      <c r="M2713" t="str">
        <f>VLOOKUP(D2713,'Jer-Tip-Emp'!B:E,4,0)</f>
        <v>Bebidas</v>
      </c>
      <c r="N2713" t="str">
        <f>VLOOKUP(D2713,'Jer-Tip-Emp'!B:F,5,0)</f>
        <v>Bebidas Cambio de bebida</v>
      </c>
      <c r="O2713" t="str">
        <f>VLOOKUP(D2713,'Jer-Tip-Emp'!B:G,6,0)</f>
        <v>Bebidas</v>
      </c>
    </row>
    <row r="2714" spans="1:15" ht="27.5" customHeight="1" x14ac:dyDescent="0.2">
      <c r="A2714">
        <v>2025</v>
      </c>
      <c r="B2714" t="s">
        <v>599</v>
      </c>
      <c r="C2714" t="s">
        <v>609</v>
      </c>
      <c r="D2714" s="19" t="s">
        <v>240</v>
      </c>
      <c r="E2714" s="18" t="s">
        <v>139</v>
      </c>
      <c r="F2714" s="18">
        <v>3</v>
      </c>
      <c r="G2714" s="20">
        <v>167700</v>
      </c>
      <c r="H2714" s="18">
        <v>0</v>
      </c>
      <c r="I2714" s="20">
        <v>72765</v>
      </c>
      <c r="J2714" s="8">
        <f t="shared" si="126"/>
        <v>94935</v>
      </c>
      <c r="K2714" s="10">
        <f t="shared" si="127"/>
        <v>0.5661001788908766</v>
      </c>
      <c r="L2714" s="17">
        <f t="shared" si="128"/>
        <v>0</v>
      </c>
      <c r="M2714" t="str">
        <f>VLOOKUP(D2714,'Jer-Tip-Emp'!B:E,4,0)</f>
        <v>Platos mong</v>
      </c>
      <c r="N2714" t="str">
        <f>VLOOKUP(D2714,'Jer-Tip-Emp'!B:F,5,0)</f>
        <v>No Personal</v>
      </c>
      <c r="O2714" t="str">
        <f>VLOOKUP(D2714,'Jer-Tip-Emp'!B:G,6,0)</f>
        <v>Caja</v>
      </c>
    </row>
    <row r="2715" spans="1:15" ht="27.5" customHeight="1" x14ac:dyDescent="0.2">
      <c r="A2715">
        <v>2025</v>
      </c>
      <c r="B2715" t="s">
        <v>599</v>
      </c>
      <c r="C2715" t="s">
        <v>609</v>
      </c>
      <c r="D2715" s="19" t="s">
        <v>260</v>
      </c>
      <c r="E2715" s="18" t="s">
        <v>88</v>
      </c>
      <c r="F2715" s="18">
        <v>3</v>
      </c>
      <c r="G2715" s="20">
        <v>155700</v>
      </c>
      <c r="H2715" s="18">
        <v>0</v>
      </c>
      <c r="I2715" s="20">
        <v>62733</v>
      </c>
      <c r="J2715" s="8">
        <f t="shared" si="126"/>
        <v>92967</v>
      </c>
      <c r="K2715" s="10">
        <f t="shared" si="127"/>
        <v>0.59709055876685935</v>
      </c>
      <c r="L2715" s="17">
        <f t="shared" si="128"/>
        <v>0</v>
      </c>
      <c r="M2715" t="str">
        <f>VLOOKUP(D2715,'Jer-Tip-Emp'!B:E,4,0)</f>
        <v>Platos mong</v>
      </c>
      <c r="N2715" t="str">
        <f>VLOOKUP(D2715,'Jer-Tip-Emp'!B:F,5,0)</f>
        <v>No Personal</v>
      </c>
      <c r="O2715" t="str">
        <f>VLOOKUP(D2715,'Jer-Tip-Emp'!B:G,6,0)</f>
        <v>Caja</v>
      </c>
    </row>
    <row r="2716" spans="1:15" ht="27.5" customHeight="1" x14ac:dyDescent="0.2">
      <c r="A2716">
        <v>2025</v>
      </c>
      <c r="B2716" t="s">
        <v>599</v>
      </c>
      <c r="C2716" t="s">
        <v>609</v>
      </c>
      <c r="D2716" s="19" t="s">
        <v>175</v>
      </c>
      <c r="E2716" s="18" t="s">
        <v>164</v>
      </c>
      <c r="F2716" s="18">
        <v>3</v>
      </c>
      <c r="G2716" s="20">
        <v>329700</v>
      </c>
      <c r="H2716" s="18">
        <v>0</v>
      </c>
      <c r="I2716" s="20">
        <v>150720</v>
      </c>
      <c r="J2716" s="8">
        <f t="shared" si="126"/>
        <v>178980</v>
      </c>
      <c r="K2716" s="10">
        <f t="shared" si="127"/>
        <v>0.54285714285714282</v>
      </c>
      <c r="L2716" s="17">
        <f t="shared" si="128"/>
        <v>0</v>
      </c>
      <c r="M2716" t="str">
        <f>VLOOKUP(D2716,'Jer-Tip-Emp'!B:E,4,0)</f>
        <v>Combos para compartir</v>
      </c>
      <c r="N2716" t="str">
        <f>VLOOKUP(D2716,'Jer-Tip-Emp'!B:F,5,0)</f>
        <v>No Personal</v>
      </c>
      <c r="O2716" t="str">
        <f>VLOOKUP(D2716,'Jer-Tip-Emp'!B:G,6,0)</f>
        <v>Combo</v>
      </c>
    </row>
    <row r="2717" spans="1:15" ht="27.5" hidden="1" customHeight="1" x14ac:dyDescent="0.2">
      <c r="A2717">
        <v>2025</v>
      </c>
      <c r="B2717" t="s">
        <v>599</v>
      </c>
      <c r="C2717" t="s">
        <v>609</v>
      </c>
      <c r="D2717" s="19" t="s">
        <v>494</v>
      </c>
      <c r="E2717" s="18" t="s">
        <v>568</v>
      </c>
      <c r="F2717" s="18">
        <v>2</v>
      </c>
      <c r="G2717" s="20">
        <v>2800</v>
      </c>
      <c r="H2717" s="18">
        <v>0</v>
      </c>
      <c r="I2717" s="20">
        <v>4278</v>
      </c>
      <c r="J2717" s="8">
        <f t="shared" si="126"/>
        <v>-1478</v>
      </c>
      <c r="K2717" s="10">
        <f t="shared" si="127"/>
        <v>-0.5278571428571428</v>
      </c>
      <c r="L2717" s="17">
        <f t="shared" si="128"/>
        <v>0</v>
      </c>
      <c r="M2717" t="str">
        <f>VLOOKUP(D2717,'Jer-Tip-Emp'!B:E,4,0)</f>
        <v>Bebidas</v>
      </c>
      <c r="N2717" t="str">
        <f>VLOOKUP(D2717,'Jer-Tip-Emp'!B:F,5,0)</f>
        <v>Bebidas Cambio de bebida</v>
      </c>
      <c r="O2717" t="str">
        <f>VLOOKUP(D2717,'Jer-Tip-Emp'!B:G,6,0)</f>
        <v>Bebidas</v>
      </c>
    </row>
    <row r="2718" spans="1:15" ht="27.5" hidden="1" customHeight="1" x14ac:dyDescent="0.2">
      <c r="A2718">
        <v>2025</v>
      </c>
      <c r="B2718" t="s">
        <v>599</v>
      </c>
      <c r="C2718" t="s">
        <v>609</v>
      </c>
      <c r="D2718" s="19" t="s">
        <v>490</v>
      </c>
      <c r="E2718" s="18" t="s">
        <v>554</v>
      </c>
      <c r="F2718" s="18">
        <v>2</v>
      </c>
      <c r="G2718" s="18">
        <v>0</v>
      </c>
      <c r="H2718" s="18">
        <v>0</v>
      </c>
      <c r="I2718" s="20">
        <v>4098</v>
      </c>
      <c r="J2718" s="8">
        <f t="shared" si="126"/>
        <v>-4098</v>
      </c>
      <c r="K2718" s="10">
        <f t="shared" si="127"/>
        <v>0</v>
      </c>
      <c r="L2718" s="17">
        <f t="shared" si="128"/>
        <v>0</v>
      </c>
      <c r="M2718" t="str">
        <f>VLOOKUP(D2718,'Jer-Tip-Emp'!B:E,4,0)</f>
        <v>Adición</v>
      </c>
      <c r="N2718" t="str">
        <f>VLOOKUP(D2718,'Jer-Tip-Emp'!B:F,5,0)</f>
        <v>Otro</v>
      </c>
      <c r="O2718" t="str">
        <f>VLOOKUP(D2718,'Jer-Tip-Emp'!B:G,6,0)</f>
        <v>Otro</v>
      </c>
    </row>
    <row r="2719" spans="1:15" ht="27.5" customHeight="1" x14ac:dyDescent="0.2">
      <c r="A2719">
        <v>2025</v>
      </c>
      <c r="B2719" t="s">
        <v>599</v>
      </c>
      <c r="C2719" t="s">
        <v>609</v>
      </c>
      <c r="D2719" s="19" t="s">
        <v>178</v>
      </c>
      <c r="E2719" s="18" t="s">
        <v>145</v>
      </c>
      <c r="F2719" s="18">
        <v>2</v>
      </c>
      <c r="G2719" s="20">
        <v>191800</v>
      </c>
      <c r="H2719" s="18">
        <v>0</v>
      </c>
      <c r="I2719" s="20">
        <v>97216</v>
      </c>
      <c r="J2719" s="8">
        <f t="shared" si="126"/>
        <v>94584</v>
      </c>
      <c r="K2719" s="10">
        <f t="shared" si="127"/>
        <v>0.49313868613138684</v>
      </c>
      <c r="L2719" s="17">
        <f t="shared" si="128"/>
        <v>0</v>
      </c>
      <c r="M2719" t="str">
        <f>VLOOKUP(D2719,'Jer-Tip-Emp'!B:E,4,0)</f>
        <v>Platos mong</v>
      </c>
      <c r="N2719" t="str">
        <f>VLOOKUP(D2719,'Jer-Tip-Emp'!B:F,5,0)</f>
        <v>No Personal</v>
      </c>
      <c r="O2719" t="str">
        <f>VLOOKUP(D2719,'Jer-Tip-Emp'!B:G,6,0)</f>
        <v>Caja</v>
      </c>
    </row>
    <row r="2720" spans="1:15" ht="27.5" hidden="1" customHeight="1" x14ac:dyDescent="0.2">
      <c r="A2720">
        <v>2025</v>
      </c>
      <c r="B2720" t="s">
        <v>599</v>
      </c>
      <c r="C2720" t="s">
        <v>609</v>
      </c>
      <c r="D2720" s="19" t="s">
        <v>432</v>
      </c>
      <c r="E2720" s="18" t="s">
        <v>576</v>
      </c>
      <c r="F2720" s="18">
        <v>2</v>
      </c>
      <c r="G2720" s="20">
        <v>2800</v>
      </c>
      <c r="H2720" s="18">
        <v>0</v>
      </c>
      <c r="I2720" s="20">
        <v>2736</v>
      </c>
      <c r="J2720" s="8">
        <f t="shared" si="126"/>
        <v>64</v>
      </c>
      <c r="K2720" s="10">
        <f t="shared" si="127"/>
        <v>2.2857142857142857E-2</v>
      </c>
      <c r="L2720" s="17">
        <f t="shared" si="128"/>
        <v>0</v>
      </c>
      <c r="M2720" t="str">
        <f>VLOOKUP(D2720,'Jer-Tip-Emp'!B:E,4,0)</f>
        <v>Bebidas</v>
      </c>
      <c r="N2720" t="str">
        <f>VLOOKUP(D2720,'Jer-Tip-Emp'!B:F,5,0)</f>
        <v>Bebidas Cambio de bebida</v>
      </c>
      <c r="O2720" t="str">
        <f>VLOOKUP(D2720,'Jer-Tip-Emp'!B:G,6,0)</f>
        <v>Bebidas</v>
      </c>
    </row>
    <row r="2721" spans="1:15" ht="27.5" hidden="1" customHeight="1" x14ac:dyDescent="0.2">
      <c r="A2721">
        <v>2025</v>
      </c>
      <c r="B2721" t="s">
        <v>599</v>
      </c>
      <c r="C2721" t="s">
        <v>609</v>
      </c>
      <c r="D2721" s="19" t="s">
        <v>254</v>
      </c>
      <c r="E2721" s="18" t="s">
        <v>20</v>
      </c>
      <c r="F2721" s="18">
        <v>2</v>
      </c>
      <c r="G2721" s="20">
        <v>13800</v>
      </c>
      <c r="H2721" s="18">
        <v>0</v>
      </c>
      <c r="I2721" s="20">
        <v>6020</v>
      </c>
      <c r="J2721" s="8">
        <f t="shared" si="126"/>
        <v>7780</v>
      </c>
      <c r="K2721" s="10">
        <f t="shared" si="127"/>
        <v>0.56376811594202902</v>
      </c>
      <c r="L2721" s="17">
        <f t="shared" si="128"/>
        <v>0</v>
      </c>
      <c r="M2721" t="str">
        <f>VLOOKUP(D2721,'Jer-Tip-Emp'!B:E,4,0)</f>
        <v>Adición</v>
      </c>
      <c r="N2721" t="str">
        <f>VLOOKUP(D2721,'Jer-Tip-Emp'!B:F,5,0)</f>
        <v>Adición</v>
      </c>
      <c r="O2721" t="str">
        <f>VLOOKUP(D2721,'Jer-Tip-Emp'!B:G,6,0)</f>
        <v>Adición</v>
      </c>
    </row>
    <row r="2722" spans="1:15" ht="27.5" hidden="1" customHeight="1" x14ac:dyDescent="0.2">
      <c r="A2722">
        <v>2025</v>
      </c>
      <c r="B2722" t="s">
        <v>599</v>
      </c>
      <c r="C2722" t="s">
        <v>609</v>
      </c>
      <c r="D2722" s="19" t="s">
        <v>411</v>
      </c>
      <c r="E2722" s="18" t="s">
        <v>569</v>
      </c>
      <c r="F2722" s="18">
        <v>2</v>
      </c>
      <c r="G2722" s="20">
        <v>4000</v>
      </c>
      <c r="H2722" s="18">
        <v>0</v>
      </c>
      <c r="I2722" s="20">
        <v>4470</v>
      </c>
      <c r="J2722" s="8">
        <f t="shared" si="126"/>
        <v>-470</v>
      </c>
      <c r="K2722" s="10">
        <f t="shared" si="127"/>
        <v>-0.11749999999999999</v>
      </c>
      <c r="L2722" s="17">
        <f t="shared" si="128"/>
        <v>0</v>
      </c>
      <c r="M2722" t="str">
        <f>VLOOKUP(D2722,'Jer-Tip-Emp'!B:E,4,0)</f>
        <v>Bebidas</v>
      </c>
      <c r="N2722" t="str">
        <f>VLOOKUP(D2722,'Jer-Tip-Emp'!B:F,5,0)</f>
        <v>Bebidas Cambio de bebida</v>
      </c>
      <c r="O2722" t="str">
        <f>VLOOKUP(D2722,'Jer-Tip-Emp'!B:G,6,0)</f>
        <v>Bebidas</v>
      </c>
    </row>
    <row r="2723" spans="1:15" ht="27.5" customHeight="1" x14ac:dyDescent="0.2">
      <c r="A2723">
        <v>2025</v>
      </c>
      <c r="B2723" t="s">
        <v>599</v>
      </c>
      <c r="C2723" t="s">
        <v>609</v>
      </c>
      <c r="D2723" s="19" t="s">
        <v>241</v>
      </c>
      <c r="E2723" s="18" t="s">
        <v>107</v>
      </c>
      <c r="F2723" s="18">
        <v>2</v>
      </c>
      <c r="G2723" s="20">
        <v>165800</v>
      </c>
      <c r="H2723" s="18">
        <v>0</v>
      </c>
      <c r="I2723" s="20">
        <v>85408</v>
      </c>
      <c r="J2723" s="8">
        <f t="shared" si="126"/>
        <v>80392</v>
      </c>
      <c r="K2723" s="10">
        <f t="shared" si="127"/>
        <v>0.48487334137515076</v>
      </c>
      <c r="L2723" s="17">
        <f t="shared" si="128"/>
        <v>0</v>
      </c>
      <c r="M2723" t="str">
        <f>VLOOKUP(D2723,'Jer-Tip-Emp'!B:E,4,0)</f>
        <v>Platos mong</v>
      </c>
      <c r="N2723" t="str">
        <f>VLOOKUP(D2723,'Jer-Tip-Emp'!B:F,5,0)</f>
        <v>No Personal</v>
      </c>
      <c r="O2723" t="str">
        <f>VLOOKUP(D2723,'Jer-Tip-Emp'!B:G,6,0)</f>
        <v>Caja</v>
      </c>
    </row>
    <row r="2724" spans="1:15" ht="27.5" customHeight="1" x14ac:dyDescent="0.2">
      <c r="A2724">
        <v>2025</v>
      </c>
      <c r="B2724" t="s">
        <v>599</v>
      </c>
      <c r="C2724" t="s">
        <v>609</v>
      </c>
      <c r="D2724" s="19" t="s">
        <v>204</v>
      </c>
      <c r="E2724" s="18" t="s">
        <v>151</v>
      </c>
      <c r="F2724" s="18">
        <v>2</v>
      </c>
      <c r="G2724" s="20">
        <v>91800</v>
      </c>
      <c r="H2724" s="18">
        <v>0</v>
      </c>
      <c r="I2724" s="20">
        <v>38882</v>
      </c>
      <c r="J2724" s="8">
        <f t="shared" si="126"/>
        <v>52918</v>
      </c>
      <c r="K2724" s="10">
        <f t="shared" si="127"/>
        <v>0.57644880174291935</v>
      </c>
      <c r="L2724" s="17">
        <f t="shared" si="128"/>
        <v>0</v>
      </c>
      <c r="M2724" t="str">
        <f>VLOOKUP(D2724,'Jer-Tip-Emp'!B:E,4,0)</f>
        <v>Platos mong</v>
      </c>
      <c r="N2724" t="str">
        <f>VLOOKUP(D2724,'Jer-Tip-Emp'!B:F,5,0)</f>
        <v>No Personal</v>
      </c>
      <c r="O2724" t="str">
        <f>VLOOKUP(D2724,'Jer-Tip-Emp'!B:G,6,0)</f>
        <v>Caja</v>
      </c>
    </row>
    <row r="2725" spans="1:15" ht="27.5" customHeight="1" x14ac:dyDescent="0.2">
      <c r="A2725">
        <v>2025</v>
      </c>
      <c r="B2725" t="s">
        <v>599</v>
      </c>
      <c r="C2725" t="s">
        <v>609</v>
      </c>
      <c r="D2725" s="19" t="s">
        <v>278</v>
      </c>
      <c r="E2725" s="18" t="s">
        <v>84</v>
      </c>
      <c r="F2725" s="18">
        <v>1</v>
      </c>
      <c r="G2725" s="20">
        <v>21900</v>
      </c>
      <c r="H2725" s="18">
        <v>0</v>
      </c>
      <c r="I2725" s="20">
        <v>7973</v>
      </c>
      <c r="J2725" s="8">
        <f t="shared" si="126"/>
        <v>13927</v>
      </c>
      <c r="K2725" s="10">
        <f t="shared" si="127"/>
        <v>0.63593607305936073</v>
      </c>
      <c r="L2725" s="17">
        <f t="shared" si="128"/>
        <v>0</v>
      </c>
      <c r="M2725" t="str">
        <f>VLOOKUP(D2725,'Jer-Tip-Emp'!B:E,4,0)</f>
        <v>Combos para compartir</v>
      </c>
      <c r="N2725" t="str">
        <f>VLOOKUP(D2725,'Jer-Tip-Emp'!B:F,5,0)</f>
        <v>No Personal</v>
      </c>
      <c r="O2725" t="str">
        <f>VLOOKUP(D2725,'Jer-Tip-Emp'!B:G,6,0)</f>
        <v>Combo</v>
      </c>
    </row>
    <row r="2726" spans="1:15" ht="27.5" hidden="1" customHeight="1" x14ac:dyDescent="0.2">
      <c r="A2726">
        <v>2025</v>
      </c>
      <c r="B2726" t="s">
        <v>599</v>
      </c>
      <c r="C2726" t="s">
        <v>609</v>
      </c>
      <c r="D2726" s="19" t="s">
        <v>431</v>
      </c>
      <c r="E2726" s="18" t="s">
        <v>560</v>
      </c>
      <c r="F2726" s="18">
        <v>1</v>
      </c>
      <c r="G2726" s="20">
        <v>1261</v>
      </c>
      <c r="H2726" s="18">
        <v>-139</v>
      </c>
      <c r="I2726" s="20">
        <v>1330</v>
      </c>
      <c r="J2726" s="8">
        <f t="shared" si="126"/>
        <v>-69</v>
      </c>
      <c r="K2726" s="10">
        <f t="shared" si="127"/>
        <v>-5.471847739888977E-2</v>
      </c>
      <c r="L2726" s="17">
        <f t="shared" si="128"/>
        <v>0.11022997620935765</v>
      </c>
      <c r="M2726" t="str">
        <f>VLOOKUP(D2726,'Jer-Tip-Emp'!B:E,4,0)</f>
        <v>Bebidas</v>
      </c>
      <c r="N2726" t="str">
        <f>VLOOKUP(D2726,'Jer-Tip-Emp'!B:F,5,0)</f>
        <v>Bebidas Cambio de bebida</v>
      </c>
      <c r="O2726" t="str">
        <f>VLOOKUP(D2726,'Jer-Tip-Emp'!B:G,6,0)</f>
        <v>Bebidas</v>
      </c>
    </row>
    <row r="2727" spans="1:15" ht="27.5" hidden="1" customHeight="1" x14ac:dyDescent="0.2">
      <c r="A2727">
        <v>2025</v>
      </c>
      <c r="B2727" t="s">
        <v>599</v>
      </c>
      <c r="C2727" t="s">
        <v>609</v>
      </c>
      <c r="D2727" s="19" t="s">
        <v>426</v>
      </c>
      <c r="E2727" s="18" t="s">
        <v>561</v>
      </c>
      <c r="F2727" s="18">
        <v>1</v>
      </c>
      <c r="G2727" s="20">
        <v>1400</v>
      </c>
      <c r="H2727" s="18">
        <v>0</v>
      </c>
      <c r="I2727" s="20">
        <v>1516</v>
      </c>
      <c r="J2727" s="8">
        <f t="shared" si="126"/>
        <v>-116</v>
      </c>
      <c r="K2727" s="10">
        <f t="shared" si="127"/>
        <v>-8.2857142857142851E-2</v>
      </c>
      <c r="L2727" s="17">
        <f t="shared" si="128"/>
        <v>0</v>
      </c>
      <c r="M2727" t="str">
        <f>VLOOKUP(D2727,'Jer-Tip-Emp'!B:E,4,0)</f>
        <v>Bebidas</v>
      </c>
      <c r="N2727" t="str">
        <f>VLOOKUP(D2727,'Jer-Tip-Emp'!B:F,5,0)</f>
        <v>Bebidas Cambio de bebida</v>
      </c>
      <c r="O2727" t="str">
        <f>VLOOKUP(D2727,'Jer-Tip-Emp'!B:G,6,0)</f>
        <v>Bebidas</v>
      </c>
    </row>
    <row r="2728" spans="1:15" ht="27.5" customHeight="1" x14ac:dyDescent="0.2">
      <c r="A2728">
        <v>2025</v>
      </c>
      <c r="B2728" t="s">
        <v>599</v>
      </c>
      <c r="C2728" t="s">
        <v>609</v>
      </c>
      <c r="D2728" s="19" t="s">
        <v>252</v>
      </c>
      <c r="E2728" s="18" t="s">
        <v>100</v>
      </c>
      <c r="F2728" s="18">
        <v>1</v>
      </c>
      <c r="G2728" s="20">
        <v>66900</v>
      </c>
      <c r="H2728" s="18">
        <v>0</v>
      </c>
      <c r="I2728" s="20">
        <v>32351</v>
      </c>
      <c r="J2728" s="8">
        <f t="shared" si="126"/>
        <v>34549</v>
      </c>
      <c r="K2728" s="10">
        <f t="shared" si="127"/>
        <v>0.51642750373692081</v>
      </c>
      <c r="L2728" s="17">
        <f t="shared" si="128"/>
        <v>0</v>
      </c>
      <c r="M2728" t="str">
        <f>VLOOKUP(D2728,'Jer-Tip-Emp'!B:E,4,0)</f>
        <v>Platos mong</v>
      </c>
      <c r="N2728" t="str">
        <f>VLOOKUP(D2728,'Jer-Tip-Emp'!B:F,5,0)</f>
        <v>No Personal</v>
      </c>
      <c r="O2728" t="str">
        <f>VLOOKUP(D2728,'Jer-Tip-Emp'!B:G,6,0)</f>
        <v>Caja</v>
      </c>
    </row>
    <row r="2729" spans="1:15" ht="27.5" customHeight="1" x14ac:dyDescent="0.2">
      <c r="A2729">
        <v>2025</v>
      </c>
      <c r="B2729" t="s">
        <v>599</v>
      </c>
      <c r="C2729" t="s">
        <v>609</v>
      </c>
      <c r="D2729" s="19" t="s">
        <v>291</v>
      </c>
      <c r="E2729" s="18" t="s">
        <v>119</v>
      </c>
      <c r="F2729" s="18">
        <v>1</v>
      </c>
      <c r="G2729" s="20">
        <v>59900</v>
      </c>
      <c r="H2729" s="18">
        <v>0</v>
      </c>
      <c r="I2729" s="20">
        <v>18195</v>
      </c>
      <c r="J2729" s="8">
        <f t="shared" si="126"/>
        <v>41705</v>
      </c>
      <c r="K2729" s="10">
        <f t="shared" si="127"/>
        <v>0.69624373956594321</v>
      </c>
      <c r="L2729" s="17">
        <f t="shared" si="128"/>
        <v>0</v>
      </c>
      <c r="M2729" t="str">
        <f>VLOOKUP(D2729,'Jer-Tip-Emp'!B:E,4,0)</f>
        <v>Platos mong</v>
      </c>
      <c r="N2729" t="str">
        <f>VLOOKUP(D2729,'Jer-Tip-Emp'!B:F,5,0)</f>
        <v>No Personal</v>
      </c>
      <c r="O2729" t="str">
        <f>VLOOKUP(D2729,'Jer-Tip-Emp'!B:G,6,0)</f>
        <v>Caja</v>
      </c>
    </row>
    <row r="2730" spans="1:15" ht="27.5" hidden="1" customHeight="1" x14ac:dyDescent="0.2">
      <c r="A2730">
        <v>2025</v>
      </c>
      <c r="B2730" t="s">
        <v>599</v>
      </c>
      <c r="C2730" t="s">
        <v>609</v>
      </c>
      <c r="D2730" s="19" t="s">
        <v>311</v>
      </c>
      <c r="E2730" s="18" t="s">
        <v>625</v>
      </c>
      <c r="F2730" s="18">
        <v>1</v>
      </c>
      <c r="G2730" s="20">
        <v>5900</v>
      </c>
      <c r="H2730" s="18">
        <v>0</v>
      </c>
      <c r="I2730" s="20">
        <v>2049</v>
      </c>
      <c r="J2730" s="8">
        <f t="shared" si="126"/>
        <v>3851</v>
      </c>
      <c r="K2730" s="10">
        <f t="shared" si="127"/>
        <v>0.65271186440677964</v>
      </c>
      <c r="L2730" s="17">
        <f t="shared" si="128"/>
        <v>0</v>
      </c>
      <c r="M2730" t="str">
        <f>VLOOKUP(D2730,'Jer-Tip-Emp'!B:E,4,0)</f>
        <v>Adición</v>
      </c>
      <c r="N2730" t="str">
        <f>VLOOKUP(D2730,'Jer-Tip-Emp'!B:F,5,0)</f>
        <v>Adición</v>
      </c>
      <c r="O2730" t="str">
        <f>VLOOKUP(D2730,'Jer-Tip-Emp'!B:G,6,0)</f>
        <v>Adición</v>
      </c>
    </row>
    <row r="2731" spans="1:15" ht="27.5" hidden="1" customHeight="1" x14ac:dyDescent="0.2">
      <c r="A2731">
        <v>2025</v>
      </c>
      <c r="B2731" t="s">
        <v>599</v>
      </c>
      <c r="C2731" t="s">
        <v>609</v>
      </c>
      <c r="D2731" s="19" t="s">
        <v>339</v>
      </c>
      <c r="E2731" s="18" t="s">
        <v>65</v>
      </c>
      <c r="F2731" s="18">
        <v>1</v>
      </c>
      <c r="G2731" s="20">
        <v>4900</v>
      </c>
      <c r="H2731" s="18">
        <v>0</v>
      </c>
      <c r="I2731" s="20">
        <v>1560</v>
      </c>
      <c r="J2731" s="8">
        <f t="shared" si="126"/>
        <v>3340</v>
      </c>
      <c r="K2731" s="10">
        <f t="shared" si="127"/>
        <v>0.68163265306122445</v>
      </c>
      <c r="L2731" s="17">
        <f t="shared" si="128"/>
        <v>0</v>
      </c>
      <c r="M2731" t="str">
        <f>VLOOKUP(D2731,'Jer-Tip-Emp'!B:E,4,0)</f>
        <v>Bebidas</v>
      </c>
      <c r="N2731" t="str">
        <f>VLOOKUP(D2731,'Jer-Tip-Emp'!B:F,5,0)</f>
        <v>Bebidas</v>
      </c>
      <c r="O2731" t="str">
        <f>VLOOKUP(D2731,'Jer-Tip-Emp'!B:G,6,0)</f>
        <v>Bebidas</v>
      </c>
    </row>
    <row r="2732" spans="1:15" ht="27.5" customHeight="1" x14ac:dyDescent="0.2">
      <c r="A2732">
        <v>2025</v>
      </c>
      <c r="B2732" t="s">
        <v>599</v>
      </c>
      <c r="C2732" t="s">
        <v>609</v>
      </c>
      <c r="D2732" s="19" t="s">
        <v>248</v>
      </c>
      <c r="E2732" s="18" t="s">
        <v>134</v>
      </c>
      <c r="F2732" s="18">
        <v>1</v>
      </c>
      <c r="G2732" s="20">
        <v>49900</v>
      </c>
      <c r="H2732" s="18">
        <v>0</v>
      </c>
      <c r="I2732" s="20">
        <v>19989</v>
      </c>
      <c r="J2732" s="8">
        <f t="shared" si="126"/>
        <v>29911</v>
      </c>
      <c r="K2732" s="10">
        <f t="shared" si="127"/>
        <v>0.59941883767535065</v>
      </c>
      <c r="L2732" s="17">
        <f t="shared" si="128"/>
        <v>0</v>
      </c>
      <c r="M2732" t="str">
        <f>VLOOKUP(D2732,'Jer-Tip-Emp'!B:E,4,0)</f>
        <v>Platos mong</v>
      </c>
      <c r="N2732" t="str">
        <f>VLOOKUP(D2732,'Jer-Tip-Emp'!B:F,5,0)</f>
        <v>No Personal</v>
      </c>
      <c r="O2732" t="str">
        <f>VLOOKUP(D2732,'Jer-Tip-Emp'!B:G,6,0)</f>
        <v>Caja</v>
      </c>
    </row>
    <row r="2733" spans="1:15" ht="27.5" hidden="1" customHeight="1" x14ac:dyDescent="0.2">
      <c r="A2733">
        <v>2025</v>
      </c>
      <c r="B2733" t="s">
        <v>599</v>
      </c>
      <c r="C2733" t="s">
        <v>609</v>
      </c>
      <c r="D2733" s="19" t="s">
        <v>461</v>
      </c>
      <c r="E2733" s="18" t="s">
        <v>571</v>
      </c>
      <c r="F2733" s="18">
        <v>1</v>
      </c>
      <c r="G2733" s="20">
        <v>1400</v>
      </c>
      <c r="H2733" s="18">
        <v>0</v>
      </c>
      <c r="I2733" s="18">
        <v>950</v>
      </c>
      <c r="J2733" s="8">
        <f t="shared" si="126"/>
        <v>450</v>
      </c>
      <c r="K2733" s="10">
        <f t="shared" si="127"/>
        <v>0.32142857142857145</v>
      </c>
      <c r="L2733" s="17">
        <f t="shared" si="128"/>
        <v>0</v>
      </c>
      <c r="M2733" t="str">
        <f>VLOOKUP(D2733,'Jer-Tip-Emp'!B:E,4,0)</f>
        <v>Bebidas</v>
      </c>
      <c r="N2733" t="str">
        <f>VLOOKUP(D2733,'Jer-Tip-Emp'!B:F,5,0)</f>
        <v>Bebidas Cambio de bebida</v>
      </c>
      <c r="O2733" t="str">
        <f>VLOOKUP(D2733,'Jer-Tip-Emp'!B:G,6,0)</f>
        <v>Bebidas</v>
      </c>
    </row>
    <row r="2734" spans="1:15" ht="27.5" hidden="1" customHeight="1" x14ac:dyDescent="0.2">
      <c r="A2734">
        <v>2025</v>
      </c>
      <c r="B2734" t="s">
        <v>599</v>
      </c>
      <c r="C2734" t="s">
        <v>609</v>
      </c>
      <c r="D2734" s="19" t="s">
        <v>495</v>
      </c>
      <c r="E2734" s="18" t="s">
        <v>572</v>
      </c>
      <c r="F2734" s="18">
        <v>1</v>
      </c>
      <c r="G2734" s="20">
        <v>1400</v>
      </c>
      <c r="H2734" s="18">
        <v>0</v>
      </c>
      <c r="I2734" s="20">
        <v>1896</v>
      </c>
      <c r="J2734" s="8">
        <f t="shared" si="126"/>
        <v>-496</v>
      </c>
      <c r="K2734" s="10">
        <f t="shared" si="127"/>
        <v>-0.35428571428571426</v>
      </c>
      <c r="L2734" s="17">
        <f t="shared" si="128"/>
        <v>0</v>
      </c>
      <c r="M2734" t="str">
        <f>VLOOKUP(D2734,'Jer-Tip-Emp'!B:E,4,0)</f>
        <v>Bebidas</v>
      </c>
      <c r="N2734" t="str">
        <f>VLOOKUP(D2734,'Jer-Tip-Emp'!B:F,5,0)</f>
        <v>Bebidas Cambio de bebida</v>
      </c>
      <c r="O2734" t="str">
        <f>VLOOKUP(D2734,'Jer-Tip-Emp'!B:G,6,0)</f>
        <v>Bebidas</v>
      </c>
    </row>
    <row r="2735" spans="1:15" ht="27.5" hidden="1" customHeight="1" x14ac:dyDescent="0.2">
      <c r="A2735">
        <v>2025</v>
      </c>
      <c r="B2735" t="s">
        <v>599</v>
      </c>
      <c r="C2735" t="s">
        <v>609</v>
      </c>
      <c r="D2735" s="19" t="s">
        <v>450</v>
      </c>
      <c r="E2735" s="18" t="s">
        <v>565</v>
      </c>
      <c r="F2735" s="18">
        <v>1</v>
      </c>
      <c r="G2735" s="20">
        <v>1400</v>
      </c>
      <c r="H2735" s="18">
        <v>0</v>
      </c>
      <c r="I2735" s="20">
        <v>1874</v>
      </c>
      <c r="J2735" s="8">
        <f t="shared" si="126"/>
        <v>-474</v>
      </c>
      <c r="K2735" s="10">
        <f t="shared" si="127"/>
        <v>-0.33857142857142858</v>
      </c>
      <c r="L2735" s="17">
        <f t="shared" si="128"/>
        <v>0</v>
      </c>
      <c r="M2735" t="str">
        <f>VLOOKUP(D2735,'Jer-Tip-Emp'!B:E,4,0)</f>
        <v>Bebidas</v>
      </c>
      <c r="N2735" t="str">
        <f>VLOOKUP(D2735,'Jer-Tip-Emp'!B:F,5,0)</f>
        <v>Bebidas Cambio de bebida</v>
      </c>
      <c r="O2735" t="str">
        <f>VLOOKUP(D2735,'Jer-Tip-Emp'!B:G,6,0)</f>
        <v>Bebidas</v>
      </c>
    </row>
    <row r="2736" spans="1:15" ht="27.5" hidden="1" customHeight="1" x14ac:dyDescent="0.2">
      <c r="A2736">
        <v>2025</v>
      </c>
      <c r="B2736" t="s">
        <v>599</v>
      </c>
      <c r="C2736" t="s">
        <v>609</v>
      </c>
      <c r="D2736" s="19" t="s">
        <v>360</v>
      </c>
      <c r="E2736" s="18" t="s">
        <v>620</v>
      </c>
      <c r="F2736" s="18">
        <v>1</v>
      </c>
      <c r="G2736" s="20">
        <v>5000</v>
      </c>
      <c r="H2736" s="18">
        <v>0</v>
      </c>
      <c r="I2736" s="20">
        <v>1569</v>
      </c>
      <c r="J2736" s="8">
        <f t="shared" si="126"/>
        <v>3431</v>
      </c>
      <c r="K2736" s="10">
        <f t="shared" si="127"/>
        <v>0.68620000000000003</v>
      </c>
      <c r="L2736" s="17">
        <f t="shared" si="128"/>
        <v>0</v>
      </c>
      <c r="M2736" t="str">
        <f>VLOOKUP(D2736,'Jer-Tip-Emp'!B:E,4,0)</f>
        <v>Adición</v>
      </c>
      <c r="N2736" t="str">
        <f>VLOOKUP(D2736,'Jer-Tip-Emp'!B:F,5,0)</f>
        <v>Adición</v>
      </c>
      <c r="O2736" t="str">
        <f>VLOOKUP(D2736,'Jer-Tip-Emp'!B:G,6,0)</f>
        <v>Adición</v>
      </c>
    </row>
    <row r="2737" spans="1:15" ht="27.5" customHeight="1" x14ac:dyDescent="0.2">
      <c r="A2737">
        <v>2025</v>
      </c>
      <c r="B2737" t="s">
        <v>599</v>
      </c>
      <c r="C2737" t="s">
        <v>609</v>
      </c>
      <c r="D2737" s="19" t="s">
        <v>249</v>
      </c>
      <c r="E2737" s="18" t="s">
        <v>148</v>
      </c>
      <c r="F2737" s="18">
        <v>1</v>
      </c>
      <c r="G2737" s="20">
        <v>79900</v>
      </c>
      <c r="H2737" s="18">
        <v>0</v>
      </c>
      <c r="I2737" s="20">
        <v>43364</v>
      </c>
      <c r="J2737" s="8">
        <f t="shared" si="126"/>
        <v>36536</v>
      </c>
      <c r="K2737" s="10">
        <f t="shared" si="127"/>
        <v>0.45727158948685859</v>
      </c>
      <c r="L2737" s="17">
        <f t="shared" si="128"/>
        <v>0</v>
      </c>
      <c r="M2737" t="str">
        <f>VLOOKUP(D2737,'Jer-Tip-Emp'!B:E,4,0)</f>
        <v>Platos mong</v>
      </c>
      <c r="N2737" t="str">
        <f>VLOOKUP(D2737,'Jer-Tip-Emp'!B:F,5,0)</f>
        <v>No Personal</v>
      </c>
      <c r="O2737" t="str">
        <f>VLOOKUP(D2737,'Jer-Tip-Emp'!B:G,6,0)</f>
        <v>Caja</v>
      </c>
    </row>
    <row r="2738" spans="1:15" ht="27.5" hidden="1" customHeight="1" x14ac:dyDescent="0.2">
      <c r="A2738">
        <v>2025</v>
      </c>
      <c r="B2738" t="s">
        <v>599</v>
      </c>
      <c r="C2738" t="s">
        <v>609</v>
      </c>
      <c r="D2738" s="19" t="s">
        <v>365</v>
      </c>
      <c r="E2738" s="18" t="s">
        <v>558</v>
      </c>
      <c r="F2738" s="18">
        <v>1</v>
      </c>
      <c r="G2738" s="18">
        <v>500</v>
      </c>
      <c r="H2738" s="18">
        <v>0</v>
      </c>
      <c r="I2738" s="20">
        <v>1569</v>
      </c>
      <c r="J2738" s="8">
        <f t="shared" si="126"/>
        <v>-1069</v>
      </c>
      <c r="K2738" s="10">
        <f t="shared" si="127"/>
        <v>-2.1379999999999999</v>
      </c>
      <c r="L2738" s="17">
        <f t="shared" si="128"/>
        <v>0</v>
      </c>
      <c r="M2738" t="str">
        <f>VLOOKUP(D2738,'Jer-Tip-Emp'!B:E,4,0)</f>
        <v>Adición</v>
      </c>
      <c r="N2738" t="str">
        <f>VLOOKUP(D2738,'Jer-Tip-Emp'!B:F,5,0)</f>
        <v>Otro</v>
      </c>
      <c r="O2738" t="str">
        <f>VLOOKUP(D2738,'Jer-Tip-Emp'!B:G,6,0)</f>
        <v>Otro</v>
      </c>
    </row>
    <row r="2739" spans="1:15" ht="27.5" hidden="1" customHeight="1" x14ac:dyDescent="0.2">
      <c r="A2739">
        <v>2025</v>
      </c>
      <c r="B2739" t="s">
        <v>599</v>
      </c>
      <c r="C2739" t="s">
        <v>594</v>
      </c>
      <c r="D2739" s="19" t="s">
        <v>346</v>
      </c>
      <c r="E2739" s="18" t="s">
        <v>551</v>
      </c>
      <c r="F2739" s="18">
        <v>93</v>
      </c>
      <c r="G2739" s="18">
        <v>0</v>
      </c>
      <c r="H2739" s="18">
        <v>0</v>
      </c>
      <c r="I2739" s="18">
        <v>0</v>
      </c>
      <c r="J2739" s="8">
        <f t="shared" si="126"/>
        <v>0</v>
      </c>
      <c r="K2739" s="10">
        <f t="shared" si="127"/>
        <v>0</v>
      </c>
      <c r="L2739" s="17">
        <f t="shared" si="128"/>
        <v>0</v>
      </c>
      <c r="M2739" t="str">
        <f>VLOOKUP(D2739,'Jer-Tip-Emp'!B:E,4,0)</f>
        <v>Adición</v>
      </c>
      <c r="N2739" t="str">
        <f>VLOOKUP(D2739,'Jer-Tip-Emp'!B:F,5,0)</f>
        <v>Adición</v>
      </c>
      <c r="O2739" t="str">
        <f>VLOOKUP(D2739,'Jer-Tip-Emp'!B:G,6,0)</f>
        <v>Adición</v>
      </c>
    </row>
    <row r="2740" spans="1:15" ht="27.5" hidden="1" customHeight="1" x14ac:dyDescent="0.2">
      <c r="A2740">
        <v>2025</v>
      </c>
      <c r="B2740" t="s">
        <v>599</v>
      </c>
      <c r="C2740" t="s">
        <v>594</v>
      </c>
      <c r="D2740" s="19" t="s">
        <v>173</v>
      </c>
      <c r="E2740" s="18" t="s">
        <v>542</v>
      </c>
      <c r="F2740" s="18">
        <v>50</v>
      </c>
      <c r="G2740" s="18">
        <v>0</v>
      </c>
      <c r="H2740" s="18">
        <v>0</v>
      </c>
      <c r="I2740" s="18">
        <v>0</v>
      </c>
      <c r="J2740" s="8">
        <f t="shared" si="126"/>
        <v>0</v>
      </c>
      <c r="K2740" s="10">
        <f t="shared" si="127"/>
        <v>0</v>
      </c>
      <c r="L2740" s="17">
        <f t="shared" si="128"/>
        <v>0</v>
      </c>
      <c r="M2740" t="str">
        <f>VLOOKUP(D2740,'Jer-Tip-Emp'!B:E,4,0)</f>
        <v>Bebidas</v>
      </c>
      <c r="N2740" t="str">
        <f>VLOOKUP(D2740,'Jer-Tip-Emp'!B:F,5,0)</f>
        <v>Bebidas Cambio de bebida</v>
      </c>
      <c r="O2740" t="str">
        <f>VLOOKUP(D2740,'Jer-Tip-Emp'!B:G,6,0)</f>
        <v>Bebidas</v>
      </c>
    </row>
    <row r="2741" spans="1:15" ht="27.5" customHeight="1" x14ac:dyDescent="0.2">
      <c r="A2741">
        <v>2025</v>
      </c>
      <c r="B2741" t="s">
        <v>599</v>
      </c>
      <c r="C2741" t="s">
        <v>594</v>
      </c>
      <c r="D2741" s="19" t="s">
        <v>207</v>
      </c>
      <c r="E2741" s="18" t="s">
        <v>92</v>
      </c>
      <c r="F2741" s="18">
        <v>36</v>
      </c>
      <c r="G2741" s="20">
        <v>751150</v>
      </c>
      <c r="H2741" s="20">
        <v>-217250</v>
      </c>
      <c r="I2741" s="20">
        <v>346572</v>
      </c>
      <c r="J2741" s="8">
        <f t="shared" si="126"/>
        <v>404578</v>
      </c>
      <c r="K2741" s="10">
        <f t="shared" si="127"/>
        <v>0.53861146242428282</v>
      </c>
      <c r="L2741" s="17">
        <f t="shared" si="128"/>
        <v>0.28922319110696931</v>
      </c>
      <c r="M2741" t="str">
        <f>VLOOKUP(D2741,'Jer-Tip-Emp'!B:E,4,0)</f>
        <v>Combos personales</v>
      </c>
      <c r="N2741" t="str">
        <f>VLOOKUP(D2741,'Jer-Tip-Emp'!B:F,5,0)</f>
        <v>Personal</v>
      </c>
      <c r="O2741" t="str">
        <f>VLOOKUP(D2741,'Jer-Tip-Emp'!B:G,6,0)</f>
        <v>Combo</v>
      </c>
    </row>
    <row r="2742" spans="1:15" ht="27.5" customHeight="1" x14ac:dyDescent="0.2">
      <c r="A2742">
        <v>2025</v>
      </c>
      <c r="B2742" t="s">
        <v>599</v>
      </c>
      <c r="C2742" t="s">
        <v>594</v>
      </c>
      <c r="D2742" s="19" t="s">
        <v>196</v>
      </c>
      <c r="E2742" s="18" t="s">
        <v>159</v>
      </c>
      <c r="F2742" s="18">
        <v>26</v>
      </c>
      <c r="G2742" s="20">
        <v>561900</v>
      </c>
      <c r="H2742" s="20">
        <v>-163500</v>
      </c>
      <c r="I2742" s="20">
        <v>247026</v>
      </c>
      <c r="J2742" s="8">
        <f t="shared" si="126"/>
        <v>314874</v>
      </c>
      <c r="K2742" s="10">
        <f t="shared" si="127"/>
        <v>0.56037373198077944</v>
      </c>
      <c r="L2742" s="17">
        <f t="shared" si="128"/>
        <v>0.29097704217832354</v>
      </c>
      <c r="M2742" t="str">
        <f>VLOOKUP(D2742,'Jer-Tip-Emp'!B:E,4,0)</f>
        <v>Combos personales</v>
      </c>
      <c r="N2742" t="str">
        <f>VLOOKUP(D2742,'Jer-Tip-Emp'!B:F,5,0)</f>
        <v>Personal</v>
      </c>
      <c r="O2742" t="str">
        <f>VLOOKUP(D2742,'Jer-Tip-Emp'!B:G,6,0)</f>
        <v>Combo</v>
      </c>
    </row>
    <row r="2743" spans="1:15" ht="27.5" customHeight="1" x14ac:dyDescent="0.2">
      <c r="A2743">
        <v>2025</v>
      </c>
      <c r="B2743" t="s">
        <v>599</v>
      </c>
      <c r="C2743" t="s">
        <v>594</v>
      </c>
      <c r="D2743" s="19" t="s">
        <v>184</v>
      </c>
      <c r="E2743" s="18" t="s">
        <v>162</v>
      </c>
      <c r="F2743" s="18">
        <v>18</v>
      </c>
      <c r="G2743" s="20">
        <v>322550</v>
      </c>
      <c r="H2743" s="20">
        <v>-89650</v>
      </c>
      <c r="I2743" s="18">
        <v>0</v>
      </c>
      <c r="J2743" s="8">
        <f t="shared" si="126"/>
        <v>322550</v>
      </c>
      <c r="K2743" s="10">
        <f t="shared" si="127"/>
        <v>1</v>
      </c>
      <c r="L2743" s="17">
        <f t="shared" si="128"/>
        <v>0.27794140443342119</v>
      </c>
      <c r="M2743" t="str">
        <f>VLOOKUP(D2743,'Jer-Tip-Emp'!B:E,4,0)</f>
        <v>Combos personales</v>
      </c>
      <c r="N2743" t="str">
        <f>VLOOKUP(D2743,'Jer-Tip-Emp'!B:F,5,0)</f>
        <v>Personal</v>
      </c>
      <c r="O2743" t="str">
        <f>VLOOKUP(D2743,'Jer-Tip-Emp'!B:G,6,0)</f>
        <v>Caja</v>
      </c>
    </row>
    <row r="2744" spans="1:15" ht="27.5" hidden="1" customHeight="1" x14ac:dyDescent="0.2">
      <c r="A2744">
        <v>2025</v>
      </c>
      <c r="B2744" t="s">
        <v>599</v>
      </c>
      <c r="C2744" t="s">
        <v>594</v>
      </c>
      <c r="D2744" s="19" t="s">
        <v>236</v>
      </c>
      <c r="E2744" s="18" t="s">
        <v>621</v>
      </c>
      <c r="F2744" s="18">
        <v>13</v>
      </c>
      <c r="G2744" s="18">
        <v>0</v>
      </c>
      <c r="H2744" s="18">
        <v>0</v>
      </c>
      <c r="I2744" s="18">
        <v>0</v>
      </c>
      <c r="J2744" s="8">
        <f t="shared" si="126"/>
        <v>0</v>
      </c>
      <c r="K2744" s="10">
        <f t="shared" si="127"/>
        <v>0</v>
      </c>
      <c r="L2744" s="17">
        <f t="shared" si="128"/>
        <v>0</v>
      </c>
      <c r="M2744" t="str">
        <f>VLOOKUP(D2744,'Jer-Tip-Emp'!B:E,4,0)</f>
        <v>Otro</v>
      </c>
      <c r="N2744" t="str">
        <f>VLOOKUP(D2744,'Jer-Tip-Emp'!B:F,5,0)</f>
        <v>Otro</v>
      </c>
      <c r="O2744" t="str">
        <f>VLOOKUP(D2744,'Jer-Tip-Emp'!B:G,6,0)</f>
        <v>Otro</v>
      </c>
    </row>
    <row r="2745" spans="1:15" ht="27.5" customHeight="1" x14ac:dyDescent="0.2">
      <c r="A2745">
        <v>2025</v>
      </c>
      <c r="B2745" t="s">
        <v>599</v>
      </c>
      <c r="C2745" t="s">
        <v>594</v>
      </c>
      <c r="D2745" s="19" t="s">
        <v>186</v>
      </c>
      <c r="E2745" s="18" t="s">
        <v>95</v>
      </c>
      <c r="F2745" s="18">
        <v>11</v>
      </c>
      <c r="G2745" s="20">
        <v>282800</v>
      </c>
      <c r="H2745" s="20">
        <v>-79100</v>
      </c>
      <c r="I2745" s="20">
        <v>105270</v>
      </c>
      <c r="J2745" s="8">
        <f t="shared" si="126"/>
        <v>177530</v>
      </c>
      <c r="K2745" s="10">
        <f t="shared" si="127"/>
        <v>0.62775813295615279</v>
      </c>
      <c r="L2745" s="17">
        <f t="shared" si="128"/>
        <v>0.27970297029702973</v>
      </c>
      <c r="M2745" t="str">
        <f>VLOOKUP(D2745,'Jer-Tip-Emp'!B:E,4,0)</f>
        <v>Combos personales</v>
      </c>
      <c r="N2745" t="str">
        <f>VLOOKUP(D2745,'Jer-Tip-Emp'!B:F,5,0)</f>
        <v>Personal</v>
      </c>
      <c r="O2745" t="str">
        <f>VLOOKUP(D2745,'Jer-Tip-Emp'!B:G,6,0)</f>
        <v>Combo</v>
      </c>
    </row>
    <row r="2746" spans="1:15" ht="27.5" customHeight="1" x14ac:dyDescent="0.2">
      <c r="A2746">
        <v>2025</v>
      </c>
      <c r="B2746" t="s">
        <v>599</v>
      </c>
      <c r="C2746" t="s">
        <v>594</v>
      </c>
      <c r="D2746" s="19" t="s">
        <v>212</v>
      </c>
      <c r="E2746" s="18" t="s">
        <v>160</v>
      </c>
      <c r="F2746" s="18">
        <v>10</v>
      </c>
      <c r="G2746" s="20">
        <v>254750</v>
      </c>
      <c r="H2746" s="20">
        <v>-74250</v>
      </c>
      <c r="I2746" s="20">
        <v>112530</v>
      </c>
      <c r="J2746" s="8">
        <f t="shared" si="126"/>
        <v>142220</v>
      </c>
      <c r="K2746" s="10">
        <f t="shared" si="127"/>
        <v>0.55827281648675176</v>
      </c>
      <c r="L2746" s="17">
        <f t="shared" si="128"/>
        <v>0.29146221786064769</v>
      </c>
      <c r="M2746" t="str">
        <f>VLOOKUP(D2746,'Jer-Tip-Emp'!B:E,4,0)</f>
        <v>Combos personales</v>
      </c>
      <c r="N2746" t="str">
        <f>VLOOKUP(D2746,'Jer-Tip-Emp'!B:F,5,0)</f>
        <v>Personal</v>
      </c>
      <c r="O2746" t="str">
        <f>VLOOKUP(D2746,'Jer-Tip-Emp'!B:G,6,0)</f>
        <v>Combo</v>
      </c>
    </row>
    <row r="2747" spans="1:15" ht="27.5" hidden="1" customHeight="1" x14ac:dyDescent="0.2">
      <c r="A2747">
        <v>2025</v>
      </c>
      <c r="B2747" t="s">
        <v>599</v>
      </c>
      <c r="C2747" t="s">
        <v>594</v>
      </c>
      <c r="D2747" s="19" t="s">
        <v>338</v>
      </c>
      <c r="E2747" s="18" t="s">
        <v>579</v>
      </c>
      <c r="F2747" s="18">
        <v>9</v>
      </c>
      <c r="G2747" s="20">
        <v>3600</v>
      </c>
      <c r="H2747" s="18">
        <v>0</v>
      </c>
      <c r="I2747" s="20">
        <v>2889</v>
      </c>
      <c r="J2747" s="8">
        <f t="shared" si="126"/>
        <v>711</v>
      </c>
      <c r="K2747" s="10">
        <f t="shared" si="127"/>
        <v>0.19750000000000001</v>
      </c>
      <c r="L2747" s="17">
        <f t="shared" si="128"/>
        <v>0</v>
      </c>
      <c r="M2747" t="str">
        <f>VLOOKUP(D2747,'Jer-Tip-Emp'!B:E,4,0)</f>
        <v>Adición</v>
      </c>
      <c r="N2747" t="str">
        <f>VLOOKUP(D2747,'Jer-Tip-Emp'!B:F,5,0)</f>
        <v>Adición</v>
      </c>
      <c r="O2747" t="str">
        <f>VLOOKUP(D2747,'Jer-Tip-Emp'!B:G,6,0)</f>
        <v>Adición</v>
      </c>
    </row>
    <row r="2748" spans="1:15" ht="27.5" customHeight="1" x14ac:dyDescent="0.2">
      <c r="A2748">
        <v>2025</v>
      </c>
      <c r="B2748" t="s">
        <v>599</v>
      </c>
      <c r="C2748" t="s">
        <v>594</v>
      </c>
      <c r="D2748" s="19" t="s">
        <v>177</v>
      </c>
      <c r="E2748" s="18" t="s">
        <v>99</v>
      </c>
      <c r="F2748" s="18">
        <v>7</v>
      </c>
      <c r="G2748" s="20">
        <v>173700</v>
      </c>
      <c r="H2748" s="20">
        <v>-49600</v>
      </c>
      <c r="I2748" s="18">
        <v>0</v>
      </c>
      <c r="J2748" s="8">
        <f t="shared" si="126"/>
        <v>173700</v>
      </c>
      <c r="K2748" s="10">
        <f t="shared" si="127"/>
        <v>1</v>
      </c>
      <c r="L2748" s="17">
        <f t="shared" si="128"/>
        <v>0.28554979850316636</v>
      </c>
      <c r="M2748" t="str">
        <f>VLOOKUP(D2748,'Jer-Tip-Emp'!B:E,4,0)</f>
        <v>Combos personales</v>
      </c>
      <c r="N2748" t="str">
        <f>VLOOKUP(D2748,'Jer-Tip-Emp'!B:F,5,0)</f>
        <v>Personal</v>
      </c>
      <c r="O2748" t="str">
        <f>VLOOKUP(D2748,'Jer-Tip-Emp'!B:G,6,0)</f>
        <v>Combo</v>
      </c>
    </row>
    <row r="2749" spans="1:15" ht="27.5" hidden="1" customHeight="1" x14ac:dyDescent="0.2">
      <c r="A2749">
        <v>2025</v>
      </c>
      <c r="B2749" t="s">
        <v>599</v>
      </c>
      <c r="C2749" t="s">
        <v>594</v>
      </c>
      <c r="D2749" s="19" t="s">
        <v>490</v>
      </c>
      <c r="E2749" s="18" t="s">
        <v>554</v>
      </c>
      <c r="F2749" s="18">
        <v>7</v>
      </c>
      <c r="G2749" s="18">
        <v>0</v>
      </c>
      <c r="H2749" s="18">
        <v>0</v>
      </c>
      <c r="I2749" s="20">
        <v>14343</v>
      </c>
      <c r="J2749" s="8">
        <f t="shared" si="126"/>
        <v>-14343</v>
      </c>
      <c r="K2749" s="10">
        <f t="shared" si="127"/>
        <v>0</v>
      </c>
      <c r="L2749" s="17">
        <f t="shared" si="128"/>
        <v>0</v>
      </c>
      <c r="M2749" t="str">
        <f>VLOOKUP(D2749,'Jer-Tip-Emp'!B:E,4,0)</f>
        <v>Adición</v>
      </c>
      <c r="N2749" t="str">
        <f>VLOOKUP(D2749,'Jer-Tip-Emp'!B:F,5,0)</f>
        <v>Otro</v>
      </c>
      <c r="O2749" t="str">
        <f>VLOOKUP(D2749,'Jer-Tip-Emp'!B:G,6,0)</f>
        <v>Otro</v>
      </c>
    </row>
    <row r="2750" spans="1:15" ht="27.5" customHeight="1" x14ac:dyDescent="0.2">
      <c r="A2750">
        <v>2025</v>
      </c>
      <c r="B2750" t="s">
        <v>599</v>
      </c>
      <c r="C2750" t="s">
        <v>594</v>
      </c>
      <c r="D2750" s="19" t="s">
        <v>313</v>
      </c>
      <c r="E2750" s="18" t="s">
        <v>540</v>
      </c>
      <c r="F2750" s="18">
        <v>6</v>
      </c>
      <c r="G2750" s="18">
        <v>0</v>
      </c>
      <c r="H2750" s="18">
        <v>0</v>
      </c>
      <c r="I2750" s="20">
        <v>32946</v>
      </c>
      <c r="J2750" s="8">
        <f t="shared" si="126"/>
        <v>-32946</v>
      </c>
      <c r="K2750" s="10">
        <f t="shared" si="127"/>
        <v>0</v>
      </c>
      <c r="L2750" s="17">
        <f t="shared" si="128"/>
        <v>0</v>
      </c>
      <c r="M2750" t="str">
        <f>VLOOKUP(D2750,'Jer-Tip-Emp'!B:E,4,0)</f>
        <v>Arma tu plato</v>
      </c>
      <c r="N2750" t="str">
        <f>VLOOKUP(D2750,'Jer-Tip-Emp'!B:F,5,0)</f>
        <v>Personal</v>
      </c>
      <c r="O2750" t="str">
        <f>VLOOKUP(D2750,'Jer-Tip-Emp'!B:G,6,0)</f>
        <v>Caja</v>
      </c>
    </row>
    <row r="2751" spans="1:15" ht="27.5" hidden="1" customHeight="1" x14ac:dyDescent="0.2">
      <c r="A2751">
        <v>2025</v>
      </c>
      <c r="B2751" t="s">
        <v>599</v>
      </c>
      <c r="C2751" t="s">
        <v>594</v>
      </c>
      <c r="D2751" s="19" t="s">
        <v>360</v>
      </c>
      <c r="E2751" s="18" t="s">
        <v>620</v>
      </c>
      <c r="F2751" s="18">
        <v>6</v>
      </c>
      <c r="G2751" s="20">
        <v>27000</v>
      </c>
      <c r="H2751" s="18">
        <v>0</v>
      </c>
      <c r="I2751" s="20">
        <v>9414</v>
      </c>
      <c r="J2751" s="8">
        <f t="shared" si="126"/>
        <v>17586</v>
      </c>
      <c r="K2751" s="10">
        <f t="shared" si="127"/>
        <v>0.65133333333333332</v>
      </c>
      <c r="L2751" s="17">
        <f t="shared" si="128"/>
        <v>0</v>
      </c>
      <c r="M2751" t="str">
        <f>VLOOKUP(D2751,'Jer-Tip-Emp'!B:E,4,0)</f>
        <v>Adición</v>
      </c>
      <c r="N2751" t="str">
        <f>VLOOKUP(D2751,'Jer-Tip-Emp'!B:F,5,0)</f>
        <v>Adición</v>
      </c>
      <c r="O2751" t="str">
        <f>VLOOKUP(D2751,'Jer-Tip-Emp'!B:G,6,0)</f>
        <v>Adición</v>
      </c>
    </row>
    <row r="2752" spans="1:15" ht="27.5" hidden="1" customHeight="1" x14ac:dyDescent="0.2">
      <c r="A2752">
        <v>2025</v>
      </c>
      <c r="B2752" t="s">
        <v>599</v>
      </c>
      <c r="C2752" t="s">
        <v>594</v>
      </c>
      <c r="D2752" s="19" t="s">
        <v>365</v>
      </c>
      <c r="E2752" s="18" t="s">
        <v>558</v>
      </c>
      <c r="F2752" s="18">
        <v>6</v>
      </c>
      <c r="G2752" s="20">
        <v>3000</v>
      </c>
      <c r="H2752" s="18">
        <v>0</v>
      </c>
      <c r="I2752" s="20">
        <v>9414</v>
      </c>
      <c r="J2752" s="8">
        <f t="shared" si="126"/>
        <v>-6414</v>
      </c>
      <c r="K2752" s="10">
        <f t="shared" si="127"/>
        <v>-2.1379999999999999</v>
      </c>
      <c r="L2752" s="17">
        <f t="shared" si="128"/>
        <v>0</v>
      </c>
      <c r="M2752" t="str">
        <f>VLOOKUP(D2752,'Jer-Tip-Emp'!B:E,4,0)</f>
        <v>Adición</v>
      </c>
      <c r="N2752" t="str">
        <f>VLOOKUP(D2752,'Jer-Tip-Emp'!B:F,5,0)</f>
        <v>Otro</v>
      </c>
      <c r="O2752" t="str">
        <f>VLOOKUP(D2752,'Jer-Tip-Emp'!B:G,6,0)</f>
        <v>Otro</v>
      </c>
    </row>
    <row r="2753" spans="1:15" ht="27.5" hidden="1" customHeight="1" x14ac:dyDescent="0.2">
      <c r="A2753">
        <v>2025</v>
      </c>
      <c r="B2753" t="s">
        <v>599</v>
      </c>
      <c r="C2753" t="s">
        <v>594</v>
      </c>
      <c r="D2753" s="19" t="s">
        <v>254</v>
      </c>
      <c r="E2753" s="18" t="s">
        <v>20</v>
      </c>
      <c r="F2753" s="18">
        <v>4</v>
      </c>
      <c r="G2753" s="20">
        <v>23600</v>
      </c>
      <c r="H2753" s="18">
        <v>0</v>
      </c>
      <c r="I2753" s="20">
        <v>12040</v>
      </c>
      <c r="J2753" s="8">
        <f t="shared" ref="J2753:J2775" si="129">G2753-I2753</f>
        <v>11560</v>
      </c>
      <c r="K2753" s="10">
        <f t="shared" ref="K2753:K2775" si="130">IFERROR(J2753/G2753,0)</f>
        <v>0.48983050847457626</v>
      </c>
      <c r="L2753" s="17">
        <f t="shared" ref="L2753:L2775" si="131">IFERROR((H2753/G2753)*-1,0)</f>
        <v>0</v>
      </c>
      <c r="M2753" t="str">
        <f>VLOOKUP(D2753,'Jer-Tip-Emp'!B:E,4,0)</f>
        <v>Adición</v>
      </c>
      <c r="N2753" t="str">
        <f>VLOOKUP(D2753,'Jer-Tip-Emp'!B:F,5,0)</f>
        <v>Adición</v>
      </c>
      <c r="O2753" t="str">
        <f>VLOOKUP(D2753,'Jer-Tip-Emp'!B:G,6,0)</f>
        <v>Adición</v>
      </c>
    </row>
    <row r="2754" spans="1:15" ht="27.5" customHeight="1" x14ac:dyDescent="0.2">
      <c r="A2754">
        <v>2025</v>
      </c>
      <c r="B2754" t="s">
        <v>599</v>
      </c>
      <c r="C2754" t="s">
        <v>594</v>
      </c>
      <c r="D2754" s="19" t="s">
        <v>294</v>
      </c>
      <c r="E2754" s="18" t="s">
        <v>108</v>
      </c>
      <c r="F2754" s="18">
        <v>4</v>
      </c>
      <c r="G2754" s="20">
        <v>71600</v>
      </c>
      <c r="H2754" s="20">
        <v>-24000</v>
      </c>
      <c r="I2754" s="20">
        <v>32732</v>
      </c>
      <c r="J2754" s="8">
        <f t="shared" si="129"/>
        <v>38868</v>
      </c>
      <c r="K2754" s="10">
        <f t="shared" si="130"/>
        <v>0.54284916201117317</v>
      </c>
      <c r="L2754" s="17">
        <f t="shared" si="131"/>
        <v>0.33519553072625696</v>
      </c>
      <c r="M2754" t="str">
        <f>VLOOKUP(D2754,'Jer-Tip-Emp'!B:E,4,0)</f>
        <v>Mong Express</v>
      </c>
      <c r="N2754" t="str">
        <f>VLOOKUP(D2754,'Jer-Tip-Emp'!B:F,5,0)</f>
        <v>Personal</v>
      </c>
      <c r="O2754" t="str">
        <f>VLOOKUP(D2754,'Jer-Tip-Emp'!B:G,6,0)</f>
        <v>Caja</v>
      </c>
    </row>
    <row r="2755" spans="1:15" ht="27.5" customHeight="1" x14ac:dyDescent="0.2">
      <c r="A2755">
        <v>2025</v>
      </c>
      <c r="B2755" t="s">
        <v>599</v>
      </c>
      <c r="C2755" t="s">
        <v>594</v>
      </c>
      <c r="D2755" s="19" t="s">
        <v>376</v>
      </c>
      <c r="E2755" s="18" t="s">
        <v>543</v>
      </c>
      <c r="F2755" s="18">
        <v>4</v>
      </c>
      <c r="G2755" s="18">
        <v>0</v>
      </c>
      <c r="H2755" s="18">
        <v>0</v>
      </c>
      <c r="I2755" s="20">
        <v>5128</v>
      </c>
      <c r="J2755" s="8">
        <f t="shared" si="129"/>
        <v>-5128</v>
      </c>
      <c r="K2755" s="10">
        <f t="shared" si="130"/>
        <v>0</v>
      </c>
      <c r="L2755" s="17">
        <f t="shared" si="131"/>
        <v>0</v>
      </c>
      <c r="M2755" t="str">
        <f>VLOOKUP(D2755,'Jer-Tip-Emp'!B:E,4,0)</f>
        <v>Arma tu plato</v>
      </c>
      <c r="N2755" t="str">
        <f>VLOOKUP(D2755,'Jer-Tip-Emp'!B:F,5,0)</f>
        <v>Personal</v>
      </c>
      <c r="O2755" t="str">
        <f>VLOOKUP(D2755,'Jer-Tip-Emp'!B:G,6,0)</f>
        <v>Caja</v>
      </c>
    </row>
    <row r="2756" spans="1:15" ht="27.5" hidden="1" customHeight="1" x14ac:dyDescent="0.2">
      <c r="A2756">
        <v>2025</v>
      </c>
      <c r="B2756" t="s">
        <v>599</v>
      </c>
      <c r="C2756" t="s">
        <v>594</v>
      </c>
      <c r="D2756" s="19" t="s">
        <v>328</v>
      </c>
      <c r="E2756" s="18" t="s">
        <v>555</v>
      </c>
      <c r="F2756" s="18">
        <v>4</v>
      </c>
      <c r="G2756" s="20">
        <v>4000</v>
      </c>
      <c r="H2756" s="18">
        <v>0</v>
      </c>
      <c r="I2756" s="18">
        <v>236</v>
      </c>
      <c r="J2756" s="8">
        <f t="shared" si="129"/>
        <v>3764</v>
      </c>
      <c r="K2756" s="10">
        <f t="shared" si="130"/>
        <v>0.94099999999999995</v>
      </c>
      <c r="L2756" s="17">
        <f t="shared" si="131"/>
        <v>0</v>
      </c>
      <c r="M2756" t="str">
        <f>VLOOKUP(D2756,'Jer-Tip-Emp'!B:E,4,0)</f>
        <v>Adición</v>
      </c>
      <c r="N2756" t="str">
        <f>VLOOKUP(D2756,'Jer-Tip-Emp'!B:F,5,0)</f>
        <v>Adición</v>
      </c>
      <c r="O2756" t="str">
        <f>VLOOKUP(D2756,'Jer-Tip-Emp'!B:G,6,0)</f>
        <v>Adición</v>
      </c>
    </row>
    <row r="2757" spans="1:15" ht="27.5" hidden="1" customHeight="1" x14ac:dyDescent="0.2">
      <c r="A2757">
        <v>2025</v>
      </c>
      <c r="B2757" t="s">
        <v>599</v>
      </c>
      <c r="C2757" t="s">
        <v>594</v>
      </c>
      <c r="D2757" s="19" t="s">
        <v>457</v>
      </c>
      <c r="E2757" s="18" t="s">
        <v>602</v>
      </c>
      <c r="F2757" s="18">
        <v>3</v>
      </c>
      <c r="G2757" s="20">
        <v>20100</v>
      </c>
      <c r="H2757" s="18">
        <v>0</v>
      </c>
      <c r="I2757" s="18">
        <v>21</v>
      </c>
      <c r="J2757" s="8">
        <f t="shared" si="129"/>
        <v>20079</v>
      </c>
      <c r="K2757" s="10">
        <f t="shared" si="130"/>
        <v>0.99895522388059699</v>
      </c>
      <c r="L2757" s="17">
        <f t="shared" si="131"/>
        <v>0</v>
      </c>
      <c r="M2757" t="str">
        <f>VLOOKUP(D2757,'Jer-Tip-Emp'!B:E,4,0)</f>
        <v>Adición</v>
      </c>
      <c r="N2757" t="str">
        <f>VLOOKUP(D2757,'Jer-Tip-Emp'!B:F,5,0)</f>
        <v>Adición</v>
      </c>
      <c r="O2757" t="str">
        <f>VLOOKUP(D2757,'Jer-Tip-Emp'!B:G,6,0)</f>
        <v>Adición</v>
      </c>
    </row>
    <row r="2758" spans="1:15" ht="27.5" customHeight="1" x14ac:dyDescent="0.2">
      <c r="A2758">
        <v>2025</v>
      </c>
      <c r="B2758" t="s">
        <v>599</v>
      </c>
      <c r="C2758" t="s">
        <v>594</v>
      </c>
      <c r="D2758" s="19" t="s">
        <v>470</v>
      </c>
      <c r="E2758" s="18" t="s">
        <v>550</v>
      </c>
      <c r="F2758" s="18">
        <v>3</v>
      </c>
      <c r="G2758" s="18">
        <v>0</v>
      </c>
      <c r="H2758" s="18">
        <v>0</v>
      </c>
      <c r="I2758" s="20">
        <v>9291</v>
      </c>
      <c r="J2758" s="8">
        <f t="shared" si="129"/>
        <v>-9291</v>
      </c>
      <c r="K2758" s="10">
        <f t="shared" si="130"/>
        <v>0</v>
      </c>
      <c r="L2758" s="17">
        <f t="shared" si="131"/>
        <v>0</v>
      </c>
      <c r="M2758" t="str">
        <f>VLOOKUP(D2758,'Jer-Tip-Emp'!B:E,4,0)</f>
        <v>Arma tu plato</v>
      </c>
      <c r="N2758" t="str">
        <f>VLOOKUP(D2758,'Jer-Tip-Emp'!B:F,5,0)</f>
        <v>Personal</v>
      </c>
      <c r="O2758" t="str">
        <f>VLOOKUP(D2758,'Jer-Tip-Emp'!B:G,6,0)</f>
        <v>Caja</v>
      </c>
    </row>
    <row r="2759" spans="1:15" ht="27.5" hidden="1" customHeight="1" x14ac:dyDescent="0.2">
      <c r="A2759">
        <v>2025</v>
      </c>
      <c r="B2759" t="s">
        <v>599</v>
      </c>
      <c r="C2759" t="s">
        <v>594</v>
      </c>
      <c r="D2759" s="19" t="s">
        <v>236</v>
      </c>
      <c r="E2759" s="18" t="s">
        <v>622</v>
      </c>
      <c r="F2759" s="18">
        <v>3</v>
      </c>
      <c r="G2759" s="20">
        <v>6000</v>
      </c>
      <c r="H2759" s="18">
        <v>0</v>
      </c>
      <c r="I2759" s="18">
        <v>0</v>
      </c>
      <c r="J2759" s="8">
        <f t="shared" si="129"/>
        <v>6000</v>
      </c>
      <c r="K2759" s="10">
        <f t="shared" si="130"/>
        <v>1</v>
      </c>
      <c r="L2759" s="17">
        <f t="shared" si="131"/>
        <v>0</v>
      </c>
      <c r="M2759" t="str">
        <f>VLOOKUP(D2759,'Jer-Tip-Emp'!B:E,4,0)</f>
        <v>Otro</v>
      </c>
      <c r="N2759" t="str">
        <f>VLOOKUP(D2759,'Jer-Tip-Emp'!B:F,5,0)</f>
        <v>Otro</v>
      </c>
      <c r="O2759" t="str">
        <f>VLOOKUP(D2759,'Jer-Tip-Emp'!B:G,6,0)</f>
        <v>Otro</v>
      </c>
    </row>
    <row r="2760" spans="1:15" ht="27.5" hidden="1" customHeight="1" x14ac:dyDescent="0.2">
      <c r="A2760">
        <v>2025</v>
      </c>
      <c r="B2760" t="s">
        <v>599</v>
      </c>
      <c r="C2760" t="s">
        <v>594</v>
      </c>
      <c r="D2760" s="19" t="s">
        <v>367</v>
      </c>
      <c r="E2760" s="18" t="s">
        <v>566</v>
      </c>
      <c r="F2760" s="18">
        <v>3</v>
      </c>
      <c r="G2760" s="20">
        <v>3000</v>
      </c>
      <c r="H2760" s="18">
        <v>0</v>
      </c>
      <c r="I2760" s="18">
        <v>0</v>
      </c>
      <c r="J2760" s="8">
        <f t="shared" si="129"/>
        <v>3000</v>
      </c>
      <c r="K2760" s="10">
        <f t="shared" si="130"/>
        <v>1</v>
      </c>
      <c r="L2760" s="17">
        <f t="shared" si="131"/>
        <v>0</v>
      </c>
      <c r="M2760" t="str">
        <f>VLOOKUP(D2760,'Jer-Tip-Emp'!B:E,4,0)</f>
        <v>Adición</v>
      </c>
      <c r="N2760" t="str">
        <f>VLOOKUP(D2760,'Jer-Tip-Emp'!B:F,5,0)</f>
        <v>Adición</v>
      </c>
      <c r="O2760" t="str">
        <f>VLOOKUP(D2760,'Jer-Tip-Emp'!B:G,6,0)</f>
        <v>Adición</v>
      </c>
    </row>
    <row r="2761" spans="1:15" ht="27.5" hidden="1" customHeight="1" x14ac:dyDescent="0.2">
      <c r="A2761">
        <v>2025</v>
      </c>
      <c r="B2761" t="s">
        <v>599</v>
      </c>
      <c r="C2761" t="s">
        <v>594</v>
      </c>
      <c r="D2761" s="19" t="s">
        <v>189</v>
      </c>
      <c r="E2761" s="18" t="s">
        <v>21</v>
      </c>
      <c r="F2761" s="18">
        <v>2</v>
      </c>
      <c r="G2761" s="20">
        <v>15800</v>
      </c>
      <c r="H2761" s="18">
        <v>0</v>
      </c>
      <c r="I2761" s="20">
        <v>4928</v>
      </c>
      <c r="J2761" s="8">
        <f t="shared" si="129"/>
        <v>10872</v>
      </c>
      <c r="K2761" s="10">
        <f t="shared" si="130"/>
        <v>0.68810126582278486</v>
      </c>
      <c r="L2761" s="17">
        <f t="shared" si="131"/>
        <v>0</v>
      </c>
      <c r="M2761" t="str">
        <f>VLOOKUP(D2761,'Jer-Tip-Emp'!B:E,4,0)</f>
        <v>Adición</v>
      </c>
      <c r="N2761" t="str">
        <f>VLOOKUP(D2761,'Jer-Tip-Emp'!B:F,5,0)</f>
        <v>Adición</v>
      </c>
      <c r="O2761" t="str">
        <f>VLOOKUP(D2761,'Jer-Tip-Emp'!B:G,6,0)</f>
        <v>Adición</v>
      </c>
    </row>
    <row r="2762" spans="1:15" ht="27.5" customHeight="1" x14ac:dyDescent="0.2">
      <c r="A2762">
        <v>2025</v>
      </c>
      <c r="B2762" t="s">
        <v>599</v>
      </c>
      <c r="C2762" t="s">
        <v>594</v>
      </c>
      <c r="D2762" s="19" t="s">
        <v>214</v>
      </c>
      <c r="E2762" s="18" t="s">
        <v>81</v>
      </c>
      <c r="F2762" s="18">
        <v>2</v>
      </c>
      <c r="G2762" s="20">
        <v>112950</v>
      </c>
      <c r="H2762" s="20">
        <v>-32850</v>
      </c>
      <c r="I2762" s="20">
        <v>47276</v>
      </c>
      <c r="J2762" s="8">
        <f t="shared" si="129"/>
        <v>65674</v>
      </c>
      <c r="K2762" s="10">
        <f t="shared" si="130"/>
        <v>0.58144311642319613</v>
      </c>
      <c r="L2762" s="17">
        <f t="shared" si="131"/>
        <v>0.2908366533864542</v>
      </c>
      <c r="M2762" t="str">
        <f>VLOOKUP(D2762,'Jer-Tip-Emp'!B:E,4,0)</f>
        <v>Combos para compartir</v>
      </c>
      <c r="N2762" t="str">
        <f>VLOOKUP(D2762,'Jer-Tip-Emp'!B:F,5,0)</f>
        <v>No Personal</v>
      </c>
      <c r="O2762" t="str">
        <f>VLOOKUP(D2762,'Jer-Tip-Emp'!B:G,6,0)</f>
        <v>Combo</v>
      </c>
    </row>
    <row r="2763" spans="1:15" ht="27.5" customHeight="1" x14ac:dyDescent="0.2">
      <c r="A2763">
        <v>2025</v>
      </c>
      <c r="B2763" t="s">
        <v>599</v>
      </c>
      <c r="C2763" t="s">
        <v>594</v>
      </c>
      <c r="D2763" s="19" t="s">
        <v>333</v>
      </c>
      <c r="E2763" s="18" t="s">
        <v>547</v>
      </c>
      <c r="F2763" s="18">
        <v>2</v>
      </c>
      <c r="G2763" s="18">
        <v>0</v>
      </c>
      <c r="H2763" s="18">
        <v>0</v>
      </c>
      <c r="I2763" s="20">
        <v>6644</v>
      </c>
      <c r="J2763" s="8">
        <f t="shared" si="129"/>
        <v>-6644</v>
      </c>
      <c r="K2763" s="10">
        <f t="shared" si="130"/>
        <v>0</v>
      </c>
      <c r="L2763" s="17">
        <f t="shared" si="131"/>
        <v>0</v>
      </c>
      <c r="M2763" t="str">
        <f>VLOOKUP(D2763,'Jer-Tip-Emp'!B:E,4,0)</f>
        <v>Arma tu plato</v>
      </c>
      <c r="N2763" t="str">
        <f>VLOOKUP(D2763,'Jer-Tip-Emp'!B:F,5,0)</f>
        <v>Personal</v>
      </c>
      <c r="O2763" t="str">
        <f>VLOOKUP(D2763,'Jer-Tip-Emp'!B:G,6,0)</f>
        <v>Caja</v>
      </c>
    </row>
    <row r="2764" spans="1:15" ht="27.5" customHeight="1" x14ac:dyDescent="0.2">
      <c r="A2764">
        <v>2025</v>
      </c>
      <c r="B2764" t="s">
        <v>599</v>
      </c>
      <c r="C2764" t="s">
        <v>594</v>
      </c>
      <c r="D2764" s="19" t="s">
        <v>322</v>
      </c>
      <c r="E2764" s="18" t="s">
        <v>545</v>
      </c>
      <c r="F2764" s="18">
        <v>2</v>
      </c>
      <c r="G2764" s="20">
        <v>4000</v>
      </c>
      <c r="H2764" s="18">
        <v>0</v>
      </c>
      <c r="I2764" s="20">
        <v>6216</v>
      </c>
      <c r="J2764" s="8">
        <f t="shared" si="129"/>
        <v>-2216</v>
      </c>
      <c r="K2764" s="10">
        <f t="shared" si="130"/>
        <v>-0.55400000000000005</v>
      </c>
      <c r="L2764" s="17">
        <f t="shared" si="131"/>
        <v>0</v>
      </c>
      <c r="M2764" t="str">
        <f>VLOOKUP(D2764,'Jer-Tip-Emp'!B:E,4,0)</f>
        <v>Arma tu plato</v>
      </c>
      <c r="N2764" t="str">
        <f>VLOOKUP(D2764,'Jer-Tip-Emp'!B:F,5,0)</f>
        <v>Personal</v>
      </c>
      <c r="O2764" t="str">
        <f>VLOOKUP(D2764,'Jer-Tip-Emp'!B:G,6,0)</f>
        <v>Caja</v>
      </c>
    </row>
    <row r="2765" spans="1:15" ht="27.5" hidden="1" customHeight="1" x14ac:dyDescent="0.2">
      <c r="A2765">
        <v>2025</v>
      </c>
      <c r="B2765" t="s">
        <v>599</v>
      </c>
      <c r="C2765" t="s">
        <v>594</v>
      </c>
      <c r="D2765" s="19" t="s">
        <v>400</v>
      </c>
      <c r="E2765" s="18" t="s">
        <v>564</v>
      </c>
      <c r="F2765" s="18">
        <v>2</v>
      </c>
      <c r="G2765" s="20">
        <v>9600</v>
      </c>
      <c r="H2765" s="18">
        <v>0</v>
      </c>
      <c r="I2765" s="20">
        <v>2564</v>
      </c>
      <c r="J2765" s="8">
        <f t="shared" si="129"/>
        <v>7036</v>
      </c>
      <c r="K2765" s="10">
        <f t="shared" si="130"/>
        <v>0.73291666666666666</v>
      </c>
      <c r="L2765" s="17">
        <f t="shared" si="131"/>
        <v>0</v>
      </c>
      <c r="M2765" t="str">
        <f>VLOOKUP(D2765,'Jer-Tip-Emp'!B:E,4,0)</f>
        <v>Adición</v>
      </c>
      <c r="N2765" t="str">
        <f>VLOOKUP(D2765,'Jer-Tip-Emp'!B:F,5,0)</f>
        <v>Adición</v>
      </c>
      <c r="O2765" t="str">
        <f>VLOOKUP(D2765,'Jer-Tip-Emp'!B:G,6,0)</f>
        <v>Adición</v>
      </c>
    </row>
    <row r="2766" spans="1:15" ht="27.5" hidden="1" customHeight="1" x14ac:dyDescent="0.2">
      <c r="A2766">
        <v>2025</v>
      </c>
      <c r="B2766" t="s">
        <v>599</v>
      </c>
      <c r="C2766" t="s">
        <v>594</v>
      </c>
      <c r="D2766" s="19" t="s">
        <v>284</v>
      </c>
      <c r="E2766" s="18" t="s">
        <v>106</v>
      </c>
      <c r="F2766" s="18">
        <v>2</v>
      </c>
      <c r="G2766" s="20">
        <v>21800</v>
      </c>
      <c r="H2766" s="18">
        <v>0</v>
      </c>
      <c r="I2766" s="20">
        <v>6278</v>
      </c>
      <c r="J2766" s="8">
        <f t="shared" si="129"/>
        <v>15522</v>
      </c>
      <c r="K2766" s="10">
        <f t="shared" si="130"/>
        <v>0.71201834862385316</v>
      </c>
      <c r="L2766" s="17">
        <f t="shared" si="131"/>
        <v>0</v>
      </c>
      <c r="M2766" t="str">
        <f>VLOOKUP(D2766,'Jer-Tip-Emp'!B:E,4,0)</f>
        <v>Entradas</v>
      </c>
      <c r="N2766" t="str">
        <f>VLOOKUP(D2766,'Jer-Tip-Emp'!B:F,5,0)</f>
        <v>Otro</v>
      </c>
      <c r="O2766" t="str">
        <f>VLOOKUP(D2766,'Jer-Tip-Emp'!B:G,6,0)</f>
        <v>Otro</v>
      </c>
    </row>
    <row r="2767" spans="1:15" ht="27.5" hidden="1" customHeight="1" x14ac:dyDescent="0.2">
      <c r="A2767">
        <v>2025</v>
      </c>
      <c r="B2767" t="s">
        <v>599</v>
      </c>
      <c r="C2767" t="s">
        <v>594</v>
      </c>
      <c r="D2767" s="19" t="s">
        <v>348</v>
      </c>
      <c r="E2767" s="18" t="s">
        <v>567</v>
      </c>
      <c r="F2767" s="18">
        <v>2</v>
      </c>
      <c r="G2767" s="20">
        <v>16000</v>
      </c>
      <c r="H2767" s="18">
        <v>0</v>
      </c>
      <c r="I2767" s="20">
        <v>3494</v>
      </c>
      <c r="J2767" s="8">
        <f t="shared" si="129"/>
        <v>12506</v>
      </c>
      <c r="K2767" s="10">
        <f t="shared" si="130"/>
        <v>0.78162500000000001</v>
      </c>
      <c r="L2767" s="17">
        <f t="shared" si="131"/>
        <v>0</v>
      </c>
      <c r="M2767" t="str">
        <f>VLOOKUP(D2767,'Jer-Tip-Emp'!B:E,4,0)</f>
        <v>Adición</v>
      </c>
      <c r="N2767" t="str">
        <f>VLOOKUP(D2767,'Jer-Tip-Emp'!B:F,5,0)</f>
        <v>Adición</v>
      </c>
      <c r="O2767" t="str">
        <f>VLOOKUP(D2767,'Jer-Tip-Emp'!B:G,6,0)</f>
        <v>Adición</v>
      </c>
    </row>
    <row r="2768" spans="1:15" ht="27.5" hidden="1" customHeight="1" x14ac:dyDescent="0.2">
      <c r="A2768">
        <v>2025</v>
      </c>
      <c r="B2768" t="s">
        <v>599</v>
      </c>
      <c r="C2768" t="s">
        <v>594</v>
      </c>
      <c r="D2768" s="19" t="s">
        <v>438</v>
      </c>
      <c r="E2768" s="18" t="s">
        <v>563</v>
      </c>
      <c r="F2768" s="18">
        <v>2</v>
      </c>
      <c r="G2768" s="20">
        <v>15200</v>
      </c>
      <c r="H2768" s="18">
        <v>0</v>
      </c>
      <c r="I2768" s="20">
        <v>5698</v>
      </c>
      <c r="J2768" s="8">
        <f t="shared" si="129"/>
        <v>9502</v>
      </c>
      <c r="K2768" s="10">
        <f t="shared" si="130"/>
        <v>0.62513157894736837</v>
      </c>
      <c r="L2768" s="17">
        <f t="shared" si="131"/>
        <v>0</v>
      </c>
      <c r="M2768" t="str">
        <f>VLOOKUP(D2768,'Jer-Tip-Emp'!B:E,4,0)</f>
        <v>Adición</v>
      </c>
      <c r="N2768" t="str">
        <f>VLOOKUP(D2768,'Jer-Tip-Emp'!B:F,5,0)</f>
        <v>Adición</v>
      </c>
      <c r="O2768" t="str">
        <f>VLOOKUP(D2768,'Jer-Tip-Emp'!B:G,6,0)</f>
        <v>Adición</v>
      </c>
    </row>
    <row r="2769" spans="1:15" ht="27.5" hidden="1" customHeight="1" x14ac:dyDescent="0.2">
      <c r="A2769">
        <v>2025</v>
      </c>
      <c r="B2769" t="s">
        <v>599</v>
      </c>
      <c r="C2769" t="s">
        <v>594</v>
      </c>
      <c r="D2769" s="19" t="s">
        <v>342</v>
      </c>
      <c r="E2769" s="18" t="s">
        <v>556</v>
      </c>
      <c r="F2769" s="18">
        <v>2</v>
      </c>
      <c r="G2769" s="20">
        <v>15200</v>
      </c>
      <c r="H2769" s="18">
        <v>0</v>
      </c>
      <c r="I2769" s="20">
        <v>6216</v>
      </c>
      <c r="J2769" s="8">
        <f t="shared" si="129"/>
        <v>8984</v>
      </c>
      <c r="K2769" s="10">
        <f t="shared" si="130"/>
        <v>0.59105263157894739</v>
      </c>
      <c r="L2769" s="17">
        <f t="shared" si="131"/>
        <v>0</v>
      </c>
      <c r="M2769" t="str">
        <f>VLOOKUP(D2769,'Jer-Tip-Emp'!B:E,4,0)</f>
        <v>Adición</v>
      </c>
      <c r="N2769" t="str">
        <f>VLOOKUP(D2769,'Jer-Tip-Emp'!B:F,5,0)</f>
        <v>Adición</v>
      </c>
      <c r="O2769" t="str">
        <f>VLOOKUP(D2769,'Jer-Tip-Emp'!B:G,6,0)</f>
        <v>Adición</v>
      </c>
    </row>
    <row r="2770" spans="1:15" ht="27.5" customHeight="1" x14ac:dyDescent="0.2">
      <c r="A2770">
        <v>2025</v>
      </c>
      <c r="B2770" t="s">
        <v>599</v>
      </c>
      <c r="C2770" t="s">
        <v>594</v>
      </c>
      <c r="D2770" s="19" t="s">
        <v>389</v>
      </c>
      <c r="E2770" s="18" t="s">
        <v>541</v>
      </c>
      <c r="F2770" s="18">
        <v>1</v>
      </c>
      <c r="G2770" s="18">
        <v>0</v>
      </c>
      <c r="H2770" s="18">
        <v>0</v>
      </c>
      <c r="I2770" s="20">
        <v>5467</v>
      </c>
      <c r="J2770" s="8">
        <f t="shared" si="129"/>
        <v>-5467</v>
      </c>
      <c r="K2770" s="10">
        <f t="shared" si="130"/>
        <v>0</v>
      </c>
      <c r="L2770" s="17">
        <f t="shared" si="131"/>
        <v>0</v>
      </c>
      <c r="M2770" t="str">
        <f>VLOOKUP(D2770,'Jer-Tip-Emp'!B:E,4,0)</f>
        <v>Arma tu plato</v>
      </c>
      <c r="N2770" t="str">
        <f>VLOOKUP(D2770,'Jer-Tip-Emp'!B:F,5,0)</f>
        <v>Personal</v>
      </c>
      <c r="O2770" t="str">
        <f>VLOOKUP(D2770,'Jer-Tip-Emp'!B:G,6,0)</f>
        <v>Caja</v>
      </c>
    </row>
    <row r="2771" spans="1:15" ht="27.5" hidden="1" customHeight="1" x14ac:dyDescent="0.2">
      <c r="A2771">
        <v>2025</v>
      </c>
      <c r="B2771" t="s">
        <v>599</v>
      </c>
      <c r="C2771" t="s">
        <v>594</v>
      </c>
      <c r="D2771" s="19" t="s">
        <v>418</v>
      </c>
      <c r="E2771" s="18" t="s">
        <v>557</v>
      </c>
      <c r="F2771" s="18">
        <v>1</v>
      </c>
      <c r="G2771" s="20">
        <v>1000</v>
      </c>
      <c r="H2771" s="18">
        <v>0</v>
      </c>
      <c r="I2771" s="18">
        <v>0</v>
      </c>
      <c r="J2771" s="8">
        <f t="shared" si="129"/>
        <v>1000</v>
      </c>
      <c r="K2771" s="10">
        <f t="shared" si="130"/>
        <v>1</v>
      </c>
      <c r="L2771" s="17">
        <f t="shared" si="131"/>
        <v>0</v>
      </c>
      <c r="M2771" t="str">
        <f>VLOOKUP(D2771,'Jer-Tip-Emp'!B:E,4,0)</f>
        <v>Adición</v>
      </c>
      <c r="N2771" t="str">
        <f>VLOOKUP(D2771,'Jer-Tip-Emp'!B:F,5,0)</f>
        <v>Adición</v>
      </c>
      <c r="O2771" t="str">
        <f>VLOOKUP(D2771,'Jer-Tip-Emp'!B:G,6,0)</f>
        <v>Adición</v>
      </c>
    </row>
    <row r="2772" spans="1:15" ht="27.5" hidden="1" customHeight="1" x14ac:dyDescent="0.2">
      <c r="A2772">
        <v>2025</v>
      </c>
      <c r="B2772" t="s">
        <v>599</v>
      </c>
      <c r="C2772" t="s">
        <v>594</v>
      </c>
      <c r="D2772" s="19" t="s">
        <v>268</v>
      </c>
      <c r="E2772" s="18" t="s">
        <v>17</v>
      </c>
      <c r="F2772" s="18">
        <v>1</v>
      </c>
      <c r="G2772" s="20">
        <v>6900</v>
      </c>
      <c r="H2772" s="18">
        <v>0</v>
      </c>
      <c r="I2772" s="20">
        <v>1282</v>
      </c>
      <c r="J2772" s="8">
        <f t="shared" si="129"/>
        <v>5618</v>
      </c>
      <c r="K2772" s="10">
        <f t="shared" si="130"/>
        <v>0.81420289855072459</v>
      </c>
      <c r="L2772" s="17">
        <f t="shared" si="131"/>
        <v>0</v>
      </c>
      <c r="M2772" t="str">
        <f>VLOOKUP(D2772,'Jer-Tip-Emp'!B:E,4,0)</f>
        <v>Adición</v>
      </c>
      <c r="N2772" t="str">
        <f>VLOOKUP(D2772,'Jer-Tip-Emp'!B:F,5,0)</f>
        <v>Adición</v>
      </c>
      <c r="O2772" t="str">
        <f>VLOOKUP(D2772,'Jer-Tip-Emp'!B:G,6,0)</f>
        <v>Adición</v>
      </c>
    </row>
    <row r="2773" spans="1:15" ht="27.5" hidden="1" customHeight="1" x14ac:dyDescent="0.2">
      <c r="A2773">
        <v>2025</v>
      </c>
      <c r="B2773" t="s">
        <v>599</v>
      </c>
      <c r="C2773" t="s">
        <v>594</v>
      </c>
      <c r="D2773" s="19" t="s">
        <v>311</v>
      </c>
      <c r="E2773" s="18" t="s">
        <v>625</v>
      </c>
      <c r="F2773" s="18">
        <v>1</v>
      </c>
      <c r="G2773" s="20">
        <v>5600</v>
      </c>
      <c r="H2773" s="18">
        <v>0</v>
      </c>
      <c r="I2773" s="20">
        <v>2049</v>
      </c>
      <c r="J2773" s="8">
        <f t="shared" si="129"/>
        <v>3551</v>
      </c>
      <c r="K2773" s="10">
        <f t="shared" si="130"/>
        <v>0.63410714285714287</v>
      </c>
      <c r="L2773" s="17">
        <f t="shared" si="131"/>
        <v>0</v>
      </c>
      <c r="M2773" t="str">
        <f>VLOOKUP(D2773,'Jer-Tip-Emp'!B:E,4,0)</f>
        <v>Adición</v>
      </c>
      <c r="N2773" t="str">
        <f>VLOOKUP(D2773,'Jer-Tip-Emp'!B:F,5,0)</f>
        <v>Adición</v>
      </c>
      <c r="O2773" t="str">
        <f>VLOOKUP(D2773,'Jer-Tip-Emp'!B:G,6,0)</f>
        <v>Adición</v>
      </c>
    </row>
    <row r="2774" spans="1:15" ht="27.5" hidden="1" customHeight="1" x14ac:dyDescent="0.2">
      <c r="A2774">
        <v>2025</v>
      </c>
      <c r="B2774" t="s">
        <v>599</v>
      </c>
      <c r="C2774" t="s">
        <v>594</v>
      </c>
      <c r="D2774" s="19" t="s">
        <v>236</v>
      </c>
      <c r="E2774" s="18" t="s">
        <v>623</v>
      </c>
      <c r="F2774" s="18">
        <v>1</v>
      </c>
      <c r="G2774" s="20">
        <v>2000</v>
      </c>
      <c r="H2774" s="18">
        <v>0</v>
      </c>
      <c r="I2774" s="18">
        <v>0</v>
      </c>
      <c r="J2774" s="8">
        <f t="shared" si="129"/>
        <v>2000</v>
      </c>
      <c r="K2774" s="10">
        <f t="shared" si="130"/>
        <v>1</v>
      </c>
      <c r="L2774" s="17">
        <f t="shared" si="131"/>
        <v>0</v>
      </c>
      <c r="M2774" t="str">
        <f>VLOOKUP(D2774,'Jer-Tip-Emp'!B:E,4,0)</f>
        <v>Otro</v>
      </c>
      <c r="N2774" t="str">
        <f>VLOOKUP(D2774,'Jer-Tip-Emp'!B:F,5,0)</f>
        <v>Otro</v>
      </c>
      <c r="O2774" t="str">
        <f>VLOOKUP(D2774,'Jer-Tip-Emp'!B:G,6,0)</f>
        <v>Otro</v>
      </c>
    </row>
    <row r="2775" spans="1:15" ht="27.5" customHeight="1" x14ac:dyDescent="0.2">
      <c r="A2775">
        <v>2025</v>
      </c>
      <c r="B2775" t="s">
        <v>599</v>
      </c>
      <c r="C2775" t="s">
        <v>594</v>
      </c>
      <c r="D2775" s="19" t="s">
        <v>206</v>
      </c>
      <c r="E2775" s="18" t="s">
        <v>117</v>
      </c>
      <c r="F2775" s="18">
        <v>1</v>
      </c>
      <c r="G2775" s="20">
        <v>19900</v>
      </c>
      <c r="H2775" s="18">
        <v>0</v>
      </c>
      <c r="I2775" s="20">
        <v>7125</v>
      </c>
      <c r="J2775" s="8">
        <f t="shared" si="129"/>
        <v>12775</v>
      </c>
      <c r="K2775" s="10">
        <f t="shared" si="130"/>
        <v>0.64195979899497491</v>
      </c>
      <c r="L2775" s="17">
        <f t="shared" si="131"/>
        <v>0</v>
      </c>
      <c r="M2775" t="str">
        <f>VLOOKUP(D2775,'Jer-Tip-Emp'!B:E,4,0)</f>
        <v>Platos especiales</v>
      </c>
      <c r="N2775" t="str">
        <f>VLOOKUP(D2775,'Jer-Tip-Emp'!B:F,5,0)</f>
        <v>Personal</v>
      </c>
      <c r="O2775" t="str">
        <f>VLOOKUP(D2775,'Jer-Tip-Emp'!B:G,6,0)</f>
        <v>Platos especiales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2D19-6C42-4786-9AB2-7615E158D85D}">
  <dimension ref="A1:G244"/>
  <sheetViews>
    <sheetView showGridLines="0" workbookViewId="0">
      <selection activeCell="G3" sqref="G3"/>
    </sheetView>
  </sheetViews>
  <sheetFormatPr baseColWidth="10" defaultRowHeight="15" x14ac:dyDescent="0.2"/>
  <cols>
    <col min="1" max="1" width="12.83203125" customWidth="1"/>
    <col min="2" max="2" width="16" customWidth="1"/>
    <col min="3" max="3" width="29.5" customWidth="1"/>
    <col min="4" max="4" width="20.6640625" customWidth="1"/>
    <col min="5" max="5" width="21.5" customWidth="1"/>
    <col min="6" max="6" width="26.83203125" customWidth="1"/>
    <col min="7" max="7" width="33.5" customWidth="1"/>
  </cols>
  <sheetData>
    <row r="1" spans="1:7" ht="16" x14ac:dyDescent="0.2">
      <c r="A1" s="5" t="s">
        <v>13</v>
      </c>
      <c r="B1" s="49" t="s">
        <v>169</v>
      </c>
      <c r="C1" s="5" t="s">
        <v>170</v>
      </c>
      <c r="D1" s="5" t="s">
        <v>171</v>
      </c>
      <c r="E1" s="5" t="s">
        <v>12</v>
      </c>
      <c r="F1" s="5" t="s">
        <v>13</v>
      </c>
      <c r="G1" s="5" t="s">
        <v>650</v>
      </c>
    </row>
    <row r="2" spans="1:7" x14ac:dyDescent="0.2">
      <c r="A2" s="46" t="s">
        <v>172</v>
      </c>
      <c r="B2" s="46" t="s">
        <v>311</v>
      </c>
      <c r="C2" s="46" t="s">
        <v>312</v>
      </c>
      <c r="D2" s="16">
        <v>2049</v>
      </c>
      <c r="E2" s="46" t="s">
        <v>15</v>
      </c>
      <c r="F2" s="46" t="s">
        <v>15</v>
      </c>
      <c r="G2" s="46" t="s">
        <v>15</v>
      </c>
    </row>
    <row r="3" spans="1:7" x14ac:dyDescent="0.2">
      <c r="A3" s="46" t="s">
        <v>172</v>
      </c>
      <c r="B3" s="46" t="s">
        <v>438</v>
      </c>
      <c r="C3" s="46" t="s">
        <v>439</v>
      </c>
      <c r="D3" s="16">
        <v>2849</v>
      </c>
      <c r="E3" s="46" t="s">
        <v>15</v>
      </c>
      <c r="F3" s="46" t="s">
        <v>15</v>
      </c>
      <c r="G3" s="46" t="s">
        <v>15</v>
      </c>
    </row>
    <row r="4" spans="1:7" x14ac:dyDescent="0.2">
      <c r="A4" s="46" t="s">
        <v>172</v>
      </c>
      <c r="B4" s="46" t="s">
        <v>342</v>
      </c>
      <c r="C4" s="46" t="s">
        <v>343</v>
      </c>
      <c r="D4" s="16">
        <v>3108</v>
      </c>
      <c r="E4" s="46" t="s">
        <v>15</v>
      </c>
      <c r="F4" s="46" t="s">
        <v>15</v>
      </c>
      <c r="G4" s="46" t="s">
        <v>15</v>
      </c>
    </row>
    <row r="5" spans="1:7" x14ac:dyDescent="0.2">
      <c r="A5" s="46" t="s">
        <v>172</v>
      </c>
      <c r="B5" s="46" t="s">
        <v>348</v>
      </c>
      <c r="C5" s="46" t="s">
        <v>349</v>
      </c>
      <c r="D5" s="16">
        <v>1747</v>
      </c>
      <c r="E5" s="46" t="s">
        <v>15</v>
      </c>
      <c r="F5" s="46" t="s">
        <v>15</v>
      </c>
      <c r="G5" s="46" t="s">
        <v>15</v>
      </c>
    </row>
    <row r="6" spans="1:7" x14ac:dyDescent="0.2">
      <c r="A6" s="46" t="s">
        <v>172</v>
      </c>
      <c r="B6" s="46" t="s">
        <v>457</v>
      </c>
      <c r="C6" s="46" t="s">
        <v>458</v>
      </c>
      <c r="D6" s="16">
        <v>7</v>
      </c>
      <c r="E6" s="46" t="s">
        <v>15</v>
      </c>
      <c r="F6" s="46" t="s">
        <v>15</v>
      </c>
      <c r="G6" s="46" t="s">
        <v>15</v>
      </c>
    </row>
    <row r="7" spans="1:7" x14ac:dyDescent="0.2">
      <c r="A7" s="46" t="s">
        <v>172</v>
      </c>
      <c r="B7" s="46" t="s">
        <v>400</v>
      </c>
      <c r="C7" s="46" t="s">
        <v>401</v>
      </c>
      <c r="D7" s="16">
        <v>1282</v>
      </c>
      <c r="E7" s="46" t="s">
        <v>15</v>
      </c>
      <c r="F7" s="46" t="s">
        <v>15</v>
      </c>
      <c r="G7" s="46" t="s">
        <v>15</v>
      </c>
    </row>
    <row r="8" spans="1:7" x14ac:dyDescent="0.2">
      <c r="A8" s="46" t="s">
        <v>172</v>
      </c>
      <c r="B8" s="46" t="s">
        <v>360</v>
      </c>
      <c r="C8" s="46" t="s">
        <v>361</v>
      </c>
      <c r="D8" s="16">
        <v>1569</v>
      </c>
      <c r="E8" s="46" t="s">
        <v>15</v>
      </c>
      <c r="F8" s="46" t="s">
        <v>15</v>
      </c>
      <c r="G8" s="46" t="s">
        <v>15</v>
      </c>
    </row>
    <row r="9" spans="1:7" x14ac:dyDescent="0.2">
      <c r="A9" s="46" t="s">
        <v>172</v>
      </c>
      <c r="B9" s="46" t="s">
        <v>328</v>
      </c>
      <c r="C9" s="46" t="s">
        <v>329</v>
      </c>
      <c r="D9" s="16">
        <v>59</v>
      </c>
      <c r="E9" s="46" t="s">
        <v>15</v>
      </c>
      <c r="F9" s="46" t="s">
        <v>15</v>
      </c>
      <c r="G9" s="46" t="s">
        <v>15</v>
      </c>
    </row>
    <row r="10" spans="1:7" x14ac:dyDescent="0.2">
      <c r="A10" s="46" t="s">
        <v>172</v>
      </c>
      <c r="B10" s="46" t="s">
        <v>346</v>
      </c>
      <c r="C10" s="46" t="s">
        <v>347</v>
      </c>
      <c r="D10" s="16">
        <v>0</v>
      </c>
      <c r="E10" s="46" t="s">
        <v>15</v>
      </c>
      <c r="F10" s="46" t="s">
        <v>15</v>
      </c>
      <c r="G10" s="46" t="s">
        <v>15</v>
      </c>
    </row>
    <row r="11" spans="1:7" x14ac:dyDescent="0.2">
      <c r="A11" s="46" t="s">
        <v>172</v>
      </c>
      <c r="B11" s="46" t="s">
        <v>338</v>
      </c>
      <c r="C11" s="46" t="s">
        <v>14</v>
      </c>
      <c r="D11" s="16">
        <v>321</v>
      </c>
      <c r="E11" s="46" t="s">
        <v>15</v>
      </c>
      <c r="F11" s="46" t="s">
        <v>15</v>
      </c>
      <c r="G11" s="46" t="s">
        <v>15</v>
      </c>
    </row>
    <row r="12" spans="1:7" x14ac:dyDescent="0.2">
      <c r="A12" s="46" t="s">
        <v>172</v>
      </c>
      <c r="B12" s="46" t="s">
        <v>367</v>
      </c>
      <c r="C12" s="46" t="s">
        <v>368</v>
      </c>
      <c r="D12" s="16">
        <v>0</v>
      </c>
      <c r="E12" s="46" t="s">
        <v>15</v>
      </c>
      <c r="F12" s="46" t="s">
        <v>15</v>
      </c>
      <c r="G12" s="46" t="s">
        <v>15</v>
      </c>
    </row>
    <row r="13" spans="1:7" x14ac:dyDescent="0.2">
      <c r="A13" s="46" t="s">
        <v>172</v>
      </c>
      <c r="B13" s="46" t="s">
        <v>418</v>
      </c>
      <c r="C13" s="46" t="s">
        <v>419</v>
      </c>
      <c r="D13" s="16">
        <v>0</v>
      </c>
      <c r="E13" s="46" t="s">
        <v>15</v>
      </c>
      <c r="F13" s="46" t="s">
        <v>15</v>
      </c>
      <c r="G13" s="46" t="s">
        <v>15</v>
      </c>
    </row>
    <row r="14" spans="1:7" x14ac:dyDescent="0.2">
      <c r="A14" s="47" t="s">
        <v>174</v>
      </c>
      <c r="B14" s="47" t="s">
        <v>275</v>
      </c>
      <c r="C14" s="47" t="s">
        <v>16</v>
      </c>
      <c r="D14" s="48">
        <v>2245</v>
      </c>
      <c r="E14" s="47" t="s">
        <v>15</v>
      </c>
      <c r="F14" s="47" t="s">
        <v>15</v>
      </c>
      <c r="G14" s="47" t="s">
        <v>15</v>
      </c>
    </row>
    <row r="15" spans="1:7" x14ac:dyDescent="0.2">
      <c r="A15" s="47" t="s">
        <v>174</v>
      </c>
      <c r="B15" s="47" t="s">
        <v>282</v>
      </c>
      <c r="C15" s="47" t="s">
        <v>19</v>
      </c>
      <c r="D15" s="48">
        <v>4098</v>
      </c>
      <c r="E15" s="47" t="s">
        <v>15</v>
      </c>
      <c r="F15" s="47" t="s">
        <v>15</v>
      </c>
      <c r="G15" s="47" t="s">
        <v>15</v>
      </c>
    </row>
    <row r="16" spans="1:7" x14ac:dyDescent="0.2">
      <c r="A16" s="47" t="s">
        <v>174</v>
      </c>
      <c r="B16" s="47" t="s">
        <v>296</v>
      </c>
      <c r="C16" s="47" t="s">
        <v>22</v>
      </c>
      <c r="D16" s="48">
        <v>689</v>
      </c>
      <c r="E16" s="47" t="s">
        <v>15</v>
      </c>
      <c r="F16" s="47" t="s">
        <v>15</v>
      </c>
      <c r="G16" s="47" t="s">
        <v>15</v>
      </c>
    </row>
    <row r="17" spans="1:7" x14ac:dyDescent="0.2">
      <c r="A17" s="47" t="s">
        <v>174</v>
      </c>
      <c r="B17" s="47" t="s">
        <v>254</v>
      </c>
      <c r="C17" s="47" t="s">
        <v>20</v>
      </c>
      <c r="D17" s="48">
        <v>3010</v>
      </c>
      <c r="E17" s="47" t="s">
        <v>15</v>
      </c>
      <c r="F17" s="47" t="s">
        <v>15</v>
      </c>
      <c r="G17" s="47" t="s">
        <v>15</v>
      </c>
    </row>
    <row r="18" spans="1:7" x14ac:dyDescent="0.2">
      <c r="A18" s="47" t="s">
        <v>174</v>
      </c>
      <c r="B18" s="47" t="s">
        <v>268</v>
      </c>
      <c r="C18" s="47" t="s">
        <v>269</v>
      </c>
      <c r="D18" s="48">
        <v>1282</v>
      </c>
      <c r="E18" s="47" t="s">
        <v>15</v>
      </c>
      <c r="F18" s="47" t="s">
        <v>15</v>
      </c>
      <c r="G18" s="47" t="s">
        <v>15</v>
      </c>
    </row>
    <row r="19" spans="1:7" x14ac:dyDescent="0.2">
      <c r="A19" s="47" t="s">
        <v>174</v>
      </c>
      <c r="B19" s="47" t="s">
        <v>189</v>
      </c>
      <c r="C19" s="47" t="s">
        <v>190</v>
      </c>
      <c r="D19" s="48">
        <v>2464</v>
      </c>
      <c r="E19" s="47" t="s">
        <v>15</v>
      </c>
      <c r="F19" s="47" t="s">
        <v>15</v>
      </c>
      <c r="G19" s="47" t="s">
        <v>15</v>
      </c>
    </row>
    <row r="20" spans="1:7" x14ac:dyDescent="0.2">
      <c r="A20" s="47" t="s">
        <v>174</v>
      </c>
      <c r="B20" s="47" t="s">
        <v>193</v>
      </c>
      <c r="C20" s="47" t="s">
        <v>194</v>
      </c>
      <c r="D20" s="48">
        <v>3108</v>
      </c>
      <c r="E20" s="47" t="s">
        <v>15</v>
      </c>
      <c r="F20" s="47" t="s">
        <v>15</v>
      </c>
      <c r="G20" s="47" t="s">
        <v>15</v>
      </c>
    </row>
    <row r="21" spans="1:7" x14ac:dyDescent="0.2">
      <c r="A21" s="47" t="s">
        <v>174</v>
      </c>
      <c r="B21" s="47" t="s">
        <v>218</v>
      </c>
      <c r="C21" s="47" t="s">
        <v>33</v>
      </c>
      <c r="D21" s="48">
        <v>0</v>
      </c>
      <c r="E21" s="47" t="s">
        <v>15</v>
      </c>
      <c r="F21" s="47" t="s">
        <v>15</v>
      </c>
      <c r="G21" s="47" t="s">
        <v>15</v>
      </c>
    </row>
    <row r="22" spans="1:7" x14ac:dyDescent="0.2">
      <c r="A22" s="47" t="s">
        <v>174</v>
      </c>
      <c r="B22" s="47" t="s">
        <v>300</v>
      </c>
      <c r="C22" s="47" t="s">
        <v>26</v>
      </c>
      <c r="D22" s="48">
        <v>0</v>
      </c>
      <c r="E22" s="47" t="s">
        <v>15</v>
      </c>
      <c r="F22" s="47" t="s">
        <v>15</v>
      </c>
      <c r="G22" s="47" t="s">
        <v>15</v>
      </c>
    </row>
    <row r="23" spans="1:7" x14ac:dyDescent="0.2">
      <c r="A23" s="47" t="s">
        <v>174</v>
      </c>
      <c r="B23" s="47" t="s">
        <v>231</v>
      </c>
      <c r="C23" s="47" t="s">
        <v>34</v>
      </c>
      <c r="D23" s="48">
        <v>0</v>
      </c>
      <c r="E23" s="47" t="s">
        <v>15</v>
      </c>
      <c r="F23" s="47" t="s">
        <v>15</v>
      </c>
      <c r="G23" s="47" t="s">
        <v>15</v>
      </c>
    </row>
    <row r="24" spans="1:7" x14ac:dyDescent="0.2">
      <c r="A24" s="46" t="s">
        <v>172</v>
      </c>
      <c r="B24" s="46" t="s">
        <v>313</v>
      </c>
      <c r="C24" s="46" t="s">
        <v>33</v>
      </c>
      <c r="D24" s="16">
        <v>5491</v>
      </c>
      <c r="E24" s="46" t="s">
        <v>23</v>
      </c>
      <c r="F24" s="46" t="s">
        <v>24</v>
      </c>
      <c r="G24" s="46" t="s">
        <v>25</v>
      </c>
    </row>
    <row r="25" spans="1:7" x14ac:dyDescent="0.2">
      <c r="A25" s="46" t="s">
        <v>172</v>
      </c>
      <c r="B25" s="46" t="s">
        <v>322</v>
      </c>
      <c r="C25" s="46" t="s">
        <v>323</v>
      </c>
      <c r="D25" s="16">
        <v>3108</v>
      </c>
      <c r="E25" s="46" t="s">
        <v>23</v>
      </c>
      <c r="F25" s="46" t="s">
        <v>24</v>
      </c>
      <c r="G25" s="46" t="s">
        <v>25</v>
      </c>
    </row>
    <row r="26" spans="1:7" x14ac:dyDescent="0.2">
      <c r="A26" s="46" t="s">
        <v>172</v>
      </c>
      <c r="B26" s="46" t="s">
        <v>393</v>
      </c>
      <c r="C26" s="46" t="s">
        <v>394</v>
      </c>
      <c r="D26" s="16">
        <v>2035</v>
      </c>
      <c r="E26" s="46" t="s">
        <v>23</v>
      </c>
      <c r="F26" s="46" t="s">
        <v>24</v>
      </c>
      <c r="G26" s="46" t="s">
        <v>25</v>
      </c>
    </row>
    <row r="27" spans="1:7" x14ac:dyDescent="0.2">
      <c r="A27" s="46" t="s">
        <v>172</v>
      </c>
      <c r="B27" s="46" t="s">
        <v>354</v>
      </c>
      <c r="C27" s="46" t="s">
        <v>355</v>
      </c>
      <c r="D27" s="16">
        <v>2634</v>
      </c>
      <c r="E27" s="46" t="s">
        <v>23</v>
      </c>
      <c r="F27" s="46" t="s">
        <v>24</v>
      </c>
      <c r="G27" s="46" t="s">
        <v>25</v>
      </c>
    </row>
    <row r="28" spans="1:7" x14ac:dyDescent="0.2">
      <c r="A28" s="46" t="s">
        <v>172</v>
      </c>
      <c r="B28" s="46" t="s">
        <v>470</v>
      </c>
      <c r="C28" s="46" t="s">
        <v>471</v>
      </c>
      <c r="D28" s="16">
        <v>3097</v>
      </c>
      <c r="E28" s="46" t="s">
        <v>23</v>
      </c>
      <c r="F28" s="46" t="s">
        <v>24</v>
      </c>
      <c r="G28" s="46" t="s">
        <v>25</v>
      </c>
    </row>
    <row r="29" spans="1:7" x14ac:dyDescent="0.2">
      <c r="A29" s="46" t="s">
        <v>172</v>
      </c>
      <c r="B29" s="46" t="s">
        <v>376</v>
      </c>
      <c r="C29" s="46" t="s">
        <v>377</v>
      </c>
      <c r="D29" s="16">
        <v>1282</v>
      </c>
      <c r="E29" s="46" t="s">
        <v>23</v>
      </c>
      <c r="F29" s="46" t="s">
        <v>24</v>
      </c>
      <c r="G29" s="46" t="s">
        <v>25</v>
      </c>
    </row>
    <row r="30" spans="1:7" x14ac:dyDescent="0.2">
      <c r="A30" s="46" t="s">
        <v>172</v>
      </c>
      <c r="B30" s="46" t="s">
        <v>474</v>
      </c>
      <c r="C30" s="46" t="s">
        <v>475</v>
      </c>
      <c r="D30" s="16">
        <v>2849</v>
      </c>
      <c r="E30" s="46" t="s">
        <v>23</v>
      </c>
      <c r="F30" s="46" t="s">
        <v>24</v>
      </c>
      <c r="G30" s="46" t="s">
        <v>25</v>
      </c>
    </row>
    <row r="31" spans="1:7" x14ac:dyDescent="0.2">
      <c r="A31" s="46" t="s">
        <v>172</v>
      </c>
      <c r="B31" s="46" t="s">
        <v>448</v>
      </c>
      <c r="C31" s="46" t="s">
        <v>449</v>
      </c>
      <c r="D31" s="16">
        <v>5263</v>
      </c>
      <c r="E31" s="46" t="s">
        <v>23</v>
      </c>
      <c r="F31" s="46" t="s">
        <v>24</v>
      </c>
      <c r="G31" s="46" t="s">
        <v>25</v>
      </c>
    </row>
    <row r="32" spans="1:7" x14ac:dyDescent="0.2">
      <c r="A32" s="46" t="s">
        <v>172</v>
      </c>
      <c r="B32" s="46" t="s">
        <v>333</v>
      </c>
      <c r="C32" s="46" t="s">
        <v>334</v>
      </c>
      <c r="D32" s="16">
        <v>3322</v>
      </c>
      <c r="E32" s="46" t="s">
        <v>23</v>
      </c>
      <c r="F32" s="46" t="s">
        <v>24</v>
      </c>
      <c r="G32" s="46" t="s">
        <v>25</v>
      </c>
    </row>
    <row r="33" spans="1:7" x14ac:dyDescent="0.2">
      <c r="A33" s="46" t="s">
        <v>172</v>
      </c>
      <c r="B33" s="46" t="s">
        <v>389</v>
      </c>
      <c r="C33" s="46" t="s">
        <v>390</v>
      </c>
      <c r="D33" s="16">
        <v>5467</v>
      </c>
      <c r="E33" s="46" t="s">
        <v>23</v>
      </c>
      <c r="F33" s="46" t="s">
        <v>24</v>
      </c>
      <c r="G33" s="46" t="s">
        <v>25</v>
      </c>
    </row>
    <row r="34" spans="1:7" x14ac:dyDescent="0.2">
      <c r="A34" s="46" t="s">
        <v>172</v>
      </c>
      <c r="B34" s="46" t="s">
        <v>173</v>
      </c>
      <c r="C34" s="46" t="s">
        <v>52</v>
      </c>
      <c r="D34" s="16">
        <v>0</v>
      </c>
      <c r="E34" s="46" t="s">
        <v>36</v>
      </c>
      <c r="F34" s="46" t="s">
        <v>610</v>
      </c>
      <c r="G34" s="46" t="s">
        <v>36</v>
      </c>
    </row>
    <row r="35" spans="1:7" x14ac:dyDescent="0.2">
      <c r="A35" s="46" t="s">
        <v>172</v>
      </c>
      <c r="B35" s="46" t="s">
        <v>176</v>
      </c>
      <c r="C35" s="46" t="s">
        <v>50</v>
      </c>
      <c r="D35" s="16">
        <v>1945</v>
      </c>
      <c r="E35" s="46" t="s">
        <v>36</v>
      </c>
      <c r="F35" s="46" t="s">
        <v>610</v>
      </c>
      <c r="G35" s="46" t="s">
        <v>36</v>
      </c>
    </row>
    <row r="36" spans="1:7" x14ac:dyDescent="0.2">
      <c r="A36" s="46" t="s">
        <v>172</v>
      </c>
      <c r="B36" s="46" t="s">
        <v>308</v>
      </c>
      <c r="C36" s="46" t="s">
        <v>47</v>
      </c>
      <c r="D36" s="16">
        <v>0</v>
      </c>
      <c r="E36" s="46" t="s">
        <v>36</v>
      </c>
      <c r="F36" s="46" t="s">
        <v>610</v>
      </c>
      <c r="G36" s="46" t="s">
        <v>36</v>
      </c>
    </row>
    <row r="37" spans="1:7" x14ac:dyDescent="0.2">
      <c r="A37" s="47" t="s">
        <v>174</v>
      </c>
      <c r="B37" s="47" t="s">
        <v>309</v>
      </c>
      <c r="C37" s="47" t="s">
        <v>48</v>
      </c>
      <c r="D37" s="48">
        <v>1163</v>
      </c>
      <c r="E37" s="47" t="s">
        <v>36</v>
      </c>
      <c r="F37" s="47" t="s">
        <v>36</v>
      </c>
      <c r="G37" s="47" t="s">
        <v>36</v>
      </c>
    </row>
    <row r="38" spans="1:7" x14ac:dyDescent="0.2">
      <c r="A38" s="47" t="s">
        <v>174</v>
      </c>
      <c r="B38" s="47" t="s">
        <v>310</v>
      </c>
      <c r="C38" s="47" t="s">
        <v>53</v>
      </c>
      <c r="D38" s="48">
        <v>1695</v>
      </c>
      <c r="E38" s="47" t="s">
        <v>36</v>
      </c>
      <c r="F38" s="47" t="s">
        <v>36</v>
      </c>
      <c r="G38" s="47" t="s">
        <v>36</v>
      </c>
    </row>
    <row r="39" spans="1:7" x14ac:dyDescent="0.2">
      <c r="A39" s="47" t="s">
        <v>174</v>
      </c>
      <c r="B39" s="47" t="s">
        <v>314</v>
      </c>
      <c r="C39" s="47" t="s">
        <v>211</v>
      </c>
      <c r="D39" s="48">
        <v>1330</v>
      </c>
      <c r="E39" s="47" t="s">
        <v>36</v>
      </c>
      <c r="F39" s="47" t="s">
        <v>36</v>
      </c>
      <c r="G39" s="47" t="s">
        <v>36</v>
      </c>
    </row>
    <row r="40" spans="1:7" x14ac:dyDescent="0.2">
      <c r="A40" s="47" t="s">
        <v>174</v>
      </c>
      <c r="B40" s="47" t="s">
        <v>321</v>
      </c>
      <c r="C40" s="47" t="s">
        <v>72</v>
      </c>
      <c r="D40" s="48">
        <v>1330</v>
      </c>
      <c r="E40" s="47" t="s">
        <v>36</v>
      </c>
      <c r="F40" s="47" t="s">
        <v>36</v>
      </c>
      <c r="G40" s="47" t="s">
        <v>36</v>
      </c>
    </row>
    <row r="41" spans="1:7" x14ac:dyDescent="0.2">
      <c r="A41" s="47" t="s">
        <v>174</v>
      </c>
      <c r="B41" s="47" t="s">
        <v>326</v>
      </c>
      <c r="C41" s="47" t="s">
        <v>69</v>
      </c>
      <c r="D41" s="48">
        <v>1330</v>
      </c>
      <c r="E41" s="47" t="s">
        <v>36</v>
      </c>
      <c r="F41" s="47" t="s">
        <v>36</v>
      </c>
      <c r="G41" s="47" t="s">
        <v>36</v>
      </c>
    </row>
    <row r="42" spans="1:7" x14ac:dyDescent="0.2">
      <c r="A42" s="47" t="s">
        <v>174</v>
      </c>
      <c r="B42" s="47" t="s">
        <v>327</v>
      </c>
      <c r="C42" s="47" t="s">
        <v>250</v>
      </c>
      <c r="D42" s="48">
        <v>1095</v>
      </c>
      <c r="E42" s="47" t="s">
        <v>36</v>
      </c>
      <c r="F42" s="47" t="s">
        <v>36</v>
      </c>
      <c r="G42" s="47" t="s">
        <v>36</v>
      </c>
    </row>
    <row r="43" spans="1:7" x14ac:dyDescent="0.2">
      <c r="A43" s="47" t="s">
        <v>174</v>
      </c>
      <c r="B43" s="47" t="s">
        <v>330</v>
      </c>
      <c r="C43" s="47" t="s">
        <v>38</v>
      </c>
      <c r="D43" s="48">
        <v>1288</v>
      </c>
      <c r="E43" s="47" t="s">
        <v>36</v>
      </c>
      <c r="F43" s="47" t="s">
        <v>36</v>
      </c>
      <c r="G43" s="47" t="s">
        <v>36</v>
      </c>
    </row>
    <row r="44" spans="1:7" x14ac:dyDescent="0.2">
      <c r="A44" s="47" t="s">
        <v>174</v>
      </c>
      <c r="B44" s="47" t="s">
        <v>335</v>
      </c>
      <c r="C44" s="47" t="s">
        <v>40</v>
      </c>
      <c r="D44" s="48">
        <v>1373</v>
      </c>
      <c r="E44" s="47" t="s">
        <v>36</v>
      </c>
      <c r="F44" s="47" t="s">
        <v>36</v>
      </c>
      <c r="G44" s="47" t="s">
        <v>36</v>
      </c>
    </row>
    <row r="45" spans="1:7" x14ac:dyDescent="0.2">
      <c r="A45" s="47" t="s">
        <v>174</v>
      </c>
      <c r="B45" s="47" t="s">
        <v>336</v>
      </c>
      <c r="C45" s="47" t="s">
        <v>60</v>
      </c>
      <c r="D45" s="48">
        <v>1560</v>
      </c>
      <c r="E45" s="47" t="s">
        <v>36</v>
      </c>
      <c r="F45" s="47" t="s">
        <v>36</v>
      </c>
      <c r="G45" s="47" t="s">
        <v>36</v>
      </c>
    </row>
    <row r="46" spans="1:7" x14ac:dyDescent="0.2">
      <c r="A46" s="47" t="s">
        <v>174</v>
      </c>
      <c r="B46" s="47" t="s">
        <v>337</v>
      </c>
      <c r="C46" s="47" t="s">
        <v>58</v>
      </c>
      <c r="D46" s="48">
        <v>1560</v>
      </c>
      <c r="E46" s="47" t="s">
        <v>36</v>
      </c>
      <c r="F46" s="47" t="s">
        <v>36</v>
      </c>
      <c r="G46" s="47" t="s">
        <v>36</v>
      </c>
    </row>
    <row r="47" spans="1:7" x14ac:dyDescent="0.2">
      <c r="A47" s="47" t="s">
        <v>174</v>
      </c>
      <c r="B47" s="47" t="s">
        <v>339</v>
      </c>
      <c r="C47" s="47" t="s">
        <v>65</v>
      </c>
      <c r="D47" s="48">
        <v>1560</v>
      </c>
      <c r="E47" s="47" t="s">
        <v>36</v>
      </c>
      <c r="F47" s="47" t="s">
        <v>36</v>
      </c>
      <c r="G47" s="47" t="s">
        <v>36</v>
      </c>
    </row>
    <row r="48" spans="1:7" x14ac:dyDescent="0.2">
      <c r="A48" s="47" t="s">
        <v>174</v>
      </c>
      <c r="B48" s="47" t="s">
        <v>350</v>
      </c>
      <c r="C48" s="47" t="s">
        <v>66</v>
      </c>
      <c r="D48" s="48">
        <v>1560</v>
      </c>
      <c r="E48" s="47" t="s">
        <v>36</v>
      </c>
      <c r="F48" s="47" t="s">
        <v>36</v>
      </c>
      <c r="G48" s="47" t="s">
        <v>36</v>
      </c>
    </row>
    <row r="49" spans="1:7" x14ac:dyDescent="0.2">
      <c r="A49" s="47" t="s">
        <v>174</v>
      </c>
      <c r="B49" s="47" t="s">
        <v>351</v>
      </c>
      <c r="C49" s="47" t="s">
        <v>55</v>
      </c>
      <c r="D49" s="48">
        <v>1448</v>
      </c>
      <c r="E49" s="47" t="s">
        <v>36</v>
      </c>
      <c r="F49" s="47" t="s">
        <v>36</v>
      </c>
      <c r="G49" s="47" t="s">
        <v>36</v>
      </c>
    </row>
    <row r="50" spans="1:7" x14ac:dyDescent="0.2">
      <c r="A50" s="47" t="s">
        <v>174</v>
      </c>
      <c r="B50" s="47" t="s">
        <v>364</v>
      </c>
      <c r="C50" s="47" t="s">
        <v>51</v>
      </c>
      <c r="D50" s="48">
        <v>1291</v>
      </c>
      <c r="E50" s="47" t="s">
        <v>36</v>
      </c>
      <c r="F50" s="47" t="s">
        <v>36</v>
      </c>
      <c r="G50" s="47" t="s">
        <v>36</v>
      </c>
    </row>
    <row r="51" spans="1:7" x14ac:dyDescent="0.2">
      <c r="A51" s="47" t="s">
        <v>174</v>
      </c>
      <c r="B51" s="47" t="s">
        <v>369</v>
      </c>
      <c r="C51" s="47" t="s">
        <v>68</v>
      </c>
      <c r="D51" s="48">
        <v>1330</v>
      </c>
      <c r="E51" s="47" t="s">
        <v>36</v>
      </c>
      <c r="F51" s="47" t="s">
        <v>36</v>
      </c>
      <c r="G51" s="47" t="s">
        <v>36</v>
      </c>
    </row>
    <row r="52" spans="1:7" x14ac:dyDescent="0.2">
      <c r="A52" s="47" t="s">
        <v>174</v>
      </c>
      <c r="B52" s="47" t="s">
        <v>382</v>
      </c>
      <c r="C52" s="47" t="s">
        <v>42</v>
      </c>
      <c r="D52" s="48">
        <v>1373</v>
      </c>
      <c r="E52" s="47" t="s">
        <v>36</v>
      </c>
      <c r="F52" s="47" t="s">
        <v>36</v>
      </c>
      <c r="G52" s="47" t="s">
        <v>36</v>
      </c>
    </row>
    <row r="53" spans="1:7" x14ac:dyDescent="0.2">
      <c r="A53" s="47" t="s">
        <v>174</v>
      </c>
      <c r="B53" s="47" t="s">
        <v>397</v>
      </c>
      <c r="C53" s="47" t="s">
        <v>61</v>
      </c>
      <c r="D53" s="48">
        <v>1896</v>
      </c>
      <c r="E53" s="47" t="s">
        <v>36</v>
      </c>
      <c r="F53" s="47" t="s">
        <v>36</v>
      </c>
      <c r="G53" s="47" t="s">
        <v>36</v>
      </c>
    </row>
    <row r="54" spans="1:7" x14ac:dyDescent="0.2">
      <c r="A54" s="47" t="s">
        <v>174</v>
      </c>
      <c r="B54" s="47" t="s">
        <v>402</v>
      </c>
      <c r="C54" s="47" t="s">
        <v>63</v>
      </c>
      <c r="D54" s="48">
        <v>1560</v>
      </c>
      <c r="E54" s="47" t="s">
        <v>36</v>
      </c>
      <c r="F54" s="47" t="s">
        <v>36</v>
      </c>
      <c r="G54" s="47" t="s">
        <v>36</v>
      </c>
    </row>
    <row r="55" spans="1:7" x14ac:dyDescent="0.2">
      <c r="A55" s="47" t="s">
        <v>174</v>
      </c>
      <c r="B55" s="47" t="s">
        <v>403</v>
      </c>
      <c r="C55" s="47" t="s">
        <v>45</v>
      </c>
      <c r="D55" s="48">
        <v>4501</v>
      </c>
      <c r="E55" s="47" t="s">
        <v>36</v>
      </c>
      <c r="F55" s="47" t="s">
        <v>36</v>
      </c>
      <c r="G55" s="47" t="s">
        <v>36</v>
      </c>
    </row>
    <row r="56" spans="1:7" x14ac:dyDescent="0.2">
      <c r="A56" s="47" t="s">
        <v>174</v>
      </c>
      <c r="B56" s="47" t="s">
        <v>408</v>
      </c>
      <c r="C56" s="47" t="s">
        <v>35</v>
      </c>
      <c r="D56" s="48">
        <v>868</v>
      </c>
      <c r="E56" s="47" t="s">
        <v>36</v>
      </c>
      <c r="F56" s="47" t="s">
        <v>36</v>
      </c>
      <c r="G56" s="47" t="s">
        <v>36</v>
      </c>
    </row>
    <row r="57" spans="1:7" x14ac:dyDescent="0.2">
      <c r="A57" s="47" t="s">
        <v>174</v>
      </c>
      <c r="B57" s="47" t="s">
        <v>409</v>
      </c>
      <c r="C57" s="47" t="s">
        <v>64</v>
      </c>
      <c r="D57" s="48">
        <v>0</v>
      </c>
      <c r="E57" s="47" t="s">
        <v>36</v>
      </c>
      <c r="F57" s="47" t="s">
        <v>36</v>
      </c>
      <c r="G57" s="47" t="s">
        <v>36</v>
      </c>
    </row>
    <row r="58" spans="1:7" x14ac:dyDescent="0.2">
      <c r="A58" s="46" t="s">
        <v>172</v>
      </c>
      <c r="B58" s="46" t="s">
        <v>410</v>
      </c>
      <c r="C58" s="46" t="s">
        <v>54</v>
      </c>
      <c r="D58" s="16">
        <v>2235</v>
      </c>
      <c r="E58" s="46" t="s">
        <v>36</v>
      </c>
      <c r="F58" s="46" t="s">
        <v>610</v>
      </c>
      <c r="G58" s="46" t="s">
        <v>36</v>
      </c>
    </row>
    <row r="59" spans="1:7" x14ac:dyDescent="0.2">
      <c r="A59" s="46" t="s">
        <v>172</v>
      </c>
      <c r="B59" s="46" t="s">
        <v>411</v>
      </c>
      <c r="C59" s="46" t="s">
        <v>412</v>
      </c>
      <c r="D59" s="16">
        <v>2235</v>
      </c>
      <c r="E59" s="46" t="s">
        <v>36</v>
      </c>
      <c r="F59" s="46" t="s">
        <v>610</v>
      </c>
      <c r="G59" s="46" t="s">
        <v>36</v>
      </c>
    </row>
    <row r="60" spans="1:7" x14ac:dyDescent="0.2">
      <c r="A60" s="46" t="s">
        <v>172</v>
      </c>
      <c r="B60" s="46" t="s">
        <v>417</v>
      </c>
      <c r="C60" s="46" t="s">
        <v>49</v>
      </c>
      <c r="D60" s="16">
        <v>1163</v>
      </c>
      <c r="E60" s="46" t="s">
        <v>36</v>
      </c>
      <c r="F60" s="46" t="s">
        <v>610</v>
      </c>
      <c r="G60" s="46" t="s">
        <v>36</v>
      </c>
    </row>
    <row r="61" spans="1:7" x14ac:dyDescent="0.2">
      <c r="A61" s="46" t="s">
        <v>172</v>
      </c>
      <c r="B61" s="46" t="s">
        <v>426</v>
      </c>
      <c r="C61" s="46" t="s">
        <v>73</v>
      </c>
      <c r="D61" s="16">
        <v>1516</v>
      </c>
      <c r="E61" s="46" t="s">
        <v>36</v>
      </c>
      <c r="F61" s="46" t="s">
        <v>610</v>
      </c>
      <c r="G61" s="46" t="s">
        <v>36</v>
      </c>
    </row>
    <row r="62" spans="1:7" x14ac:dyDescent="0.2">
      <c r="A62" s="46" t="s">
        <v>172</v>
      </c>
      <c r="B62" s="46" t="s">
        <v>431</v>
      </c>
      <c r="C62" s="46" t="s">
        <v>71</v>
      </c>
      <c r="D62" s="16">
        <v>1330</v>
      </c>
      <c r="E62" s="46" t="s">
        <v>36</v>
      </c>
      <c r="F62" s="46" t="s">
        <v>610</v>
      </c>
      <c r="G62" s="46" t="s">
        <v>36</v>
      </c>
    </row>
    <row r="63" spans="1:7" x14ac:dyDescent="0.2">
      <c r="A63" s="46" t="s">
        <v>172</v>
      </c>
      <c r="B63" s="46" t="s">
        <v>432</v>
      </c>
      <c r="C63" s="46" t="s">
        <v>433</v>
      </c>
      <c r="D63" s="16">
        <v>1368</v>
      </c>
      <c r="E63" s="46" t="s">
        <v>36</v>
      </c>
      <c r="F63" s="46" t="s">
        <v>610</v>
      </c>
      <c r="G63" s="46" t="s">
        <v>36</v>
      </c>
    </row>
    <row r="64" spans="1:7" x14ac:dyDescent="0.2">
      <c r="A64" s="46" t="s">
        <v>172</v>
      </c>
      <c r="B64" s="46" t="s">
        <v>444</v>
      </c>
      <c r="C64" s="46" t="s">
        <v>39</v>
      </c>
      <c r="D64" s="16">
        <v>1610</v>
      </c>
      <c r="E64" s="46" t="s">
        <v>36</v>
      </c>
      <c r="F64" s="46" t="s">
        <v>610</v>
      </c>
      <c r="G64" s="46" t="s">
        <v>36</v>
      </c>
    </row>
    <row r="65" spans="1:7" x14ac:dyDescent="0.2">
      <c r="A65" s="46" t="s">
        <v>172</v>
      </c>
      <c r="B65" s="46" t="s">
        <v>445</v>
      </c>
      <c r="C65" s="46" t="s">
        <v>41</v>
      </c>
      <c r="D65" s="16">
        <v>1711</v>
      </c>
      <c r="E65" s="46" t="s">
        <v>36</v>
      </c>
      <c r="F65" s="46" t="s">
        <v>610</v>
      </c>
      <c r="G65" s="46" t="s">
        <v>36</v>
      </c>
    </row>
    <row r="66" spans="1:7" x14ac:dyDescent="0.2">
      <c r="A66" s="46" t="s">
        <v>172</v>
      </c>
      <c r="B66" s="46" t="s">
        <v>450</v>
      </c>
      <c r="C66" s="46" t="s">
        <v>451</v>
      </c>
      <c r="D66" s="16">
        <v>1874</v>
      </c>
      <c r="E66" s="46" t="s">
        <v>36</v>
      </c>
      <c r="F66" s="46" t="s">
        <v>610</v>
      </c>
      <c r="G66" s="46" t="s">
        <v>36</v>
      </c>
    </row>
    <row r="67" spans="1:7" x14ac:dyDescent="0.2">
      <c r="A67" s="46" t="s">
        <v>172</v>
      </c>
      <c r="B67" s="46" t="s">
        <v>452</v>
      </c>
      <c r="C67" s="46" t="s">
        <v>59</v>
      </c>
      <c r="D67" s="16">
        <v>1874</v>
      </c>
      <c r="E67" s="46" t="s">
        <v>36</v>
      </c>
      <c r="F67" s="46" t="s">
        <v>610</v>
      </c>
      <c r="G67" s="46" t="s">
        <v>36</v>
      </c>
    </row>
    <row r="68" spans="1:7" x14ac:dyDescent="0.2">
      <c r="A68" s="46" t="s">
        <v>172</v>
      </c>
      <c r="B68" s="46" t="s">
        <v>461</v>
      </c>
      <c r="C68" s="46" t="s">
        <v>462</v>
      </c>
      <c r="D68" s="16">
        <v>950</v>
      </c>
      <c r="E68" s="46" t="s">
        <v>36</v>
      </c>
      <c r="F68" s="46" t="s">
        <v>610</v>
      </c>
      <c r="G68" s="46" t="s">
        <v>36</v>
      </c>
    </row>
    <row r="69" spans="1:7" x14ac:dyDescent="0.2">
      <c r="A69" s="46" t="s">
        <v>172</v>
      </c>
      <c r="B69" s="46" t="s">
        <v>463</v>
      </c>
      <c r="C69" s="46" t="s">
        <v>464</v>
      </c>
      <c r="D69" s="16">
        <v>950</v>
      </c>
      <c r="E69" s="46" t="s">
        <v>36</v>
      </c>
      <c r="F69" s="46" t="s">
        <v>610</v>
      </c>
      <c r="G69" s="46" t="s">
        <v>36</v>
      </c>
    </row>
    <row r="70" spans="1:7" x14ac:dyDescent="0.2">
      <c r="A70" s="46" t="s">
        <v>172</v>
      </c>
      <c r="B70" s="46" t="s">
        <v>465</v>
      </c>
      <c r="C70" s="46" t="s">
        <v>57</v>
      </c>
      <c r="D70" s="16">
        <v>2239</v>
      </c>
      <c r="E70" s="46" t="s">
        <v>36</v>
      </c>
      <c r="F70" s="46" t="s">
        <v>610</v>
      </c>
      <c r="G70" s="46" t="s">
        <v>36</v>
      </c>
    </row>
    <row r="71" spans="1:7" x14ac:dyDescent="0.2">
      <c r="A71" s="46" t="s">
        <v>172</v>
      </c>
      <c r="B71" s="46" t="s">
        <v>482</v>
      </c>
      <c r="C71" s="46" t="s">
        <v>483</v>
      </c>
      <c r="D71" s="16">
        <v>1695</v>
      </c>
      <c r="E71" s="46" t="s">
        <v>36</v>
      </c>
      <c r="F71" s="46" t="s">
        <v>612</v>
      </c>
      <c r="G71" s="46" t="s">
        <v>36</v>
      </c>
    </row>
    <row r="72" spans="1:7" x14ac:dyDescent="0.2">
      <c r="A72" s="46" t="s">
        <v>172</v>
      </c>
      <c r="B72" s="46" t="s">
        <v>492</v>
      </c>
      <c r="C72" s="46" t="s">
        <v>493</v>
      </c>
      <c r="D72" s="16">
        <v>1895</v>
      </c>
      <c r="E72" s="46" t="s">
        <v>36</v>
      </c>
      <c r="F72" s="46" t="s">
        <v>610</v>
      </c>
      <c r="G72" s="46" t="s">
        <v>36</v>
      </c>
    </row>
    <row r="73" spans="1:7" x14ac:dyDescent="0.2">
      <c r="A73" s="46" t="s">
        <v>172</v>
      </c>
      <c r="B73" s="46" t="s">
        <v>494</v>
      </c>
      <c r="C73" s="46" t="s">
        <v>43</v>
      </c>
      <c r="D73" s="16">
        <v>2139</v>
      </c>
      <c r="E73" s="46" t="s">
        <v>36</v>
      </c>
      <c r="F73" s="46" t="s">
        <v>610</v>
      </c>
      <c r="G73" s="46" t="s">
        <v>36</v>
      </c>
    </row>
    <row r="74" spans="1:7" x14ac:dyDescent="0.2">
      <c r="A74" s="46" t="s">
        <v>172</v>
      </c>
      <c r="B74" s="46" t="s">
        <v>495</v>
      </c>
      <c r="C74" s="46" t="s">
        <v>62</v>
      </c>
      <c r="D74" s="16">
        <v>1896</v>
      </c>
      <c r="E74" s="46" t="s">
        <v>36</v>
      </c>
      <c r="F74" s="46" t="s">
        <v>610</v>
      </c>
      <c r="G74" s="46" t="s">
        <v>36</v>
      </c>
    </row>
    <row r="75" spans="1:7" x14ac:dyDescent="0.2">
      <c r="A75" s="46" t="s">
        <v>172</v>
      </c>
      <c r="B75" s="46" t="s">
        <v>496</v>
      </c>
      <c r="C75" s="46" t="s">
        <v>497</v>
      </c>
      <c r="D75" s="16">
        <v>1896</v>
      </c>
      <c r="E75" s="46" t="s">
        <v>36</v>
      </c>
      <c r="F75" s="46" t="s">
        <v>610</v>
      </c>
      <c r="G75" s="46" t="s">
        <v>36</v>
      </c>
    </row>
    <row r="76" spans="1:7" x14ac:dyDescent="0.2">
      <c r="A76" s="46" t="s">
        <v>172</v>
      </c>
      <c r="B76" s="46" t="s">
        <v>498</v>
      </c>
      <c r="C76" s="46" t="s">
        <v>499</v>
      </c>
      <c r="D76" s="16">
        <v>4501</v>
      </c>
      <c r="E76" s="46" t="s">
        <v>36</v>
      </c>
      <c r="F76" s="46" t="s">
        <v>610</v>
      </c>
      <c r="G76" s="46" t="s">
        <v>36</v>
      </c>
    </row>
    <row r="77" spans="1:7" x14ac:dyDescent="0.2">
      <c r="A77" s="46" t="s">
        <v>172</v>
      </c>
      <c r="B77" s="46" t="s">
        <v>500</v>
      </c>
      <c r="C77" s="46" t="s">
        <v>37</v>
      </c>
      <c r="D77" s="16">
        <v>868</v>
      </c>
      <c r="E77" s="46" t="s">
        <v>36</v>
      </c>
      <c r="F77" s="46" t="s">
        <v>610</v>
      </c>
      <c r="G77" s="46" t="s">
        <v>36</v>
      </c>
    </row>
    <row r="78" spans="1:7" x14ac:dyDescent="0.2">
      <c r="A78" s="46" t="s">
        <v>172</v>
      </c>
      <c r="B78" s="46" t="s">
        <v>501</v>
      </c>
      <c r="C78" s="46" t="s">
        <v>502</v>
      </c>
      <c r="D78" s="16">
        <v>1330</v>
      </c>
      <c r="E78" s="46" t="s">
        <v>36</v>
      </c>
      <c r="F78" s="46" t="s">
        <v>612</v>
      </c>
      <c r="G78" s="46" t="s">
        <v>36</v>
      </c>
    </row>
    <row r="79" spans="1:7" x14ac:dyDescent="0.2">
      <c r="A79" s="46" t="s">
        <v>172</v>
      </c>
      <c r="B79" s="46" t="s">
        <v>503</v>
      </c>
      <c r="C79" s="46" t="s">
        <v>504</v>
      </c>
      <c r="D79" s="16">
        <v>1330</v>
      </c>
      <c r="E79" s="46" t="s">
        <v>36</v>
      </c>
      <c r="F79" s="46" t="s">
        <v>612</v>
      </c>
      <c r="G79" s="46" t="s">
        <v>36</v>
      </c>
    </row>
    <row r="80" spans="1:7" x14ac:dyDescent="0.2">
      <c r="A80" s="46" t="s">
        <v>172</v>
      </c>
      <c r="B80" s="46" t="s">
        <v>505</v>
      </c>
      <c r="C80" s="46" t="s">
        <v>70</v>
      </c>
      <c r="D80" s="16">
        <v>1330</v>
      </c>
      <c r="E80" s="46" t="s">
        <v>36</v>
      </c>
      <c r="F80" s="46" t="s">
        <v>612</v>
      </c>
      <c r="G80" s="46" t="s">
        <v>36</v>
      </c>
    </row>
    <row r="81" spans="1:7" x14ac:dyDescent="0.2">
      <c r="A81" s="46" t="s">
        <v>172</v>
      </c>
      <c r="B81" s="46" t="s">
        <v>506</v>
      </c>
      <c r="C81" s="46" t="s">
        <v>507</v>
      </c>
      <c r="D81" s="16">
        <v>1095</v>
      </c>
      <c r="E81" s="46" t="s">
        <v>36</v>
      </c>
      <c r="F81" s="46" t="s">
        <v>612</v>
      </c>
      <c r="G81" s="46" t="s">
        <v>36</v>
      </c>
    </row>
    <row r="82" spans="1:7" x14ac:dyDescent="0.2">
      <c r="A82" s="46" t="s">
        <v>172</v>
      </c>
      <c r="B82" s="46" t="s">
        <v>508</v>
      </c>
      <c r="C82" s="46" t="s">
        <v>509</v>
      </c>
      <c r="D82" s="16">
        <v>1288</v>
      </c>
      <c r="E82" s="46" t="s">
        <v>36</v>
      </c>
      <c r="F82" s="46" t="s">
        <v>612</v>
      </c>
      <c r="G82" s="46" t="s">
        <v>36</v>
      </c>
    </row>
    <row r="83" spans="1:7" x14ac:dyDescent="0.2">
      <c r="A83" s="46" t="s">
        <v>172</v>
      </c>
      <c r="B83" s="46" t="s">
        <v>510</v>
      </c>
      <c r="C83" s="46" t="s">
        <v>511</v>
      </c>
      <c r="D83" s="16">
        <v>1373</v>
      </c>
      <c r="E83" s="46" t="s">
        <v>36</v>
      </c>
      <c r="F83" s="46" t="s">
        <v>612</v>
      </c>
      <c r="G83" s="46" t="s">
        <v>36</v>
      </c>
    </row>
    <row r="84" spans="1:7" x14ac:dyDescent="0.2">
      <c r="A84" s="46" t="s">
        <v>172</v>
      </c>
      <c r="B84" s="46" t="s">
        <v>512</v>
      </c>
      <c r="C84" s="46" t="s">
        <v>513</v>
      </c>
      <c r="D84" s="16">
        <v>1560</v>
      </c>
      <c r="E84" s="46" t="s">
        <v>36</v>
      </c>
      <c r="F84" s="46" t="s">
        <v>612</v>
      </c>
      <c r="G84" s="46" t="s">
        <v>36</v>
      </c>
    </row>
    <row r="85" spans="1:7" x14ac:dyDescent="0.2">
      <c r="A85" s="46" t="s">
        <v>172</v>
      </c>
      <c r="B85" s="46" t="s">
        <v>514</v>
      </c>
      <c r="C85" s="46" t="s">
        <v>515</v>
      </c>
      <c r="D85" s="16">
        <v>1560</v>
      </c>
      <c r="E85" s="46" t="s">
        <v>36</v>
      </c>
      <c r="F85" s="46" t="s">
        <v>612</v>
      </c>
      <c r="G85" s="46" t="s">
        <v>36</v>
      </c>
    </row>
    <row r="86" spans="1:7" x14ac:dyDescent="0.2">
      <c r="A86" s="46" t="s">
        <v>172</v>
      </c>
      <c r="B86" s="46" t="s">
        <v>516</v>
      </c>
      <c r="C86" s="46" t="s">
        <v>517</v>
      </c>
      <c r="D86" s="16">
        <v>1560</v>
      </c>
      <c r="E86" s="46" t="s">
        <v>36</v>
      </c>
      <c r="F86" s="46" t="s">
        <v>612</v>
      </c>
      <c r="G86" s="46" t="s">
        <v>36</v>
      </c>
    </row>
    <row r="87" spans="1:7" x14ac:dyDescent="0.2">
      <c r="A87" s="46" t="s">
        <v>172</v>
      </c>
      <c r="B87" s="46" t="s">
        <v>518</v>
      </c>
      <c r="C87" s="46" t="s">
        <v>519</v>
      </c>
      <c r="D87" s="16">
        <v>1560</v>
      </c>
      <c r="E87" s="46" t="s">
        <v>36</v>
      </c>
      <c r="F87" s="46" t="s">
        <v>612</v>
      </c>
      <c r="G87" s="46" t="s">
        <v>36</v>
      </c>
    </row>
    <row r="88" spans="1:7" x14ac:dyDescent="0.2">
      <c r="A88" s="46" t="s">
        <v>172</v>
      </c>
      <c r="B88" s="46" t="s">
        <v>520</v>
      </c>
      <c r="C88" s="46" t="s">
        <v>56</v>
      </c>
      <c r="D88" s="16">
        <v>1448</v>
      </c>
      <c r="E88" s="46" t="s">
        <v>36</v>
      </c>
      <c r="F88" s="46" t="s">
        <v>612</v>
      </c>
      <c r="G88" s="46" t="s">
        <v>36</v>
      </c>
    </row>
    <row r="89" spans="1:7" x14ac:dyDescent="0.2">
      <c r="A89" s="46" t="s">
        <v>172</v>
      </c>
      <c r="B89" s="46" t="s">
        <v>521</v>
      </c>
      <c r="C89" s="46" t="s">
        <v>522</v>
      </c>
      <c r="D89" s="16">
        <v>1291</v>
      </c>
      <c r="E89" s="46" t="s">
        <v>36</v>
      </c>
      <c r="F89" s="46" t="s">
        <v>612</v>
      </c>
      <c r="G89" s="46" t="s">
        <v>36</v>
      </c>
    </row>
    <row r="90" spans="1:7" x14ac:dyDescent="0.2">
      <c r="A90" s="46" t="s">
        <v>172</v>
      </c>
      <c r="B90" s="46" t="s">
        <v>523</v>
      </c>
      <c r="C90" s="46" t="s">
        <v>524</v>
      </c>
      <c r="D90" s="16">
        <v>1330</v>
      </c>
      <c r="E90" s="46" t="s">
        <v>36</v>
      </c>
      <c r="F90" s="46" t="s">
        <v>612</v>
      </c>
      <c r="G90" s="46" t="s">
        <v>36</v>
      </c>
    </row>
    <row r="91" spans="1:7" x14ac:dyDescent="0.2">
      <c r="A91" s="46" t="s">
        <v>172</v>
      </c>
      <c r="B91" s="46" t="s">
        <v>525</v>
      </c>
      <c r="C91" s="46" t="s">
        <v>526</v>
      </c>
      <c r="D91" s="16">
        <v>1373</v>
      </c>
      <c r="E91" s="46" t="s">
        <v>36</v>
      </c>
      <c r="F91" s="46" t="s">
        <v>612</v>
      </c>
      <c r="G91" s="46" t="s">
        <v>36</v>
      </c>
    </row>
    <row r="92" spans="1:7" x14ac:dyDescent="0.2">
      <c r="A92" s="46" t="s">
        <v>172</v>
      </c>
      <c r="B92" s="46" t="s">
        <v>527</v>
      </c>
      <c r="C92" s="46" t="s">
        <v>528</v>
      </c>
      <c r="D92" s="16">
        <v>1896</v>
      </c>
      <c r="E92" s="46" t="s">
        <v>36</v>
      </c>
      <c r="F92" s="46" t="s">
        <v>612</v>
      </c>
      <c r="G92" s="46" t="s">
        <v>36</v>
      </c>
    </row>
    <row r="93" spans="1:7" x14ac:dyDescent="0.2">
      <c r="A93" s="46" t="s">
        <v>172</v>
      </c>
      <c r="B93" s="46" t="s">
        <v>529</v>
      </c>
      <c r="C93" s="46" t="s">
        <v>530</v>
      </c>
      <c r="D93" s="16">
        <v>1560</v>
      </c>
      <c r="E93" s="46" t="s">
        <v>36</v>
      </c>
      <c r="F93" s="46" t="s">
        <v>612</v>
      </c>
      <c r="G93" s="46" t="s">
        <v>36</v>
      </c>
    </row>
    <row r="94" spans="1:7" x14ac:dyDescent="0.2">
      <c r="A94" s="46" t="s">
        <v>172</v>
      </c>
      <c r="B94" s="46" t="s">
        <v>531</v>
      </c>
      <c r="C94" s="46" t="s">
        <v>46</v>
      </c>
      <c r="D94" s="16">
        <v>4501</v>
      </c>
      <c r="E94" s="46" t="s">
        <v>36</v>
      </c>
      <c r="F94" s="46" t="s">
        <v>612</v>
      </c>
      <c r="G94" s="46" t="s">
        <v>36</v>
      </c>
    </row>
    <row r="95" spans="1:7" x14ac:dyDescent="0.2">
      <c r="A95" s="46" t="s">
        <v>172</v>
      </c>
      <c r="B95" s="46" t="s">
        <v>532</v>
      </c>
      <c r="C95" s="46" t="s">
        <v>533</v>
      </c>
      <c r="D95" s="16">
        <v>868</v>
      </c>
      <c r="E95" s="46" t="s">
        <v>36</v>
      </c>
      <c r="F95" s="46" t="s">
        <v>612</v>
      </c>
      <c r="G95" s="46" t="s">
        <v>36</v>
      </c>
    </row>
    <row r="96" spans="1:7" x14ac:dyDescent="0.2">
      <c r="A96" s="47" t="s">
        <v>174</v>
      </c>
      <c r="B96" s="47" t="s">
        <v>257</v>
      </c>
      <c r="C96" s="47" t="s">
        <v>78</v>
      </c>
      <c r="D96" s="48">
        <v>0</v>
      </c>
      <c r="E96" s="47" t="s">
        <v>75</v>
      </c>
      <c r="F96" s="47" t="s">
        <v>24</v>
      </c>
      <c r="G96" s="47" t="s">
        <v>75</v>
      </c>
    </row>
    <row r="97" spans="1:7" x14ac:dyDescent="0.2">
      <c r="A97" s="47" t="s">
        <v>174</v>
      </c>
      <c r="B97" s="47" t="s">
        <v>217</v>
      </c>
      <c r="C97" s="47" t="s">
        <v>74</v>
      </c>
      <c r="D97" s="48">
        <v>0</v>
      </c>
      <c r="E97" s="47" t="s">
        <v>75</v>
      </c>
      <c r="F97" s="47" t="s">
        <v>24</v>
      </c>
      <c r="G97" s="47" t="s">
        <v>75</v>
      </c>
    </row>
    <row r="98" spans="1:7" x14ac:dyDescent="0.2">
      <c r="A98" s="47" t="s">
        <v>174</v>
      </c>
      <c r="B98" s="47" t="s">
        <v>267</v>
      </c>
      <c r="C98" s="47" t="s">
        <v>77</v>
      </c>
      <c r="D98" s="48">
        <v>0</v>
      </c>
      <c r="E98" s="47" t="s">
        <v>75</v>
      </c>
      <c r="F98" s="47" t="s">
        <v>24</v>
      </c>
      <c r="G98" s="47" t="s">
        <v>75</v>
      </c>
    </row>
    <row r="99" spans="1:7" x14ac:dyDescent="0.2">
      <c r="A99" s="47" t="s">
        <v>174</v>
      </c>
      <c r="B99" s="47" t="s">
        <v>179</v>
      </c>
      <c r="C99" s="47" t="s">
        <v>76</v>
      </c>
      <c r="D99" s="48">
        <v>0</v>
      </c>
      <c r="E99" s="47" t="s">
        <v>75</v>
      </c>
      <c r="F99" s="47" t="s">
        <v>24</v>
      </c>
      <c r="G99" s="47" t="s">
        <v>75</v>
      </c>
    </row>
    <row r="100" spans="1:7" x14ac:dyDescent="0.2">
      <c r="A100" s="47" t="s">
        <v>174</v>
      </c>
      <c r="B100" s="47" t="s">
        <v>301</v>
      </c>
      <c r="C100" s="47" t="s">
        <v>302</v>
      </c>
      <c r="D100" s="48">
        <v>0</v>
      </c>
      <c r="E100" s="47" t="s">
        <v>75</v>
      </c>
      <c r="F100" s="47" t="s">
        <v>24</v>
      </c>
      <c r="G100" s="47" t="s">
        <v>75</v>
      </c>
    </row>
    <row r="101" spans="1:7" x14ac:dyDescent="0.2">
      <c r="A101" s="47" t="s">
        <v>174</v>
      </c>
      <c r="B101" s="47" t="s">
        <v>201</v>
      </c>
      <c r="C101" s="47" t="s">
        <v>79</v>
      </c>
      <c r="D101" s="48">
        <v>0</v>
      </c>
      <c r="E101" s="47" t="s">
        <v>75</v>
      </c>
      <c r="F101" s="47" t="s">
        <v>24</v>
      </c>
      <c r="G101" s="47" t="s">
        <v>75</v>
      </c>
    </row>
    <row r="102" spans="1:7" x14ac:dyDescent="0.2">
      <c r="A102" s="47" t="s">
        <v>174</v>
      </c>
      <c r="B102" s="47" t="s">
        <v>283</v>
      </c>
      <c r="C102" s="47" t="s">
        <v>80</v>
      </c>
      <c r="D102" s="48">
        <v>0</v>
      </c>
      <c r="E102" s="47" t="s">
        <v>75</v>
      </c>
      <c r="F102" s="47" t="s">
        <v>24</v>
      </c>
      <c r="G102" s="47" t="s">
        <v>75</v>
      </c>
    </row>
    <row r="103" spans="1:7" x14ac:dyDescent="0.2">
      <c r="A103" s="47" t="s">
        <v>174</v>
      </c>
      <c r="B103" s="47" t="s">
        <v>271</v>
      </c>
      <c r="C103" s="47" t="s">
        <v>272</v>
      </c>
      <c r="D103" s="48">
        <v>0</v>
      </c>
      <c r="E103" s="47" t="s">
        <v>75</v>
      </c>
      <c r="F103" s="47" t="s">
        <v>24</v>
      </c>
      <c r="G103" s="47" t="s">
        <v>75</v>
      </c>
    </row>
    <row r="104" spans="1:7" x14ac:dyDescent="0.2">
      <c r="A104" s="46" t="s">
        <v>172</v>
      </c>
      <c r="B104" s="46" t="s">
        <v>365</v>
      </c>
      <c r="C104" s="46" t="s">
        <v>366</v>
      </c>
      <c r="D104" s="16">
        <v>1569</v>
      </c>
      <c r="E104" s="46" t="s">
        <v>15</v>
      </c>
      <c r="F104" s="46" t="s">
        <v>534</v>
      </c>
      <c r="G104" s="46" t="s">
        <v>534</v>
      </c>
    </row>
    <row r="105" spans="1:7" x14ac:dyDescent="0.2">
      <c r="A105" s="46" t="s">
        <v>172</v>
      </c>
      <c r="B105" s="46" t="s">
        <v>490</v>
      </c>
      <c r="C105" s="46" t="s">
        <v>491</v>
      </c>
      <c r="D105" s="16">
        <v>2049</v>
      </c>
      <c r="E105" s="46" t="s">
        <v>15</v>
      </c>
      <c r="F105" s="46" t="s">
        <v>534</v>
      </c>
      <c r="G105" s="46" t="s">
        <v>534</v>
      </c>
    </row>
    <row r="106" spans="1:7" x14ac:dyDescent="0.2">
      <c r="A106" s="47" t="s">
        <v>174</v>
      </c>
      <c r="B106" s="47" t="s">
        <v>175</v>
      </c>
      <c r="C106" s="47" t="s">
        <v>164</v>
      </c>
      <c r="D106" s="48">
        <v>50240</v>
      </c>
      <c r="E106" s="47" t="s">
        <v>82</v>
      </c>
      <c r="F106" s="47" t="s">
        <v>83</v>
      </c>
      <c r="G106" s="47" t="s">
        <v>535</v>
      </c>
    </row>
    <row r="107" spans="1:7" x14ac:dyDescent="0.2">
      <c r="A107" s="47" t="s">
        <v>174</v>
      </c>
      <c r="B107" s="47" t="s">
        <v>214</v>
      </c>
      <c r="C107" s="47" t="s">
        <v>81</v>
      </c>
      <c r="D107" s="48">
        <v>23638</v>
      </c>
      <c r="E107" s="47" t="s">
        <v>82</v>
      </c>
      <c r="F107" s="47" t="s">
        <v>83</v>
      </c>
      <c r="G107" s="47" t="s">
        <v>535</v>
      </c>
    </row>
    <row r="108" spans="1:7" x14ac:dyDescent="0.2">
      <c r="A108" s="47" t="s">
        <v>174</v>
      </c>
      <c r="B108" s="47" t="s">
        <v>242</v>
      </c>
      <c r="C108" s="47" t="s">
        <v>90</v>
      </c>
      <c r="D108" s="48">
        <v>28568</v>
      </c>
      <c r="E108" s="47" t="s">
        <v>82</v>
      </c>
      <c r="F108" s="47" t="s">
        <v>83</v>
      </c>
      <c r="G108" s="47" t="s">
        <v>535</v>
      </c>
    </row>
    <row r="109" spans="1:7" x14ac:dyDescent="0.2">
      <c r="A109" s="47" t="s">
        <v>174</v>
      </c>
      <c r="B109" s="47" t="s">
        <v>266</v>
      </c>
      <c r="C109" s="47" t="s">
        <v>85</v>
      </c>
      <c r="D109" s="48">
        <v>39221</v>
      </c>
      <c r="E109" s="47" t="s">
        <v>82</v>
      </c>
      <c r="F109" s="47" t="s">
        <v>83</v>
      </c>
      <c r="G109" s="47" t="s">
        <v>535</v>
      </c>
    </row>
    <row r="110" spans="1:7" x14ac:dyDescent="0.2">
      <c r="A110" s="47" t="s">
        <v>174</v>
      </c>
      <c r="B110" s="47" t="s">
        <v>270</v>
      </c>
      <c r="C110" s="47" t="s">
        <v>87</v>
      </c>
      <c r="D110" s="48">
        <v>45484</v>
      </c>
      <c r="E110" s="47" t="s">
        <v>82</v>
      </c>
      <c r="F110" s="47" t="s">
        <v>83</v>
      </c>
      <c r="G110" s="47" t="s">
        <v>535</v>
      </c>
    </row>
    <row r="111" spans="1:7" x14ac:dyDescent="0.2">
      <c r="A111" s="47" t="s">
        <v>174</v>
      </c>
      <c r="B111" s="47" t="s">
        <v>290</v>
      </c>
      <c r="C111" s="47" t="s">
        <v>86</v>
      </c>
      <c r="D111" s="48">
        <v>46780</v>
      </c>
      <c r="E111" s="47" t="s">
        <v>82</v>
      </c>
      <c r="F111" s="47" t="s">
        <v>83</v>
      </c>
      <c r="G111" s="47" t="s">
        <v>535</v>
      </c>
    </row>
    <row r="112" spans="1:7" x14ac:dyDescent="0.2">
      <c r="A112" s="47" t="s">
        <v>174</v>
      </c>
      <c r="B112" s="47" t="s">
        <v>278</v>
      </c>
      <c r="C112" s="47" t="s">
        <v>84</v>
      </c>
      <c r="D112" s="48">
        <v>7973</v>
      </c>
      <c r="E112" s="47" t="s">
        <v>82</v>
      </c>
      <c r="F112" s="47" t="s">
        <v>83</v>
      </c>
      <c r="G112" s="47" t="s">
        <v>535</v>
      </c>
    </row>
    <row r="113" spans="1:7" x14ac:dyDescent="0.2">
      <c r="A113" s="47" t="s">
        <v>174</v>
      </c>
      <c r="B113" s="47" t="s">
        <v>207</v>
      </c>
      <c r="C113" s="47" t="s">
        <v>92</v>
      </c>
      <c r="D113" s="48">
        <v>9627</v>
      </c>
      <c r="E113" s="47" t="s">
        <v>93</v>
      </c>
      <c r="F113" s="47" t="s">
        <v>24</v>
      </c>
      <c r="G113" s="47" t="s">
        <v>535</v>
      </c>
    </row>
    <row r="114" spans="1:7" x14ac:dyDescent="0.2">
      <c r="A114" s="47" t="s">
        <v>174</v>
      </c>
      <c r="B114" s="47" t="s">
        <v>196</v>
      </c>
      <c r="C114" s="47" t="s">
        <v>159</v>
      </c>
      <c r="D114" s="48">
        <v>9501</v>
      </c>
      <c r="E114" s="47" t="s">
        <v>93</v>
      </c>
      <c r="F114" s="47" t="s">
        <v>24</v>
      </c>
      <c r="G114" s="47" t="s">
        <v>535</v>
      </c>
    </row>
    <row r="115" spans="1:7" x14ac:dyDescent="0.2">
      <c r="A115" s="47" t="s">
        <v>174</v>
      </c>
      <c r="B115" s="47" t="s">
        <v>186</v>
      </c>
      <c r="C115" s="47" t="s">
        <v>95</v>
      </c>
      <c r="D115" s="48">
        <v>9570</v>
      </c>
      <c r="E115" s="47" t="s">
        <v>93</v>
      </c>
      <c r="F115" s="47" t="s">
        <v>24</v>
      </c>
      <c r="G115" s="47" t="s">
        <v>535</v>
      </c>
    </row>
    <row r="116" spans="1:7" x14ac:dyDescent="0.2">
      <c r="A116" s="47" t="s">
        <v>174</v>
      </c>
      <c r="B116" s="47" t="s">
        <v>228</v>
      </c>
      <c r="C116" s="47" t="s">
        <v>96</v>
      </c>
      <c r="D116" s="48">
        <v>10247</v>
      </c>
      <c r="E116" s="47" t="s">
        <v>93</v>
      </c>
      <c r="F116" s="47" t="s">
        <v>24</v>
      </c>
      <c r="G116" s="47" t="s">
        <v>535</v>
      </c>
    </row>
    <row r="117" spans="1:7" x14ac:dyDescent="0.2">
      <c r="A117" s="47" t="s">
        <v>174</v>
      </c>
      <c r="B117" s="47" t="s">
        <v>212</v>
      </c>
      <c r="C117" s="47" t="s">
        <v>160</v>
      </c>
      <c r="D117" s="48">
        <v>11253</v>
      </c>
      <c r="E117" s="47" t="s">
        <v>93</v>
      </c>
      <c r="F117" s="47" t="s">
        <v>24</v>
      </c>
      <c r="G117" s="47" t="s">
        <v>535</v>
      </c>
    </row>
    <row r="118" spans="1:7" x14ac:dyDescent="0.2">
      <c r="A118" s="47" t="s">
        <v>174</v>
      </c>
      <c r="B118" s="47" t="s">
        <v>220</v>
      </c>
      <c r="C118" s="47" t="s">
        <v>161</v>
      </c>
      <c r="D118" s="48">
        <v>8251</v>
      </c>
      <c r="E118" s="47" t="s">
        <v>93</v>
      </c>
      <c r="F118" s="47" t="s">
        <v>24</v>
      </c>
      <c r="G118" s="47" t="s">
        <v>535</v>
      </c>
    </row>
    <row r="119" spans="1:7" x14ac:dyDescent="0.2">
      <c r="A119" s="47" t="s">
        <v>174</v>
      </c>
      <c r="B119" s="47" t="s">
        <v>255</v>
      </c>
      <c r="C119" s="47" t="s">
        <v>256</v>
      </c>
      <c r="D119" s="48">
        <v>0</v>
      </c>
      <c r="E119" s="47" t="s">
        <v>93</v>
      </c>
      <c r="F119" s="47" t="s">
        <v>24</v>
      </c>
      <c r="G119" s="47" t="s">
        <v>535</v>
      </c>
    </row>
    <row r="120" spans="1:7" x14ac:dyDescent="0.2">
      <c r="A120" s="47" t="s">
        <v>174</v>
      </c>
      <c r="B120" s="47" t="s">
        <v>197</v>
      </c>
      <c r="C120" s="47" t="s">
        <v>31</v>
      </c>
      <c r="D120" s="48">
        <v>3212</v>
      </c>
      <c r="E120" s="47" t="s">
        <v>28</v>
      </c>
      <c r="F120" s="47" t="s">
        <v>24</v>
      </c>
      <c r="G120" s="47" t="s">
        <v>535</v>
      </c>
    </row>
    <row r="121" spans="1:7" x14ac:dyDescent="0.2">
      <c r="A121" s="47" t="s">
        <v>174</v>
      </c>
      <c r="B121" s="47" t="s">
        <v>208</v>
      </c>
      <c r="C121" s="47" t="s">
        <v>30</v>
      </c>
      <c r="D121" s="48">
        <v>2917</v>
      </c>
      <c r="E121" s="47" t="s">
        <v>28</v>
      </c>
      <c r="F121" s="47" t="s">
        <v>24</v>
      </c>
      <c r="G121" s="47" t="s">
        <v>535</v>
      </c>
    </row>
    <row r="122" spans="1:7" x14ac:dyDescent="0.2">
      <c r="A122" s="47" t="s">
        <v>174</v>
      </c>
      <c r="B122" s="47" t="s">
        <v>246</v>
      </c>
      <c r="C122" s="47" t="s">
        <v>247</v>
      </c>
      <c r="D122" s="48">
        <v>0</v>
      </c>
      <c r="E122" s="47" t="s">
        <v>28</v>
      </c>
      <c r="F122" s="47" t="s">
        <v>24</v>
      </c>
      <c r="G122" s="47" t="s">
        <v>535</v>
      </c>
    </row>
    <row r="123" spans="1:7" x14ac:dyDescent="0.2">
      <c r="A123" s="47" t="s">
        <v>174</v>
      </c>
      <c r="B123" s="47" t="s">
        <v>221</v>
      </c>
      <c r="C123" s="47" t="s">
        <v>222</v>
      </c>
      <c r="D123" s="48">
        <v>0</v>
      </c>
      <c r="E123" s="47" t="s">
        <v>28</v>
      </c>
      <c r="F123" s="47" t="s">
        <v>24</v>
      </c>
      <c r="G123" s="47" t="s">
        <v>535</v>
      </c>
    </row>
    <row r="124" spans="1:7" x14ac:dyDescent="0.2">
      <c r="A124" s="47" t="s">
        <v>174</v>
      </c>
      <c r="B124" s="47" t="s">
        <v>213</v>
      </c>
      <c r="C124" s="47" t="s">
        <v>101</v>
      </c>
      <c r="D124" s="48">
        <v>32801</v>
      </c>
      <c r="E124" s="47" t="s">
        <v>93</v>
      </c>
      <c r="F124" s="47" t="s">
        <v>24</v>
      </c>
      <c r="G124" s="47" t="s">
        <v>535</v>
      </c>
    </row>
    <row r="125" spans="1:7" x14ac:dyDescent="0.2">
      <c r="A125" s="47" t="s">
        <v>174</v>
      </c>
      <c r="B125" s="47" t="s">
        <v>177</v>
      </c>
      <c r="C125" s="47" t="s">
        <v>99</v>
      </c>
      <c r="D125" s="48">
        <v>0</v>
      </c>
      <c r="E125" s="47" t="s">
        <v>93</v>
      </c>
      <c r="F125" s="47" t="s">
        <v>24</v>
      </c>
      <c r="G125" s="47" t="s">
        <v>535</v>
      </c>
    </row>
    <row r="126" spans="1:7" x14ac:dyDescent="0.2">
      <c r="A126" s="47" t="s">
        <v>174</v>
      </c>
      <c r="B126" s="47" t="s">
        <v>184</v>
      </c>
      <c r="C126" s="47" t="s">
        <v>162</v>
      </c>
      <c r="D126" s="48">
        <v>0</v>
      </c>
      <c r="E126" s="47" t="s">
        <v>93</v>
      </c>
      <c r="F126" s="47" t="s">
        <v>24</v>
      </c>
      <c r="G126" s="47" t="s">
        <v>25</v>
      </c>
    </row>
    <row r="127" spans="1:7" x14ac:dyDescent="0.2">
      <c r="A127" s="47" t="s">
        <v>174</v>
      </c>
      <c r="B127" s="47" t="s">
        <v>233</v>
      </c>
      <c r="C127" s="47" t="s">
        <v>234</v>
      </c>
      <c r="D127" s="48">
        <v>0</v>
      </c>
      <c r="E127" s="47" t="s">
        <v>89</v>
      </c>
      <c r="F127" s="47" t="s">
        <v>83</v>
      </c>
      <c r="G127" s="47" t="s">
        <v>611</v>
      </c>
    </row>
    <row r="128" spans="1:7" x14ac:dyDescent="0.2">
      <c r="A128" s="47" t="s">
        <v>174</v>
      </c>
      <c r="B128" s="47" t="s">
        <v>258</v>
      </c>
      <c r="C128" s="47" t="s">
        <v>168</v>
      </c>
      <c r="D128" s="48">
        <v>0</v>
      </c>
      <c r="E128" s="47" t="s">
        <v>93</v>
      </c>
      <c r="F128" s="47" t="s">
        <v>24</v>
      </c>
      <c r="G128" s="47" t="s">
        <v>535</v>
      </c>
    </row>
    <row r="129" spans="1:7" x14ac:dyDescent="0.2">
      <c r="A129" s="47" t="s">
        <v>174</v>
      </c>
      <c r="B129" s="47" t="s">
        <v>229</v>
      </c>
      <c r="C129" s="47" t="s">
        <v>230</v>
      </c>
      <c r="D129" s="48">
        <v>0</v>
      </c>
      <c r="E129" s="47" t="s">
        <v>89</v>
      </c>
      <c r="F129" s="47" t="s">
        <v>83</v>
      </c>
      <c r="G129" s="47" t="s">
        <v>25</v>
      </c>
    </row>
    <row r="130" spans="1:7" x14ac:dyDescent="0.2">
      <c r="A130" s="47" t="s">
        <v>174</v>
      </c>
      <c r="B130" s="47" t="s">
        <v>280</v>
      </c>
      <c r="C130" s="47" t="s">
        <v>281</v>
      </c>
      <c r="D130" s="48">
        <v>0</v>
      </c>
      <c r="E130" s="47" t="s">
        <v>89</v>
      </c>
      <c r="F130" s="47" t="s">
        <v>83</v>
      </c>
      <c r="G130" s="47" t="s">
        <v>25</v>
      </c>
    </row>
    <row r="131" spans="1:7" x14ac:dyDescent="0.2">
      <c r="A131" s="46" t="s">
        <v>172</v>
      </c>
      <c r="B131" s="46" t="s">
        <v>358</v>
      </c>
      <c r="C131" s="46" t="s">
        <v>359</v>
      </c>
      <c r="D131" s="16">
        <v>135</v>
      </c>
      <c r="E131" s="46" t="s">
        <v>172</v>
      </c>
      <c r="F131" s="46" t="s">
        <v>534</v>
      </c>
      <c r="G131" s="46" t="s">
        <v>534</v>
      </c>
    </row>
    <row r="132" spans="1:7" x14ac:dyDescent="0.2">
      <c r="A132" s="46" t="s">
        <v>172</v>
      </c>
      <c r="B132" s="46" t="s">
        <v>486</v>
      </c>
      <c r="C132" s="46" t="s">
        <v>487</v>
      </c>
      <c r="D132" s="16">
        <v>135</v>
      </c>
      <c r="E132" s="46" t="s">
        <v>172</v>
      </c>
      <c r="F132" s="46" t="s">
        <v>534</v>
      </c>
      <c r="G132" s="46" t="s">
        <v>534</v>
      </c>
    </row>
    <row r="133" spans="1:7" x14ac:dyDescent="0.2">
      <c r="A133" s="46" t="s">
        <v>172</v>
      </c>
      <c r="B133" s="46" t="s">
        <v>304</v>
      </c>
      <c r="C133" s="46" t="s">
        <v>305</v>
      </c>
      <c r="D133" s="16">
        <v>51</v>
      </c>
      <c r="E133" s="46" t="s">
        <v>172</v>
      </c>
      <c r="F133" s="46" t="s">
        <v>534</v>
      </c>
      <c r="G133" s="46" t="s">
        <v>534</v>
      </c>
    </row>
    <row r="134" spans="1:7" x14ac:dyDescent="0.2">
      <c r="A134" s="46" t="s">
        <v>172</v>
      </c>
      <c r="B134" s="46" t="s">
        <v>319</v>
      </c>
      <c r="C134" s="46" t="s">
        <v>320</v>
      </c>
      <c r="D134" s="16">
        <v>45</v>
      </c>
      <c r="E134" s="46" t="s">
        <v>172</v>
      </c>
      <c r="F134" s="46" t="s">
        <v>534</v>
      </c>
      <c r="G134" s="46" t="s">
        <v>534</v>
      </c>
    </row>
    <row r="135" spans="1:7" x14ac:dyDescent="0.2">
      <c r="A135" s="46" t="s">
        <v>172</v>
      </c>
      <c r="B135" s="46" t="s">
        <v>468</v>
      </c>
      <c r="C135" s="46" t="s">
        <v>469</v>
      </c>
      <c r="D135" s="16">
        <v>486</v>
      </c>
      <c r="E135" s="46" t="s">
        <v>172</v>
      </c>
      <c r="F135" s="46" t="s">
        <v>534</v>
      </c>
      <c r="G135" s="46" t="s">
        <v>534</v>
      </c>
    </row>
    <row r="136" spans="1:7" x14ac:dyDescent="0.2">
      <c r="A136" s="46" t="s">
        <v>172</v>
      </c>
      <c r="B136" s="46" t="s">
        <v>466</v>
      </c>
      <c r="C136" s="46" t="s">
        <v>467</v>
      </c>
      <c r="D136" s="16">
        <v>720</v>
      </c>
      <c r="E136" s="46" t="s">
        <v>172</v>
      </c>
      <c r="F136" s="46" t="s">
        <v>534</v>
      </c>
      <c r="G136" s="46" t="s">
        <v>534</v>
      </c>
    </row>
    <row r="137" spans="1:7" x14ac:dyDescent="0.2">
      <c r="A137" s="46" t="s">
        <v>172</v>
      </c>
      <c r="B137" s="46" t="s">
        <v>395</v>
      </c>
      <c r="C137" s="46" t="s">
        <v>396</v>
      </c>
      <c r="D137" s="16">
        <v>1583</v>
      </c>
      <c r="E137" s="46" t="s">
        <v>172</v>
      </c>
      <c r="F137" s="46" t="s">
        <v>534</v>
      </c>
      <c r="G137" s="46" t="s">
        <v>534</v>
      </c>
    </row>
    <row r="138" spans="1:7" x14ac:dyDescent="0.2">
      <c r="A138" s="46" t="s">
        <v>172</v>
      </c>
      <c r="B138" s="46" t="s">
        <v>424</v>
      </c>
      <c r="C138" s="46" t="s">
        <v>425</v>
      </c>
      <c r="D138" s="16">
        <v>1642</v>
      </c>
      <c r="E138" s="46" t="s">
        <v>172</v>
      </c>
      <c r="F138" s="46" t="s">
        <v>534</v>
      </c>
      <c r="G138" s="46" t="s">
        <v>534</v>
      </c>
    </row>
    <row r="139" spans="1:7" x14ac:dyDescent="0.2">
      <c r="A139" s="46" t="s">
        <v>172</v>
      </c>
      <c r="B139" s="46" t="s">
        <v>442</v>
      </c>
      <c r="C139" s="46" t="s">
        <v>443</v>
      </c>
      <c r="D139" s="16">
        <v>60</v>
      </c>
      <c r="E139" s="46" t="s">
        <v>172</v>
      </c>
      <c r="F139" s="46" t="s">
        <v>534</v>
      </c>
      <c r="G139" s="46" t="s">
        <v>534</v>
      </c>
    </row>
    <row r="140" spans="1:7" x14ac:dyDescent="0.2">
      <c r="A140" s="46" t="s">
        <v>172</v>
      </c>
      <c r="B140" s="46" t="s">
        <v>372</v>
      </c>
      <c r="C140" s="46" t="s">
        <v>373</v>
      </c>
      <c r="D140" s="16">
        <v>300</v>
      </c>
      <c r="E140" s="46" t="s">
        <v>172</v>
      </c>
      <c r="F140" s="46" t="s">
        <v>534</v>
      </c>
      <c r="G140" s="46" t="s">
        <v>534</v>
      </c>
    </row>
    <row r="141" spans="1:7" x14ac:dyDescent="0.2">
      <c r="A141" s="46" t="s">
        <v>172</v>
      </c>
      <c r="B141" s="46" t="s">
        <v>415</v>
      </c>
      <c r="C141" s="46" t="s">
        <v>416</v>
      </c>
      <c r="D141" s="16">
        <v>210</v>
      </c>
      <c r="E141" s="46" t="s">
        <v>172</v>
      </c>
      <c r="F141" s="46" t="s">
        <v>534</v>
      </c>
      <c r="G141" s="46" t="s">
        <v>534</v>
      </c>
    </row>
    <row r="142" spans="1:7" x14ac:dyDescent="0.2">
      <c r="A142" s="46" t="s">
        <v>172</v>
      </c>
      <c r="B142" s="46" t="s">
        <v>331</v>
      </c>
      <c r="C142" s="46" t="s">
        <v>332</v>
      </c>
      <c r="D142" s="16">
        <v>296</v>
      </c>
      <c r="E142" s="46" t="s">
        <v>172</v>
      </c>
      <c r="F142" s="46" t="s">
        <v>534</v>
      </c>
      <c r="G142" s="46" t="s">
        <v>534</v>
      </c>
    </row>
    <row r="143" spans="1:7" x14ac:dyDescent="0.2">
      <c r="A143" s="46" t="s">
        <v>172</v>
      </c>
      <c r="B143" s="46" t="s">
        <v>478</v>
      </c>
      <c r="C143" s="46" t="s">
        <v>479</v>
      </c>
      <c r="D143" s="16">
        <v>280</v>
      </c>
      <c r="E143" s="46" t="s">
        <v>172</v>
      </c>
      <c r="F143" s="46" t="s">
        <v>534</v>
      </c>
      <c r="G143" s="46" t="s">
        <v>534</v>
      </c>
    </row>
    <row r="144" spans="1:7" x14ac:dyDescent="0.2">
      <c r="A144" s="46" t="s">
        <v>172</v>
      </c>
      <c r="B144" s="46" t="s">
        <v>406</v>
      </c>
      <c r="C144" s="46" t="s">
        <v>407</v>
      </c>
      <c r="D144" s="16">
        <v>380</v>
      </c>
      <c r="E144" s="46" t="s">
        <v>172</v>
      </c>
      <c r="F144" s="46" t="s">
        <v>534</v>
      </c>
      <c r="G144" s="46" t="s">
        <v>534</v>
      </c>
    </row>
    <row r="145" spans="1:7" x14ac:dyDescent="0.2">
      <c r="A145" s="46" t="s">
        <v>172</v>
      </c>
      <c r="B145" s="46" t="s">
        <v>488</v>
      </c>
      <c r="C145" s="46" t="s">
        <v>489</v>
      </c>
      <c r="D145" s="16">
        <v>0</v>
      </c>
      <c r="E145" s="46" t="s">
        <v>172</v>
      </c>
      <c r="F145" s="46" t="s">
        <v>534</v>
      </c>
      <c r="G145" s="46" t="s">
        <v>534</v>
      </c>
    </row>
    <row r="146" spans="1:7" x14ac:dyDescent="0.2">
      <c r="A146" s="46" t="s">
        <v>172</v>
      </c>
      <c r="B146" s="46" t="s">
        <v>352</v>
      </c>
      <c r="C146" s="46" t="s">
        <v>353</v>
      </c>
      <c r="D146" s="16">
        <v>45</v>
      </c>
      <c r="E146" s="46" t="s">
        <v>172</v>
      </c>
      <c r="F146" s="46" t="s">
        <v>534</v>
      </c>
      <c r="G146" s="46" t="s">
        <v>534</v>
      </c>
    </row>
    <row r="147" spans="1:7" x14ac:dyDescent="0.2">
      <c r="A147" s="46" t="s">
        <v>172</v>
      </c>
      <c r="B147" s="46" t="s">
        <v>446</v>
      </c>
      <c r="C147" s="46" t="s">
        <v>447</v>
      </c>
      <c r="D147" s="16">
        <v>70</v>
      </c>
      <c r="E147" s="46" t="s">
        <v>172</v>
      </c>
      <c r="F147" s="46" t="s">
        <v>534</v>
      </c>
      <c r="G147" s="46" t="s">
        <v>534</v>
      </c>
    </row>
    <row r="148" spans="1:7" x14ac:dyDescent="0.2">
      <c r="A148" s="46" t="s">
        <v>172</v>
      </c>
      <c r="B148" s="46" t="s">
        <v>459</v>
      </c>
      <c r="C148" s="46" t="s">
        <v>460</v>
      </c>
      <c r="D148" s="16">
        <v>1600</v>
      </c>
      <c r="E148" s="46" t="s">
        <v>172</v>
      </c>
      <c r="F148" s="46" t="s">
        <v>534</v>
      </c>
      <c r="G148" s="46" t="s">
        <v>534</v>
      </c>
    </row>
    <row r="149" spans="1:7" x14ac:dyDescent="0.2">
      <c r="A149" s="46" t="s">
        <v>172</v>
      </c>
      <c r="B149" s="46" t="s">
        <v>370</v>
      </c>
      <c r="C149" s="46" t="s">
        <v>371</v>
      </c>
      <c r="D149" s="16">
        <v>60</v>
      </c>
      <c r="E149" s="46" t="s">
        <v>172</v>
      </c>
      <c r="F149" s="46" t="s">
        <v>534</v>
      </c>
      <c r="G149" s="46" t="s">
        <v>534</v>
      </c>
    </row>
    <row r="150" spans="1:7" x14ac:dyDescent="0.2">
      <c r="A150" s="46" t="s">
        <v>172</v>
      </c>
      <c r="B150" s="46" t="s">
        <v>472</v>
      </c>
      <c r="C150" s="46" t="s">
        <v>473</v>
      </c>
      <c r="D150" s="16">
        <v>968</v>
      </c>
      <c r="E150" s="46" t="s">
        <v>172</v>
      </c>
      <c r="F150" s="46" t="s">
        <v>534</v>
      </c>
      <c r="G150" s="46" t="s">
        <v>534</v>
      </c>
    </row>
    <row r="151" spans="1:7" x14ac:dyDescent="0.2">
      <c r="A151" s="46" t="s">
        <v>172</v>
      </c>
      <c r="B151" s="46" t="s">
        <v>440</v>
      </c>
      <c r="C151" s="46" t="s">
        <v>441</v>
      </c>
      <c r="D151" s="16">
        <v>1376</v>
      </c>
      <c r="E151" s="46" t="s">
        <v>172</v>
      </c>
      <c r="F151" s="46" t="s">
        <v>534</v>
      </c>
      <c r="G151" s="46" t="s">
        <v>534</v>
      </c>
    </row>
    <row r="152" spans="1:7" x14ac:dyDescent="0.2">
      <c r="A152" s="46" t="s">
        <v>172</v>
      </c>
      <c r="B152" s="46" t="s">
        <v>378</v>
      </c>
      <c r="C152" s="46" t="s">
        <v>379</v>
      </c>
      <c r="D152" s="16">
        <v>45</v>
      </c>
      <c r="E152" s="46" t="s">
        <v>172</v>
      </c>
      <c r="F152" s="46" t="s">
        <v>534</v>
      </c>
      <c r="G152" s="46" t="s">
        <v>534</v>
      </c>
    </row>
    <row r="153" spans="1:7" x14ac:dyDescent="0.2">
      <c r="A153" s="46" t="s">
        <v>172</v>
      </c>
      <c r="B153" s="46" t="s">
        <v>385</v>
      </c>
      <c r="C153" s="46" t="s">
        <v>386</v>
      </c>
      <c r="D153" s="16">
        <v>45</v>
      </c>
      <c r="E153" s="46" t="s">
        <v>172</v>
      </c>
      <c r="F153" s="46" t="s">
        <v>534</v>
      </c>
      <c r="G153" s="46" t="s">
        <v>534</v>
      </c>
    </row>
    <row r="154" spans="1:7" x14ac:dyDescent="0.2">
      <c r="A154" s="46" t="s">
        <v>172</v>
      </c>
      <c r="B154" s="46" t="s">
        <v>422</v>
      </c>
      <c r="C154" s="46" t="s">
        <v>423</v>
      </c>
      <c r="D154" s="16">
        <v>58</v>
      </c>
      <c r="E154" s="46" t="s">
        <v>172</v>
      </c>
      <c r="F154" s="46" t="s">
        <v>534</v>
      </c>
      <c r="G154" s="46" t="s">
        <v>534</v>
      </c>
    </row>
    <row r="155" spans="1:7" x14ac:dyDescent="0.2">
      <c r="A155" s="47" t="s">
        <v>174</v>
      </c>
      <c r="B155" s="47" t="s">
        <v>183</v>
      </c>
      <c r="C155" s="47" t="s">
        <v>104</v>
      </c>
      <c r="D155" s="48">
        <v>10028</v>
      </c>
      <c r="E155" s="47" t="s">
        <v>103</v>
      </c>
      <c r="F155" s="47" t="s">
        <v>534</v>
      </c>
      <c r="G155" s="47" t="s">
        <v>534</v>
      </c>
    </row>
    <row r="156" spans="1:7" x14ac:dyDescent="0.2">
      <c r="A156" s="47" t="s">
        <v>174</v>
      </c>
      <c r="B156" s="47" t="s">
        <v>253</v>
      </c>
      <c r="C156" s="47" t="s">
        <v>105</v>
      </c>
      <c r="D156" s="48">
        <v>1569</v>
      </c>
      <c r="E156" s="47" t="s">
        <v>103</v>
      </c>
      <c r="F156" s="47" t="s">
        <v>534</v>
      </c>
      <c r="G156" s="47" t="s">
        <v>534</v>
      </c>
    </row>
    <row r="157" spans="1:7" x14ac:dyDescent="0.2">
      <c r="A157" s="47" t="s">
        <v>174</v>
      </c>
      <c r="B157" s="47" t="s">
        <v>262</v>
      </c>
      <c r="C157" s="47" t="s">
        <v>102</v>
      </c>
      <c r="D157" s="48">
        <v>6215</v>
      </c>
      <c r="E157" s="47" t="s">
        <v>103</v>
      </c>
      <c r="F157" s="47" t="s">
        <v>534</v>
      </c>
      <c r="G157" s="47" t="s">
        <v>534</v>
      </c>
    </row>
    <row r="158" spans="1:7" x14ac:dyDescent="0.2">
      <c r="A158" s="47" t="s">
        <v>174</v>
      </c>
      <c r="B158" s="47" t="s">
        <v>284</v>
      </c>
      <c r="C158" s="47" t="s">
        <v>106</v>
      </c>
      <c r="D158" s="48">
        <v>3139</v>
      </c>
      <c r="E158" s="47" t="s">
        <v>103</v>
      </c>
      <c r="F158" s="47" t="s">
        <v>534</v>
      </c>
      <c r="G158" s="47" t="s">
        <v>534</v>
      </c>
    </row>
    <row r="159" spans="1:7" x14ac:dyDescent="0.2">
      <c r="A159" s="47" t="s">
        <v>174</v>
      </c>
      <c r="B159" s="47" t="s">
        <v>209</v>
      </c>
      <c r="C159" s="47" t="s">
        <v>210</v>
      </c>
      <c r="D159" s="48">
        <v>0</v>
      </c>
      <c r="E159" s="47" t="s">
        <v>534</v>
      </c>
      <c r="F159" s="47" t="s">
        <v>534</v>
      </c>
      <c r="G159" s="47" t="s">
        <v>534</v>
      </c>
    </row>
    <row r="160" spans="1:7" x14ac:dyDescent="0.2">
      <c r="A160" s="47" t="s">
        <v>174</v>
      </c>
      <c r="B160" s="47" t="s">
        <v>295</v>
      </c>
      <c r="C160" s="47" t="s">
        <v>110</v>
      </c>
      <c r="D160" s="48">
        <v>6768</v>
      </c>
      <c r="E160" s="47" t="s">
        <v>89</v>
      </c>
      <c r="F160" s="47" t="s">
        <v>24</v>
      </c>
      <c r="G160" s="47" t="s">
        <v>25</v>
      </c>
    </row>
    <row r="161" spans="1:7" x14ac:dyDescent="0.2">
      <c r="A161" s="47" t="s">
        <v>174</v>
      </c>
      <c r="B161" s="47" t="s">
        <v>185</v>
      </c>
      <c r="C161" s="47" t="s">
        <v>137</v>
      </c>
      <c r="D161" s="48">
        <v>20053</v>
      </c>
      <c r="E161" s="47" t="s">
        <v>89</v>
      </c>
      <c r="F161" s="47" t="s">
        <v>83</v>
      </c>
      <c r="G161" s="47" t="s">
        <v>611</v>
      </c>
    </row>
    <row r="162" spans="1:7" x14ac:dyDescent="0.2">
      <c r="A162" s="47" t="s">
        <v>174</v>
      </c>
      <c r="B162" s="47" t="s">
        <v>252</v>
      </c>
      <c r="C162" s="47" t="s">
        <v>100</v>
      </c>
      <c r="D162" s="48">
        <v>32351</v>
      </c>
      <c r="E162" s="47" t="s">
        <v>89</v>
      </c>
      <c r="F162" s="47" t="s">
        <v>83</v>
      </c>
      <c r="G162" s="47" t="s">
        <v>25</v>
      </c>
    </row>
    <row r="163" spans="1:7" x14ac:dyDescent="0.2">
      <c r="A163" s="47" t="s">
        <v>174</v>
      </c>
      <c r="B163" s="47" t="s">
        <v>241</v>
      </c>
      <c r="C163" s="47" t="s">
        <v>107</v>
      </c>
      <c r="D163" s="48">
        <v>42704</v>
      </c>
      <c r="E163" s="47" t="s">
        <v>89</v>
      </c>
      <c r="F163" s="47" t="s">
        <v>83</v>
      </c>
      <c r="G163" s="47" t="s">
        <v>25</v>
      </c>
    </row>
    <row r="164" spans="1:7" x14ac:dyDescent="0.2">
      <c r="A164" s="47" t="s">
        <v>174</v>
      </c>
      <c r="B164" s="47" t="s">
        <v>232</v>
      </c>
      <c r="C164" s="47" t="s">
        <v>94</v>
      </c>
      <c r="D164" s="48">
        <v>9404</v>
      </c>
      <c r="E164" s="47" t="s">
        <v>89</v>
      </c>
      <c r="F164" s="47" t="s">
        <v>24</v>
      </c>
      <c r="G164" s="47" t="s">
        <v>25</v>
      </c>
    </row>
    <row r="165" spans="1:7" x14ac:dyDescent="0.2">
      <c r="A165" s="47" t="s">
        <v>174</v>
      </c>
      <c r="B165" s="47" t="s">
        <v>260</v>
      </c>
      <c r="C165" s="47" t="s">
        <v>97</v>
      </c>
      <c r="D165" s="48">
        <v>20911</v>
      </c>
      <c r="E165" s="47" t="s">
        <v>89</v>
      </c>
      <c r="F165" s="47" t="s">
        <v>83</v>
      </c>
      <c r="G165" s="47" t="s">
        <v>25</v>
      </c>
    </row>
    <row r="166" spans="1:7" x14ac:dyDescent="0.2">
      <c r="A166" s="47" t="s">
        <v>174</v>
      </c>
      <c r="B166" s="47" t="s">
        <v>274</v>
      </c>
      <c r="C166" s="47" t="s">
        <v>91</v>
      </c>
      <c r="D166" s="48">
        <v>28815</v>
      </c>
      <c r="E166" s="47" t="s">
        <v>89</v>
      </c>
      <c r="F166" s="47" t="s">
        <v>83</v>
      </c>
      <c r="G166" s="47" t="s">
        <v>25</v>
      </c>
    </row>
    <row r="167" spans="1:7" x14ac:dyDescent="0.2">
      <c r="A167" s="47" t="s">
        <v>174</v>
      </c>
      <c r="B167" s="47" t="s">
        <v>205</v>
      </c>
      <c r="C167" s="47" t="s">
        <v>141</v>
      </c>
      <c r="D167" s="48">
        <v>6064</v>
      </c>
      <c r="E167" s="47" t="s">
        <v>89</v>
      </c>
      <c r="F167" s="47" t="s">
        <v>24</v>
      </c>
      <c r="G167" s="47" t="s">
        <v>25</v>
      </c>
    </row>
    <row r="168" spans="1:7" x14ac:dyDescent="0.2">
      <c r="A168" s="47" t="s">
        <v>174</v>
      </c>
      <c r="B168" s="47" t="s">
        <v>202</v>
      </c>
      <c r="C168" s="47" t="s">
        <v>142</v>
      </c>
      <c r="D168" s="48">
        <v>14231</v>
      </c>
      <c r="E168" s="47" t="s">
        <v>89</v>
      </c>
      <c r="F168" s="47" t="s">
        <v>83</v>
      </c>
      <c r="G168" s="47" t="s">
        <v>25</v>
      </c>
    </row>
    <row r="169" spans="1:7" x14ac:dyDescent="0.2">
      <c r="A169" s="47" t="s">
        <v>174</v>
      </c>
      <c r="B169" s="47" t="s">
        <v>240</v>
      </c>
      <c r="C169" s="47" t="s">
        <v>139</v>
      </c>
      <c r="D169" s="48">
        <v>24255</v>
      </c>
      <c r="E169" s="47" t="s">
        <v>89</v>
      </c>
      <c r="F169" s="47" t="s">
        <v>83</v>
      </c>
      <c r="G169" s="47" t="s">
        <v>25</v>
      </c>
    </row>
    <row r="170" spans="1:7" x14ac:dyDescent="0.2">
      <c r="A170" s="47" t="s">
        <v>174</v>
      </c>
      <c r="B170" s="47" t="s">
        <v>265</v>
      </c>
      <c r="C170" s="47" t="s">
        <v>140</v>
      </c>
      <c r="D170" s="48">
        <v>32179</v>
      </c>
      <c r="E170" s="47" t="s">
        <v>89</v>
      </c>
      <c r="F170" s="47" t="s">
        <v>83</v>
      </c>
      <c r="G170" s="47" t="s">
        <v>25</v>
      </c>
    </row>
    <row r="171" spans="1:7" x14ac:dyDescent="0.2">
      <c r="A171" s="47" t="s">
        <v>174</v>
      </c>
      <c r="B171" s="47" t="s">
        <v>285</v>
      </c>
      <c r="C171" s="47" t="s">
        <v>146</v>
      </c>
      <c r="D171" s="48">
        <v>8464</v>
      </c>
      <c r="E171" s="47" t="s">
        <v>89</v>
      </c>
      <c r="F171" s="47" t="s">
        <v>24</v>
      </c>
      <c r="G171" s="47" t="s">
        <v>25</v>
      </c>
    </row>
    <row r="172" spans="1:7" x14ac:dyDescent="0.2">
      <c r="A172" s="47" t="s">
        <v>174</v>
      </c>
      <c r="B172" s="47" t="s">
        <v>235</v>
      </c>
      <c r="C172" s="47" t="s">
        <v>147</v>
      </c>
      <c r="D172" s="48">
        <v>18818</v>
      </c>
      <c r="E172" s="47" t="s">
        <v>89</v>
      </c>
      <c r="F172" s="47" t="s">
        <v>83</v>
      </c>
      <c r="G172" s="47" t="s">
        <v>25</v>
      </c>
    </row>
    <row r="173" spans="1:7" x14ac:dyDescent="0.2">
      <c r="A173" s="47" t="s">
        <v>174</v>
      </c>
      <c r="B173" s="47" t="s">
        <v>286</v>
      </c>
      <c r="C173" s="47" t="s">
        <v>144</v>
      </c>
      <c r="D173" s="48">
        <v>34655</v>
      </c>
      <c r="E173" s="47" t="s">
        <v>89</v>
      </c>
      <c r="F173" s="47" t="s">
        <v>83</v>
      </c>
      <c r="G173" s="47" t="s">
        <v>25</v>
      </c>
    </row>
    <row r="174" spans="1:7" x14ac:dyDescent="0.2">
      <c r="A174" s="47" t="s">
        <v>174</v>
      </c>
      <c r="B174" s="47" t="s">
        <v>178</v>
      </c>
      <c r="C174" s="47" t="s">
        <v>145</v>
      </c>
      <c r="D174" s="48">
        <v>48608</v>
      </c>
      <c r="E174" s="47" t="s">
        <v>89</v>
      </c>
      <c r="F174" s="47" t="s">
        <v>83</v>
      </c>
      <c r="G174" s="47" t="s">
        <v>25</v>
      </c>
    </row>
    <row r="175" spans="1:7" x14ac:dyDescent="0.2">
      <c r="A175" s="47" t="s">
        <v>174</v>
      </c>
      <c r="B175" s="47" t="s">
        <v>298</v>
      </c>
      <c r="C175" s="47" t="s">
        <v>153</v>
      </c>
      <c r="D175" s="48">
        <v>8521</v>
      </c>
      <c r="E175" s="47" t="s">
        <v>89</v>
      </c>
      <c r="F175" s="47" t="s">
        <v>24</v>
      </c>
      <c r="G175" s="47" t="s">
        <v>25</v>
      </c>
    </row>
    <row r="176" spans="1:7" x14ac:dyDescent="0.2">
      <c r="A176" s="47" t="s">
        <v>174</v>
      </c>
      <c r="B176" s="47" t="s">
        <v>204</v>
      </c>
      <c r="C176" s="47" t="s">
        <v>154</v>
      </c>
      <c r="D176" s="48">
        <v>19441</v>
      </c>
      <c r="E176" s="47" t="s">
        <v>89</v>
      </c>
      <c r="F176" s="47" t="s">
        <v>83</v>
      </c>
      <c r="G176" s="47" t="s">
        <v>25</v>
      </c>
    </row>
    <row r="177" spans="1:7" x14ac:dyDescent="0.2">
      <c r="A177" s="47" t="s">
        <v>174</v>
      </c>
      <c r="B177" s="47" t="s">
        <v>259</v>
      </c>
      <c r="C177" s="47" t="s">
        <v>152</v>
      </c>
      <c r="D177" s="48">
        <v>37744</v>
      </c>
      <c r="E177" s="47" t="s">
        <v>89</v>
      </c>
      <c r="F177" s="47" t="s">
        <v>83</v>
      </c>
      <c r="G177" s="47" t="s">
        <v>25</v>
      </c>
    </row>
    <row r="178" spans="1:7" x14ac:dyDescent="0.2">
      <c r="A178" s="47" t="s">
        <v>174</v>
      </c>
      <c r="B178" s="47" t="s">
        <v>200</v>
      </c>
      <c r="C178" s="47" t="s">
        <v>149</v>
      </c>
      <c r="D178" s="48">
        <v>10481</v>
      </c>
      <c r="E178" s="47" t="s">
        <v>89</v>
      </c>
      <c r="F178" s="47" t="s">
        <v>24</v>
      </c>
      <c r="G178" s="47" t="s">
        <v>25</v>
      </c>
    </row>
    <row r="179" spans="1:7" x14ac:dyDescent="0.2">
      <c r="A179" s="47" t="s">
        <v>174</v>
      </c>
      <c r="B179" s="47" t="s">
        <v>288</v>
      </c>
      <c r="C179" s="47" t="s">
        <v>150</v>
      </c>
      <c r="D179" s="48">
        <v>22575</v>
      </c>
      <c r="E179" s="47" t="s">
        <v>89</v>
      </c>
      <c r="F179" s="47" t="s">
        <v>83</v>
      </c>
      <c r="G179" s="47" t="s">
        <v>25</v>
      </c>
    </row>
    <row r="180" spans="1:7" x14ac:dyDescent="0.2">
      <c r="A180" s="47" t="s">
        <v>174</v>
      </c>
      <c r="B180" s="47" t="s">
        <v>249</v>
      </c>
      <c r="C180" s="47" t="s">
        <v>148</v>
      </c>
      <c r="D180" s="48">
        <v>43364</v>
      </c>
      <c r="E180" s="47" t="s">
        <v>89</v>
      </c>
      <c r="F180" s="47" t="s">
        <v>83</v>
      </c>
      <c r="G180" s="47" t="s">
        <v>25</v>
      </c>
    </row>
    <row r="181" spans="1:7" x14ac:dyDescent="0.2">
      <c r="A181" s="47" t="s">
        <v>174</v>
      </c>
      <c r="B181" s="47" t="s">
        <v>225</v>
      </c>
      <c r="C181" s="47" t="s">
        <v>157</v>
      </c>
      <c r="D181" s="48">
        <v>7141</v>
      </c>
      <c r="E181" s="47" t="s">
        <v>89</v>
      </c>
      <c r="F181" s="47" t="s">
        <v>24</v>
      </c>
      <c r="G181" s="47" t="s">
        <v>25</v>
      </c>
    </row>
    <row r="182" spans="1:7" x14ac:dyDescent="0.2">
      <c r="A182" s="47" t="s">
        <v>174</v>
      </c>
      <c r="B182" s="47" t="s">
        <v>216</v>
      </c>
      <c r="C182" s="47" t="s">
        <v>158</v>
      </c>
      <c r="D182" s="48">
        <v>15895</v>
      </c>
      <c r="E182" s="47" t="s">
        <v>89</v>
      </c>
      <c r="F182" s="47" t="s">
        <v>83</v>
      </c>
      <c r="G182" s="47" t="s">
        <v>25</v>
      </c>
    </row>
    <row r="183" spans="1:7" x14ac:dyDescent="0.2">
      <c r="A183" s="47" t="s">
        <v>174</v>
      </c>
      <c r="B183" s="47" t="s">
        <v>195</v>
      </c>
      <c r="C183" s="47" t="s">
        <v>156</v>
      </c>
      <c r="D183" s="48">
        <v>30804</v>
      </c>
      <c r="E183" s="47" t="s">
        <v>89</v>
      </c>
      <c r="F183" s="47" t="s">
        <v>83</v>
      </c>
      <c r="G183" s="47" t="s">
        <v>25</v>
      </c>
    </row>
    <row r="184" spans="1:7" x14ac:dyDescent="0.2">
      <c r="A184" s="47" t="s">
        <v>174</v>
      </c>
      <c r="B184" s="47" t="s">
        <v>180</v>
      </c>
      <c r="C184" s="47" t="s">
        <v>128</v>
      </c>
      <c r="D184" s="48">
        <v>6838</v>
      </c>
      <c r="E184" s="47" t="s">
        <v>89</v>
      </c>
      <c r="F184" s="47" t="s">
        <v>24</v>
      </c>
      <c r="G184" s="47" t="s">
        <v>25</v>
      </c>
    </row>
    <row r="185" spans="1:7" x14ac:dyDescent="0.2">
      <c r="A185" s="47" t="s">
        <v>174</v>
      </c>
      <c r="B185" s="47" t="s">
        <v>299</v>
      </c>
      <c r="C185" s="47" t="s">
        <v>129</v>
      </c>
      <c r="D185" s="48">
        <v>11332</v>
      </c>
      <c r="E185" s="47" t="s">
        <v>89</v>
      </c>
      <c r="F185" s="47" t="s">
        <v>83</v>
      </c>
      <c r="G185" s="47" t="s">
        <v>25</v>
      </c>
    </row>
    <row r="186" spans="1:7" x14ac:dyDescent="0.2">
      <c r="A186" s="47" t="s">
        <v>174</v>
      </c>
      <c r="B186" s="47" t="s">
        <v>293</v>
      </c>
      <c r="C186" s="47" t="s">
        <v>127</v>
      </c>
      <c r="D186" s="48">
        <v>28057</v>
      </c>
      <c r="E186" s="47" t="s">
        <v>89</v>
      </c>
      <c r="F186" s="47" t="s">
        <v>83</v>
      </c>
      <c r="G186" s="47" t="s">
        <v>25</v>
      </c>
    </row>
    <row r="187" spans="1:7" x14ac:dyDescent="0.2">
      <c r="A187" s="47" t="s">
        <v>174</v>
      </c>
      <c r="B187" s="47" t="s">
        <v>198</v>
      </c>
      <c r="C187" s="47" t="s">
        <v>124</v>
      </c>
      <c r="D187" s="48">
        <v>8757</v>
      </c>
      <c r="E187" s="47" t="s">
        <v>89</v>
      </c>
      <c r="F187" s="47" t="s">
        <v>24</v>
      </c>
      <c r="G187" s="47" t="s">
        <v>25</v>
      </c>
    </row>
    <row r="188" spans="1:7" x14ac:dyDescent="0.2">
      <c r="A188" s="47" t="s">
        <v>174</v>
      </c>
      <c r="B188" s="47" t="s">
        <v>203</v>
      </c>
      <c r="C188" s="47" t="s">
        <v>125</v>
      </c>
      <c r="D188" s="48">
        <v>17732</v>
      </c>
      <c r="E188" s="47" t="s">
        <v>89</v>
      </c>
      <c r="F188" s="47" t="s">
        <v>83</v>
      </c>
      <c r="G188" s="47" t="s">
        <v>25</v>
      </c>
    </row>
    <row r="189" spans="1:7" x14ac:dyDescent="0.2">
      <c r="A189" s="47" t="s">
        <v>174</v>
      </c>
      <c r="B189" s="47" t="s">
        <v>251</v>
      </c>
      <c r="C189" s="47" t="s">
        <v>123</v>
      </c>
      <c r="D189" s="48">
        <v>33677</v>
      </c>
      <c r="E189" s="47" t="s">
        <v>89</v>
      </c>
      <c r="F189" s="47" t="s">
        <v>83</v>
      </c>
      <c r="G189" s="47" t="s">
        <v>25</v>
      </c>
    </row>
    <row r="190" spans="1:7" x14ac:dyDescent="0.2">
      <c r="A190" s="47" t="s">
        <v>174</v>
      </c>
      <c r="B190" s="47" t="s">
        <v>297</v>
      </c>
      <c r="C190" s="47" t="s">
        <v>131</v>
      </c>
      <c r="D190" s="48">
        <v>5461</v>
      </c>
      <c r="E190" s="47" t="s">
        <v>89</v>
      </c>
      <c r="F190" s="47" t="s">
        <v>24</v>
      </c>
      <c r="G190" s="47" t="s">
        <v>25</v>
      </c>
    </row>
    <row r="191" spans="1:7" x14ac:dyDescent="0.2">
      <c r="A191" s="47" t="s">
        <v>174</v>
      </c>
      <c r="B191" s="47" t="s">
        <v>279</v>
      </c>
      <c r="C191" s="47" t="s">
        <v>132</v>
      </c>
      <c r="D191" s="48">
        <v>11217</v>
      </c>
      <c r="E191" s="47" t="s">
        <v>89</v>
      </c>
      <c r="F191" s="47" t="s">
        <v>83</v>
      </c>
      <c r="G191" s="47" t="s">
        <v>25</v>
      </c>
    </row>
    <row r="192" spans="1:7" x14ac:dyDescent="0.2">
      <c r="A192" s="47" t="s">
        <v>174</v>
      </c>
      <c r="B192" s="47" t="s">
        <v>226</v>
      </c>
      <c r="C192" s="47" t="s">
        <v>227</v>
      </c>
      <c r="D192" s="48">
        <v>21117</v>
      </c>
      <c r="E192" s="47" t="s">
        <v>89</v>
      </c>
      <c r="F192" s="47" t="s">
        <v>83</v>
      </c>
      <c r="G192" s="47" t="s">
        <v>25</v>
      </c>
    </row>
    <row r="193" spans="1:7" x14ac:dyDescent="0.2">
      <c r="A193" s="47" t="s">
        <v>174</v>
      </c>
      <c r="B193" s="47" t="s">
        <v>261</v>
      </c>
      <c r="C193" s="47" t="s">
        <v>135</v>
      </c>
      <c r="D193" s="48">
        <v>5466</v>
      </c>
      <c r="E193" s="47" t="s">
        <v>89</v>
      </c>
      <c r="F193" s="47" t="s">
        <v>24</v>
      </c>
      <c r="G193" s="47" t="s">
        <v>25</v>
      </c>
    </row>
    <row r="194" spans="1:7" x14ac:dyDescent="0.2">
      <c r="A194" s="47" t="s">
        <v>174</v>
      </c>
      <c r="B194" s="47" t="s">
        <v>191</v>
      </c>
      <c r="C194" s="47" t="s">
        <v>136</v>
      </c>
      <c r="D194" s="48">
        <v>11810</v>
      </c>
      <c r="E194" s="47" t="s">
        <v>89</v>
      </c>
      <c r="F194" s="47" t="s">
        <v>83</v>
      </c>
      <c r="G194" s="47" t="s">
        <v>25</v>
      </c>
    </row>
    <row r="195" spans="1:7" x14ac:dyDescent="0.2">
      <c r="A195" s="47" t="s">
        <v>174</v>
      </c>
      <c r="B195" s="47" t="s">
        <v>248</v>
      </c>
      <c r="C195" s="47" t="s">
        <v>134</v>
      </c>
      <c r="D195" s="48">
        <v>19989</v>
      </c>
      <c r="E195" s="47" t="s">
        <v>89</v>
      </c>
      <c r="F195" s="47" t="s">
        <v>83</v>
      </c>
      <c r="G195" s="47" t="s">
        <v>25</v>
      </c>
    </row>
    <row r="196" spans="1:7" x14ac:dyDescent="0.2">
      <c r="A196" s="47" t="s">
        <v>174</v>
      </c>
      <c r="B196" s="47" t="s">
        <v>273</v>
      </c>
      <c r="C196" s="47" t="s">
        <v>23</v>
      </c>
      <c r="D196" s="48">
        <v>0</v>
      </c>
      <c r="E196" s="47" t="s">
        <v>23</v>
      </c>
      <c r="F196" s="47" t="s">
        <v>24</v>
      </c>
      <c r="G196" s="47" t="s">
        <v>25</v>
      </c>
    </row>
    <row r="197" spans="1:7" x14ac:dyDescent="0.2">
      <c r="A197" s="47" t="s">
        <v>174</v>
      </c>
      <c r="B197" s="47" t="s">
        <v>303</v>
      </c>
      <c r="C197" s="47" t="s">
        <v>120</v>
      </c>
      <c r="D197" s="48">
        <v>7514</v>
      </c>
      <c r="E197" s="47" t="s">
        <v>89</v>
      </c>
      <c r="F197" s="47" t="s">
        <v>24</v>
      </c>
      <c r="G197" s="47" t="s">
        <v>25</v>
      </c>
    </row>
    <row r="198" spans="1:7" x14ac:dyDescent="0.2">
      <c r="A198" s="47" t="s">
        <v>174</v>
      </c>
      <c r="B198" s="47" t="s">
        <v>276</v>
      </c>
      <c r="C198" s="47" t="s">
        <v>277</v>
      </c>
      <c r="D198" s="48">
        <v>21099</v>
      </c>
      <c r="E198" s="47" t="s">
        <v>89</v>
      </c>
      <c r="F198" s="47" t="s">
        <v>83</v>
      </c>
      <c r="G198" s="47" t="s">
        <v>25</v>
      </c>
    </row>
    <row r="199" spans="1:7" x14ac:dyDescent="0.2">
      <c r="A199" s="47" t="s">
        <v>174</v>
      </c>
      <c r="B199" s="47" t="s">
        <v>291</v>
      </c>
      <c r="C199" s="47" t="s">
        <v>292</v>
      </c>
      <c r="D199" s="48">
        <v>18195</v>
      </c>
      <c r="E199" s="47" t="s">
        <v>89</v>
      </c>
      <c r="F199" s="47" t="s">
        <v>83</v>
      </c>
      <c r="G199" s="47" t="s">
        <v>25</v>
      </c>
    </row>
    <row r="200" spans="1:7" x14ac:dyDescent="0.2">
      <c r="A200" s="47" t="s">
        <v>174</v>
      </c>
      <c r="B200" s="47" t="s">
        <v>187</v>
      </c>
      <c r="C200" s="47" t="s">
        <v>188</v>
      </c>
      <c r="D200" s="48">
        <v>14419</v>
      </c>
      <c r="E200" s="47" t="s">
        <v>89</v>
      </c>
      <c r="F200" s="47" t="s">
        <v>83</v>
      </c>
      <c r="G200" s="47" t="s">
        <v>25</v>
      </c>
    </row>
    <row r="201" spans="1:7" x14ac:dyDescent="0.2">
      <c r="A201" s="47" t="s">
        <v>174</v>
      </c>
      <c r="B201" s="47" t="s">
        <v>182</v>
      </c>
      <c r="C201" s="47" t="s">
        <v>118</v>
      </c>
      <c r="D201" s="48">
        <v>9478</v>
      </c>
      <c r="E201" s="47" t="s">
        <v>89</v>
      </c>
      <c r="F201" s="47" t="s">
        <v>24</v>
      </c>
      <c r="G201" s="47" t="s">
        <v>25</v>
      </c>
    </row>
    <row r="202" spans="1:7" x14ac:dyDescent="0.2">
      <c r="A202" s="47" t="s">
        <v>174</v>
      </c>
      <c r="B202" s="47" t="s">
        <v>181</v>
      </c>
      <c r="C202" s="47" t="s">
        <v>121</v>
      </c>
      <c r="D202" s="48">
        <v>6138</v>
      </c>
      <c r="E202" s="47" t="s">
        <v>89</v>
      </c>
      <c r="F202" s="47" t="s">
        <v>24</v>
      </c>
      <c r="G202" s="47" t="s">
        <v>25</v>
      </c>
    </row>
    <row r="203" spans="1:7" x14ac:dyDescent="0.2">
      <c r="A203" s="47" t="s">
        <v>174</v>
      </c>
      <c r="B203" s="47" t="s">
        <v>294</v>
      </c>
      <c r="C203" s="47" t="s">
        <v>108</v>
      </c>
      <c r="D203" s="48">
        <v>8183</v>
      </c>
      <c r="E203" s="47" t="s">
        <v>109</v>
      </c>
      <c r="F203" s="47" t="s">
        <v>24</v>
      </c>
      <c r="G203" s="47" t="s">
        <v>25</v>
      </c>
    </row>
    <row r="204" spans="1:7" x14ac:dyDescent="0.2">
      <c r="A204" s="47" t="s">
        <v>174</v>
      </c>
      <c r="B204" s="47" t="s">
        <v>245</v>
      </c>
      <c r="C204" s="47" t="s">
        <v>167</v>
      </c>
      <c r="D204" s="48">
        <v>0</v>
      </c>
      <c r="E204" s="47" t="s">
        <v>109</v>
      </c>
      <c r="F204" s="47" t="s">
        <v>24</v>
      </c>
      <c r="G204" s="47" t="s">
        <v>25</v>
      </c>
    </row>
    <row r="205" spans="1:7" x14ac:dyDescent="0.2">
      <c r="A205" s="47" t="s">
        <v>174</v>
      </c>
      <c r="B205" s="47" t="s">
        <v>199</v>
      </c>
      <c r="C205" s="47" t="s">
        <v>115</v>
      </c>
      <c r="D205" s="48">
        <v>0</v>
      </c>
      <c r="E205" s="47" t="s">
        <v>112</v>
      </c>
      <c r="F205" s="47" t="s">
        <v>24</v>
      </c>
      <c r="G205" s="47" t="s">
        <v>112</v>
      </c>
    </row>
    <row r="206" spans="1:7" x14ac:dyDescent="0.2">
      <c r="A206" s="47" t="s">
        <v>174</v>
      </c>
      <c r="B206" s="47" t="s">
        <v>243</v>
      </c>
      <c r="C206" s="47" t="s">
        <v>14</v>
      </c>
      <c r="D206" s="48">
        <v>0</v>
      </c>
      <c r="E206" s="47" t="s">
        <v>15</v>
      </c>
      <c r="F206" s="47" t="s">
        <v>15</v>
      </c>
      <c r="G206" s="47" t="s">
        <v>15</v>
      </c>
    </row>
    <row r="207" spans="1:7" x14ac:dyDescent="0.2">
      <c r="A207" s="47" t="s">
        <v>174</v>
      </c>
      <c r="B207" s="47" t="s">
        <v>263</v>
      </c>
      <c r="C207" s="47" t="s">
        <v>264</v>
      </c>
      <c r="D207" s="48">
        <v>0</v>
      </c>
      <c r="E207" s="47" t="s">
        <v>15</v>
      </c>
      <c r="F207" s="47" t="s">
        <v>15</v>
      </c>
      <c r="G207" s="47" t="s">
        <v>15</v>
      </c>
    </row>
    <row r="208" spans="1:7" x14ac:dyDescent="0.2">
      <c r="A208" s="47" t="s">
        <v>174</v>
      </c>
      <c r="B208" s="47" t="s">
        <v>244</v>
      </c>
      <c r="C208" s="47" t="s">
        <v>113</v>
      </c>
      <c r="D208" s="48">
        <v>7605</v>
      </c>
      <c r="E208" s="47" t="s">
        <v>112</v>
      </c>
      <c r="F208" s="47" t="s">
        <v>24</v>
      </c>
      <c r="G208" s="47" t="s">
        <v>112</v>
      </c>
    </row>
    <row r="209" spans="1:7" x14ac:dyDescent="0.2">
      <c r="A209" s="47" t="s">
        <v>174</v>
      </c>
      <c r="B209" s="47" t="s">
        <v>224</v>
      </c>
      <c r="C209" s="47" t="s">
        <v>114</v>
      </c>
      <c r="D209" s="48">
        <v>12718</v>
      </c>
      <c r="E209" s="47" t="s">
        <v>112</v>
      </c>
      <c r="F209" s="47" t="s">
        <v>24</v>
      </c>
      <c r="G209" s="47" t="s">
        <v>112</v>
      </c>
    </row>
    <row r="210" spans="1:7" x14ac:dyDescent="0.2">
      <c r="A210" s="47" t="s">
        <v>174</v>
      </c>
      <c r="B210" s="47" t="s">
        <v>219</v>
      </c>
      <c r="C210" s="47" t="s">
        <v>111</v>
      </c>
      <c r="D210" s="48">
        <v>13567</v>
      </c>
      <c r="E210" s="47" t="s">
        <v>112</v>
      </c>
      <c r="F210" s="47" t="s">
        <v>24</v>
      </c>
      <c r="G210" s="47" t="s">
        <v>112</v>
      </c>
    </row>
    <row r="211" spans="1:7" x14ac:dyDescent="0.2">
      <c r="A211" s="47" t="s">
        <v>174</v>
      </c>
      <c r="B211" s="47" t="s">
        <v>223</v>
      </c>
      <c r="C211" s="47" t="s">
        <v>116</v>
      </c>
      <c r="D211" s="48">
        <v>13638</v>
      </c>
      <c r="E211" s="47" t="s">
        <v>112</v>
      </c>
      <c r="F211" s="47" t="s">
        <v>24</v>
      </c>
      <c r="G211" s="47" t="s">
        <v>112</v>
      </c>
    </row>
    <row r="212" spans="1:7" x14ac:dyDescent="0.2">
      <c r="A212" s="47" t="s">
        <v>174</v>
      </c>
      <c r="B212" s="47" t="s">
        <v>206</v>
      </c>
      <c r="C212" s="47" t="s">
        <v>117</v>
      </c>
      <c r="D212" s="48">
        <v>7125</v>
      </c>
      <c r="E212" s="47" t="s">
        <v>112</v>
      </c>
      <c r="F212" s="47" t="s">
        <v>24</v>
      </c>
      <c r="G212" s="47" t="s">
        <v>112</v>
      </c>
    </row>
    <row r="213" spans="1:7" x14ac:dyDescent="0.2">
      <c r="A213" s="47" t="s">
        <v>174</v>
      </c>
      <c r="B213" s="47" t="s">
        <v>192</v>
      </c>
      <c r="C213" s="47" t="s">
        <v>165</v>
      </c>
      <c r="D213" s="48">
        <v>0</v>
      </c>
      <c r="E213" s="47" t="s">
        <v>82</v>
      </c>
      <c r="F213" s="47" t="s">
        <v>83</v>
      </c>
      <c r="G213" s="47" t="s">
        <v>535</v>
      </c>
    </row>
    <row r="214" spans="1:7" x14ac:dyDescent="0.2">
      <c r="A214" s="47" t="s">
        <v>174</v>
      </c>
      <c r="B214" s="47" t="s">
        <v>289</v>
      </c>
      <c r="C214" s="47" t="s">
        <v>163</v>
      </c>
      <c r="D214" s="48">
        <v>0</v>
      </c>
      <c r="E214" s="47" t="s">
        <v>93</v>
      </c>
      <c r="F214" s="47" t="s">
        <v>24</v>
      </c>
      <c r="G214" s="47" t="s">
        <v>535</v>
      </c>
    </row>
    <row r="215" spans="1:7" x14ac:dyDescent="0.2">
      <c r="A215" s="47" t="s">
        <v>174</v>
      </c>
      <c r="B215" s="47" t="s">
        <v>215</v>
      </c>
      <c r="C215" s="47" t="s">
        <v>166</v>
      </c>
      <c r="D215" s="48">
        <v>0</v>
      </c>
      <c r="E215" s="47" t="s">
        <v>89</v>
      </c>
      <c r="F215" s="47" t="s">
        <v>83</v>
      </c>
      <c r="G215" s="47" t="s">
        <v>25</v>
      </c>
    </row>
    <row r="216" spans="1:7" x14ac:dyDescent="0.2">
      <c r="A216" s="47" t="s">
        <v>174</v>
      </c>
      <c r="B216" s="47" t="s">
        <v>287</v>
      </c>
      <c r="C216" s="47" t="s">
        <v>32</v>
      </c>
      <c r="D216" s="48">
        <v>0</v>
      </c>
      <c r="E216" s="47" t="s">
        <v>23</v>
      </c>
      <c r="F216" s="47" t="s">
        <v>24</v>
      </c>
      <c r="G216" s="47" t="s">
        <v>25</v>
      </c>
    </row>
    <row r="217" spans="1:7" x14ac:dyDescent="0.2">
      <c r="A217" s="46" t="s">
        <v>172</v>
      </c>
      <c r="B217" s="46" t="s">
        <v>374</v>
      </c>
      <c r="C217" s="46" t="s">
        <v>375</v>
      </c>
      <c r="D217" s="16">
        <v>184</v>
      </c>
      <c r="E217" s="46" t="s">
        <v>172</v>
      </c>
      <c r="F217" s="46" t="s">
        <v>534</v>
      </c>
      <c r="G217" s="46" t="s">
        <v>534</v>
      </c>
    </row>
    <row r="218" spans="1:7" x14ac:dyDescent="0.2">
      <c r="A218" s="46" t="s">
        <v>172</v>
      </c>
      <c r="B218" s="46" t="s">
        <v>391</v>
      </c>
      <c r="C218" s="46" t="s">
        <v>392</v>
      </c>
      <c r="D218" s="16">
        <v>6409</v>
      </c>
      <c r="E218" s="46" t="s">
        <v>172</v>
      </c>
      <c r="F218" s="46" t="s">
        <v>534</v>
      </c>
      <c r="G218" s="46" t="s">
        <v>534</v>
      </c>
    </row>
    <row r="219" spans="1:7" x14ac:dyDescent="0.2">
      <c r="A219" s="46" t="s">
        <v>172</v>
      </c>
      <c r="B219" s="46" t="s">
        <v>453</v>
      </c>
      <c r="C219" s="46" t="s">
        <v>454</v>
      </c>
      <c r="D219" s="16">
        <v>4656</v>
      </c>
      <c r="E219" s="46" t="s">
        <v>172</v>
      </c>
      <c r="F219" s="46" t="s">
        <v>534</v>
      </c>
      <c r="G219" s="46" t="s">
        <v>534</v>
      </c>
    </row>
    <row r="220" spans="1:7" x14ac:dyDescent="0.2">
      <c r="A220" s="46" t="s">
        <v>172</v>
      </c>
      <c r="B220" s="46" t="s">
        <v>340</v>
      </c>
      <c r="C220" s="46" t="s">
        <v>341</v>
      </c>
      <c r="D220" s="16">
        <v>930</v>
      </c>
      <c r="E220" s="46" t="s">
        <v>172</v>
      </c>
      <c r="F220" s="46" t="s">
        <v>534</v>
      </c>
      <c r="G220" s="46" t="s">
        <v>534</v>
      </c>
    </row>
    <row r="221" spans="1:7" x14ac:dyDescent="0.2">
      <c r="A221" s="46" t="s">
        <v>172</v>
      </c>
      <c r="B221" s="46" t="s">
        <v>476</v>
      </c>
      <c r="C221" s="46" t="s">
        <v>477</v>
      </c>
      <c r="D221" s="16">
        <v>164</v>
      </c>
      <c r="E221" s="46" t="s">
        <v>172</v>
      </c>
      <c r="F221" s="46" t="s">
        <v>534</v>
      </c>
      <c r="G221" s="46" t="s">
        <v>534</v>
      </c>
    </row>
    <row r="222" spans="1:7" x14ac:dyDescent="0.2">
      <c r="A222" s="46" t="s">
        <v>172</v>
      </c>
      <c r="B222" s="46" t="s">
        <v>404</v>
      </c>
      <c r="C222" s="46" t="s">
        <v>405</v>
      </c>
      <c r="D222" s="16">
        <v>430</v>
      </c>
      <c r="E222" s="46" t="s">
        <v>172</v>
      </c>
      <c r="F222" s="46" t="s">
        <v>534</v>
      </c>
      <c r="G222" s="46" t="s">
        <v>534</v>
      </c>
    </row>
    <row r="223" spans="1:7" x14ac:dyDescent="0.2">
      <c r="A223" s="46" t="s">
        <v>172</v>
      </c>
      <c r="B223" s="46" t="s">
        <v>362</v>
      </c>
      <c r="C223" s="46" t="s">
        <v>363</v>
      </c>
      <c r="D223" s="16">
        <v>1240</v>
      </c>
      <c r="E223" s="46" t="s">
        <v>172</v>
      </c>
      <c r="F223" s="46" t="s">
        <v>534</v>
      </c>
      <c r="G223" s="46" t="s">
        <v>534</v>
      </c>
    </row>
    <row r="224" spans="1:7" x14ac:dyDescent="0.2">
      <c r="A224" s="46" t="s">
        <v>172</v>
      </c>
      <c r="B224" s="46" t="s">
        <v>324</v>
      </c>
      <c r="C224" s="46" t="s">
        <v>325</v>
      </c>
      <c r="D224" s="16">
        <v>21022</v>
      </c>
      <c r="E224" s="46" t="s">
        <v>172</v>
      </c>
      <c r="F224" s="46" t="s">
        <v>534</v>
      </c>
      <c r="G224" s="46" t="s">
        <v>534</v>
      </c>
    </row>
    <row r="225" spans="1:7" x14ac:dyDescent="0.2">
      <c r="A225" s="46" t="s">
        <v>172</v>
      </c>
      <c r="B225" s="46" t="s">
        <v>317</v>
      </c>
      <c r="C225" s="46" t="s">
        <v>318</v>
      </c>
      <c r="D225" s="16">
        <v>1291</v>
      </c>
      <c r="E225" s="46" t="s">
        <v>172</v>
      </c>
      <c r="F225" s="46" t="s">
        <v>534</v>
      </c>
      <c r="G225" s="46" t="s">
        <v>534</v>
      </c>
    </row>
    <row r="226" spans="1:7" x14ac:dyDescent="0.2">
      <c r="A226" s="46" t="s">
        <v>172</v>
      </c>
      <c r="B226" s="46" t="s">
        <v>387</v>
      </c>
      <c r="C226" s="46" t="s">
        <v>388</v>
      </c>
      <c r="D226" s="16">
        <v>608</v>
      </c>
      <c r="E226" s="46" t="s">
        <v>172</v>
      </c>
      <c r="F226" s="46" t="s">
        <v>534</v>
      </c>
      <c r="G226" s="46" t="s">
        <v>534</v>
      </c>
    </row>
    <row r="227" spans="1:7" x14ac:dyDescent="0.2">
      <c r="A227" s="46" t="s">
        <v>172</v>
      </c>
      <c r="B227" s="46" t="s">
        <v>455</v>
      </c>
      <c r="C227" s="46" t="s">
        <v>456</v>
      </c>
      <c r="D227" s="16">
        <v>1035</v>
      </c>
      <c r="E227" s="46" t="s">
        <v>172</v>
      </c>
      <c r="F227" s="46" t="s">
        <v>534</v>
      </c>
      <c r="G227" s="46" t="s">
        <v>534</v>
      </c>
    </row>
    <row r="228" spans="1:7" x14ac:dyDescent="0.2">
      <c r="A228" s="46" t="s">
        <v>172</v>
      </c>
      <c r="B228" s="46" t="s">
        <v>413</v>
      </c>
      <c r="C228" s="46" t="s">
        <v>414</v>
      </c>
      <c r="D228" s="16">
        <v>3010</v>
      </c>
      <c r="E228" s="46" t="s">
        <v>172</v>
      </c>
      <c r="F228" s="46" t="s">
        <v>534</v>
      </c>
      <c r="G228" s="46" t="s">
        <v>534</v>
      </c>
    </row>
    <row r="229" spans="1:7" x14ac:dyDescent="0.2">
      <c r="A229" s="46" t="s">
        <v>172</v>
      </c>
      <c r="B229" s="46" t="s">
        <v>484</v>
      </c>
      <c r="C229" s="46" t="s">
        <v>485</v>
      </c>
      <c r="D229" s="16">
        <v>3254</v>
      </c>
      <c r="E229" s="46" t="s">
        <v>172</v>
      </c>
      <c r="F229" s="46" t="s">
        <v>534</v>
      </c>
      <c r="G229" s="46" t="s">
        <v>534</v>
      </c>
    </row>
    <row r="230" spans="1:7" x14ac:dyDescent="0.2">
      <c r="A230" s="46" t="s">
        <v>172</v>
      </c>
      <c r="B230" s="46" t="s">
        <v>436</v>
      </c>
      <c r="C230" s="46" t="s">
        <v>437</v>
      </c>
      <c r="D230" s="16">
        <v>3416</v>
      </c>
      <c r="E230" s="46" t="s">
        <v>172</v>
      </c>
      <c r="F230" s="46" t="s">
        <v>534</v>
      </c>
      <c r="G230" s="46" t="s">
        <v>534</v>
      </c>
    </row>
    <row r="231" spans="1:7" x14ac:dyDescent="0.2">
      <c r="A231" s="46" t="s">
        <v>172</v>
      </c>
      <c r="B231" s="46" t="s">
        <v>315</v>
      </c>
      <c r="C231" s="46" t="s">
        <v>316</v>
      </c>
      <c r="D231" s="16">
        <v>1025</v>
      </c>
      <c r="E231" s="46" t="s">
        <v>172</v>
      </c>
      <c r="F231" s="46" t="s">
        <v>534</v>
      </c>
      <c r="G231" s="46" t="s">
        <v>534</v>
      </c>
    </row>
    <row r="232" spans="1:7" x14ac:dyDescent="0.2">
      <c r="A232" s="46" t="s">
        <v>172</v>
      </c>
      <c r="B232" s="46" t="s">
        <v>398</v>
      </c>
      <c r="C232" s="46" t="s">
        <v>399</v>
      </c>
      <c r="D232" s="16">
        <v>17592</v>
      </c>
      <c r="E232" s="46" t="s">
        <v>172</v>
      </c>
      <c r="F232" s="46" t="s">
        <v>534</v>
      </c>
      <c r="G232" s="46" t="s">
        <v>534</v>
      </c>
    </row>
    <row r="233" spans="1:7" x14ac:dyDescent="0.2">
      <c r="A233" s="46" t="s">
        <v>172</v>
      </c>
      <c r="B233" s="46" t="s">
        <v>306</v>
      </c>
      <c r="C233" s="46" t="s">
        <v>307</v>
      </c>
      <c r="D233" s="16">
        <v>2971</v>
      </c>
      <c r="E233" s="46" t="s">
        <v>172</v>
      </c>
      <c r="F233" s="46" t="s">
        <v>534</v>
      </c>
      <c r="G233" s="46" t="s">
        <v>534</v>
      </c>
    </row>
    <row r="234" spans="1:7" x14ac:dyDescent="0.2">
      <c r="A234" s="46" t="s">
        <v>172</v>
      </c>
      <c r="B234" s="46" t="s">
        <v>427</v>
      </c>
      <c r="C234" s="46" t="s">
        <v>428</v>
      </c>
      <c r="D234" s="16">
        <v>4055</v>
      </c>
      <c r="E234" s="46" t="s">
        <v>172</v>
      </c>
      <c r="F234" s="46" t="s">
        <v>534</v>
      </c>
      <c r="G234" s="46" t="s">
        <v>534</v>
      </c>
    </row>
    <row r="235" spans="1:7" x14ac:dyDescent="0.2">
      <c r="A235" s="46" t="s">
        <v>172</v>
      </c>
      <c r="B235" s="46" t="s">
        <v>344</v>
      </c>
      <c r="C235" s="46" t="s">
        <v>345</v>
      </c>
      <c r="D235" s="16">
        <v>4990</v>
      </c>
      <c r="E235" s="46" t="s">
        <v>172</v>
      </c>
      <c r="F235" s="46" t="s">
        <v>534</v>
      </c>
      <c r="G235" s="46" t="s">
        <v>534</v>
      </c>
    </row>
    <row r="236" spans="1:7" x14ac:dyDescent="0.2">
      <c r="A236" s="46" t="s">
        <v>172</v>
      </c>
      <c r="B236" s="46" t="s">
        <v>434</v>
      </c>
      <c r="C236" s="46" t="s">
        <v>435</v>
      </c>
      <c r="D236" s="16">
        <v>2448</v>
      </c>
      <c r="E236" s="46" t="s">
        <v>172</v>
      </c>
      <c r="F236" s="46" t="s">
        <v>534</v>
      </c>
      <c r="G236" s="46" t="s">
        <v>534</v>
      </c>
    </row>
    <row r="237" spans="1:7" x14ac:dyDescent="0.2">
      <c r="A237" s="46" t="s">
        <v>172</v>
      </c>
      <c r="B237" s="46" t="s">
        <v>429</v>
      </c>
      <c r="C237" s="46" t="s">
        <v>430</v>
      </c>
      <c r="D237" s="16">
        <v>3200</v>
      </c>
      <c r="E237" s="46" t="s">
        <v>536</v>
      </c>
      <c r="F237" s="46" t="s">
        <v>534</v>
      </c>
      <c r="G237" s="46" t="s">
        <v>534</v>
      </c>
    </row>
    <row r="238" spans="1:7" x14ac:dyDescent="0.2">
      <c r="A238" s="46" t="s">
        <v>172</v>
      </c>
      <c r="B238" s="46" t="s">
        <v>380</v>
      </c>
      <c r="C238" s="46" t="s">
        <v>381</v>
      </c>
      <c r="D238" s="16">
        <v>164</v>
      </c>
      <c r="E238" s="46" t="s">
        <v>536</v>
      </c>
      <c r="F238" s="46" t="s">
        <v>534</v>
      </c>
      <c r="G238" s="46" t="s">
        <v>534</v>
      </c>
    </row>
    <row r="239" spans="1:7" x14ac:dyDescent="0.2">
      <c r="A239" s="46" t="s">
        <v>172</v>
      </c>
      <c r="B239" s="46" t="s">
        <v>383</v>
      </c>
      <c r="C239" s="46" t="s">
        <v>384</v>
      </c>
      <c r="D239" s="16">
        <v>2560</v>
      </c>
      <c r="E239" s="46" t="s">
        <v>172</v>
      </c>
      <c r="F239" s="46" t="s">
        <v>534</v>
      </c>
      <c r="G239" s="46" t="s">
        <v>534</v>
      </c>
    </row>
    <row r="240" spans="1:7" x14ac:dyDescent="0.2">
      <c r="A240" s="46" t="s">
        <v>172</v>
      </c>
      <c r="B240" s="46" t="s">
        <v>420</v>
      </c>
      <c r="C240" s="46" t="s">
        <v>421</v>
      </c>
      <c r="D240" s="16">
        <v>4670</v>
      </c>
      <c r="E240" s="46" t="s">
        <v>172</v>
      </c>
      <c r="F240" s="46" t="s">
        <v>534</v>
      </c>
      <c r="G240" s="46" t="s">
        <v>534</v>
      </c>
    </row>
    <row r="241" spans="1:7" x14ac:dyDescent="0.2">
      <c r="A241" s="46" t="s">
        <v>172</v>
      </c>
      <c r="B241" s="46" t="s">
        <v>480</v>
      </c>
      <c r="C241" s="46" t="s">
        <v>481</v>
      </c>
      <c r="D241" s="16">
        <v>2464</v>
      </c>
      <c r="E241" s="46" t="s">
        <v>172</v>
      </c>
      <c r="F241" s="46" t="s">
        <v>534</v>
      </c>
      <c r="G241" s="46" t="s">
        <v>534</v>
      </c>
    </row>
    <row r="242" spans="1:7" x14ac:dyDescent="0.2">
      <c r="A242" s="46" t="s">
        <v>172</v>
      </c>
      <c r="B242" s="46" t="s">
        <v>356</v>
      </c>
      <c r="C242" s="46" t="s">
        <v>357</v>
      </c>
      <c r="D242" s="16">
        <v>2317</v>
      </c>
      <c r="E242" s="46" t="s">
        <v>172</v>
      </c>
      <c r="F242" s="46" t="s">
        <v>534</v>
      </c>
      <c r="G242" s="46" t="s">
        <v>534</v>
      </c>
    </row>
    <row r="243" spans="1:7" x14ac:dyDescent="0.2">
      <c r="A243" s="47" t="s">
        <v>174</v>
      </c>
      <c r="B243" s="47" t="s">
        <v>238</v>
      </c>
      <c r="C243" s="47" t="s">
        <v>239</v>
      </c>
      <c r="D243" s="48">
        <v>0</v>
      </c>
      <c r="E243" s="47" t="s">
        <v>534</v>
      </c>
      <c r="F243" s="47" t="s">
        <v>534</v>
      </c>
      <c r="G243" s="47" t="s">
        <v>534</v>
      </c>
    </row>
    <row r="244" spans="1:7" x14ac:dyDescent="0.2">
      <c r="A244" s="47" t="s">
        <v>174</v>
      </c>
      <c r="B244" s="47" t="s">
        <v>236</v>
      </c>
      <c r="C244" s="47" t="s">
        <v>237</v>
      </c>
      <c r="D244" s="48">
        <v>0</v>
      </c>
      <c r="E244" s="47" t="s">
        <v>534</v>
      </c>
      <c r="F244" s="47" t="s">
        <v>534</v>
      </c>
      <c r="G244" s="47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Hoja9</vt:lpstr>
      <vt:lpstr>RAIZ</vt:lpstr>
      <vt:lpstr>DIFERENCIAS</vt:lpstr>
      <vt:lpstr>VENTAS X UND. NEG.</vt:lpstr>
      <vt:lpstr>Jer-Tip-Emp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Subdirector Operaciones</dc:creator>
  <cp:lastModifiedBy>Santiago M</cp:lastModifiedBy>
  <dcterms:created xsi:type="dcterms:W3CDTF">2026-02-19T14:46:25Z</dcterms:created>
  <dcterms:modified xsi:type="dcterms:W3CDTF">2026-03-11T03:24:09Z</dcterms:modified>
</cp:coreProperties>
</file>